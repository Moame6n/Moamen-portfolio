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تسوية البنكي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<sst xmlns="http://schemas.openxmlformats.org/spreadsheetml/2006/main" count="16" uniqueCount="16">
  <si>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قالب التسوية البنكية</t>
  </si>
  <si>
    <t xml:space="preserve">الخلايا الصفراء هي الوحيدة اللي المفروض تعدلها — الباقي بيتحسب تلقائي</t>
  </si>
  <si>
    <t xml:space="preserve">الرصيد حسب كشف البنك</t>
  </si>
  <si>
    <t xml:space="preserve">الرصيد الختامي في كشف الحساب البنكي</t>
  </si>
  <si>
    <t xml:space="preserve">زائد: ودائع في الطريق (لسه ما ظهرتش في كشف البنك)</t>
  </si>
  <si>
    <t xml:space="preserve">ناقص: شيكات صادرة لسه ما اتصرفتش</t>
  </si>
  <si>
    <t xml:space="preserve">الرصيد البنكي المعدّل</t>
  </si>
  <si>
    <t xml:space="preserve">الرصيد حسب دفاتر الشركة</t>
  </si>
  <si>
    <t xml:space="preserve">الرصيد الختامي في دفاتر الشركة</t>
  </si>
  <si>
    <t xml:space="preserve">زائد: فوائد بنكية مقيّدة ولسه محدّثاش بالدفاتر</t>
  </si>
  <si>
    <t xml:space="preserve">ناقص: مصاريف ورسوم بنكية</t>
  </si>
  <si>
    <t xml:space="preserve">ناقص: شيكات مرتجعة (بدون رصيد كافٍ)</t>
  </si>
  <si>
    <t xml:space="preserve">الرصيد الدفتري المعدّل</t>
  </si>
  <si>
    <t xml:space="preserve">المطابقة</t>
  </si>
  <si>
    <t xml:space="preserve">الفرق (المفروض يساوي صفر)</t>
  </si>
  <si>
    <t xml:space="preserve">الحالة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</si>
</sst>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9A6C"/>
      <name val="Arial"/>
      <family val="0"/>
      <charset val="1"/>
    </font>
    <font>
      <i val="true"/>
      <sz val="9"/>
      <color rgb="FF7A73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D9A6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238"/>
        <bgColor rgb="FF00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3BE"/>
      </left>
      <right style="thin">
        <color rgb="FFDAD3BE"/>
      </right>
      <top style="thin">
        <color rgb="FFDAD3BE"/>
      </top>
      <bottom style="thin">
        <color rgb="FFDAD3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AD3BE"/>
      <rgbColor rgb="FF7A736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A6C"/>
      <rgbColor rgb="FF003300"/>
      <rgbColor rgb="FF333300"/>
      <rgbColor rgb="FF993300"/>
      <rgbColor rgb="FF993366"/>
      <rgbColor rgb="FF333399"/>
      <rgbColor rgb="FF1A2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21.75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125430</v>
      </c>
    </row>
    <row r="6" customFormat="false" ht="15" hidden="false" customHeight="false" outlineLevel="0" collapsed="false">
      <c r="A6" s="4" t="s">
        <v>4</v>
      </c>
      <c r="B6" s="5" t="n">
        <v>8200</v>
      </c>
    </row>
    <row r="7" customFormat="false" ht="15" hidden="false" customHeight="false" outlineLevel="0" collapsed="false">
      <c r="A7" s="4" t="s">
        <v>5</v>
      </c>
      <c r="B7" s="5" t="n">
        <v>3150</v>
      </c>
    </row>
    <row r="9" customFormat="false" ht="15" hidden="false" customHeight="false" outlineLevel="0" collapsed="false">
      <c r="A9" s="6" t="s">
        <v>6</v>
      </c>
      <c r="B9" s="7" t="n">
        <f aca="false">B5+B6-B7</f>
        <v>130480</v>
      </c>
    </row>
    <row r="11" customFormat="false" ht="21.75" hidden="false" customHeight="true" outlineLevel="0" collapsed="false">
      <c r="A11" s="3" t="s">
        <v>7</v>
      </c>
      <c r="B11" s="3"/>
    </row>
    <row r="12" customFormat="false" ht="15" hidden="false" customHeight="false" outlineLevel="0" collapsed="false">
      <c r="A12" s="4" t="s">
        <v>8</v>
      </c>
      <c r="B12" s="5" t="n">
        <v>129800</v>
      </c>
    </row>
    <row r="13" customFormat="false" ht="15" hidden="false" customHeight="false" outlineLevel="0" collapsed="false">
      <c r="A13" s="4" t="s">
        <v>9</v>
      </c>
      <c r="B13" s="5" t="n">
        <v>680</v>
      </c>
    </row>
    <row r="14" customFormat="false" ht="15" hidden="false" customHeight="false" outlineLevel="0" collapsed="false">
      <c r="A14" s="4" t="s">
        <v>10</v>
      </c>
      <c r="B14" s="5" t="n">
        <v>0</v>
      </c>
    </row>
    <row r="15" customFormat="false" ht="15" hidden="false" customHeight="false" outlineLevel="0" collapsed="false">
      <c r="A15" s="4" t="s">
        <v>11</v>
      </c>
      <c r="B15" s="5" t="n">
        <v>0</v>
      </c>
    </row>
    <row r="17" customFormat="false" ht="15" hidden="false" customHeight="false" outlineLevel="0" collapsed="false">
      <c r="A17" s="6" t="s">
        <v>12</v>
      </c>
      <c r="B17" s="7" t="n">
        <f aca="false">B12+B13-B14-B15</f>
        <v>130480</v>
      </c>
    </row>
    <row r="19" customFormat="false" ht="21.75" hidden="false" customHeight="true" outlineLevel="0" collapsed="false">
      <c r="A19" s="3" t="s">
        <v>13</v>
      </c>
      <c r="B19" s="3"/>
    </row>
    <row r="20" customFormat="false" ht="15" hidden="false" customHeight="false" outlineLevel="0" collapsed="false">
      <c r="A20" s="6" t="s">
        <v>14</v>
      </c>
      <c r="B20" s="8" t="n">
        <f aca="false">B9-B17</f>
        <v>0</v>
      </c>
    </row>
    <row r="21" customFormat="false" ht="15" hidden="false" customHeight="false" outlineLevel="0" collapsed="false">
      <c r="A21" s="6" t="s">
        <v>15</v>
      </c>
      <c r="B21" s="9" t="str">
        <f aca="false">IF(B20=0,"✓ متطابق","✗ فيه فرق يحتاج مراجعة")</f>
        <v>✓ متطابق</v>
      </c>
    </row>
  </sheetData>
  <mergeCells count="5">
    <mergeCell ref="A1:B1"/>
    <mergeCell ref="A2:B2"/>
    <mergeCell ref="A4:B4"/>
    <mergeCell ref="A11:B11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2026-08-29T17:43:36Z</dcterms:created>
  <dc:creator>openpyxl</dc:creator>
  <dc:description/>
  <dc:language>en-US</dc:language>
  <cp:lastModifiedBy/>
  <dcterms:modified xsi:type="dcterms:W3CDTF">2026-08-29T17:43:36Z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