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4FC36F46-5445-654C-848C-A274806AF756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بيانات الموظفين" sheetId="1" r:id="rId1"/>
    <sheet name="حساب المرتب الشهري" sheetId="2" r:id="rId2"/>
    <sheet name="كشف التوقيع والملخص" sheetId="3" r:id="rId3"/>
  </sheets>
  <definedNames>
    <definedName name="_xlnm._FilterDatabase" localSheetId="0" hidden="1">'بيانات الموظفين'!$A$4:$J$504</definedName>
    <definedName name="_xlnm._FilterDatabase" localSheetId="1" hidden="1">'حساب المرتب الشهري'!$A$4:$N$504</definedName>
    <definedName name="_xlnm.Print_Area" localSheetId="0">'بيانات الموظفين'!$A$1:$J$504</definedName>
    <definedName name="_xlnm.Print_Area" localSheetId="1">'حساب المرتب الشهري'!$A$1:$N$504</definedName>
    <definedName name="_xlnm.Print_Area" localSheetId="2">'كشف التوقيع والملخص'!$A$1:$G$510</definedName>
    <definedName name="_xlnm.Print_Titles" localSheetId="0">'بيانات الموظفين'!$1:$4</definedName>
    <definedName name="_xlnm.Print_Titles" localSheetId="1">'حساب المرتب الشهري'!$1:$4</definedName>
    <definedName name="_xlnm.Print_Titles" localSheetId="2">'كشف التوقيع والملخص'!$1:$6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4" i="2" l="1"/>
  <c r="A506" i="3"/>
  <c r="C506" i="3"/>
  <c r="B506" i="3"/>
  <c r="A503" i="2"/>
  <c r="A505" i="3"/>
  <c r="C505" i="3"/>
  <c r="B505" i="3"/>
  <c r="A502" i="2"/>
  <c r="A504" i="3"/>
  <c r="C504" i="3"/>
  <c r="B504" i="3"/>
  <c r="A501" i="2"/>
  <c r="A503" i="3"/>
  <c r="C503" i="3"/>
  <c r="B503" i="3"/>
  <c r="A500" i="2"/>
  <c r="A502" i="3"/>
  <c r="C502" i="3"/>
  <c r="B502" i="3"/>
  <c r="A499" i="2"/>
  <c r="A501" i="3"/>
  <c r="C501" i="3"/>
  <c r="B501" i="3"/>
  <c r="A498" i="2"/>
  <c r="A500" i="3"/>
  <c r="C500" i="3"/>
  <c r="B500" i="3"/>
  <c r="A497" i="2"/>
  <c r="A499" i="3"/>
  <c r="C499" i="3"/>
  <c r="B499" i="3"/>
  <c r="A496" i="2"/>
  <c r="A498" i="3"/>
  <c r="C498" i="3"/>
  <c r="B498" i="3"/>
  <c r="A495" i="2"/>
  <c r="A497" i="3"/>
  <c r="C497" i="3"/>
  <c r="B497" i="3"/>
  <c r="A494" i="2"/>
  <c r="A496" i="3"/>
  <c r="C496" i="3"/>
  <c r="B496" i="3"/>
  <c r="A493" i="2"/>
  <c r="A495" i="3"/>
  <c r="C495" i="3"/>
  <c r="B495" i="3"/>
  <c r="A492" i="2"/>
  <c r="A494" i="3"/>
  <c r="C494" i="3"/>
  <c r="B494" i="3"/>
  <c r="A491" i="2"/>
  <c r="A493" i="3"/>
  <c r="C493" i="3"/>
  <c r="B493" i="3"/>
  <c r="A490" i="2"/>
  <c r="A492" i="3"/>
  <c r="C492" i="3"/>
  <c r="B492" i="3"/>
  <c r="A489" i="2"/>
  <c r="A491" i="3"/>
  <c r="C491" i="3"/>
  <c r="B491" i="3"/>
  <c r="A488" i="2"/>
  <c r="A490" i="3"/>
  <c r="C490" i="3"/>
  <c r="B490" i="3"/>
  <c r="A487" i="2"/>
  <c r="A489" i="3"/>
  <c r="C489" i="3"/>
  <c r="B489" i="3"/>
  <c r="A486" i="2"/>
  <c r="A488" i="3"/>
  <c r="C488" i="3"/>
  <c r="B488" i="3"/>
  <c r="A485" i="2"/>
  <c r="A487" i="3"/>
  <c r="C487" i="3"/>
  <c r="B487" i="3"/>
  <c r="A484" i="2"/>
  <c r="A486" i="3"/>
  <c r="C486" i="3"/>
  <c r="B486" i="3"/>
  <c r="A483" i="2"/>
  <c r="A485" i="3"/>
  <c r="C485" i="3"/>
  <c r="B485" i="3"/>
  <c r="A482" i="2"/>
  <c r="A484" i="3"/>
  <c r="C484" i="3"/>
  <c r="B484" i="3"/>
  <c r="A481" i="2"/>
  <c r="A483" i="3"/>
  <c r="C483" i="3"/>
  <c r="B483" i="3"/>
  <c r="A480" i="2"/>
  <c r="A482" i="3"/>
  <c r="C482" i="3"/>
  <c r="B482" i="3"/>
  <c r="A479" i="2"/>
  <c r="A481" i="3"/>
  <c r="C481" i="3"/>
  <c r="B481" i="3"/>
  <c r="A478" i="2"/>
  <c r="A480" i="3"/>
  <c r="C480" i="3"/>
  <c r="B480" i="3"/>
  <c r="A477" i="2"/>
  <c r="A479" i="3"/>
  <c r="C479" i="3"/>
  <c r="B479" i="3"/>
  <c r="A476" i="2"/>
  <c r="A478" i="3"/>
  <c r="C478" i="3"/>
  <c r="B478" i="3"/>
  <c r="A475" i="2"/>
  <c r="A477" i="3"/>
  <c r="C477" i="3"/>
  <c r="B477" i="3"/>
  <c r="A474" i="2"/>
  <c r="A476" i="3"/>
  <c r="C476" i="3"/>
  <c r="B476" i="3"/>
  <c r="A473" i="2"/>
  <c r="A475" i="3"/>
  <c r="C475" i="3"/>
  <c r="B475" i="3"/>
  <c r="A472" i="2"/>
  <c r="A474" i="3"/>
  <c r="C474" i="3"/>
  <c r="B474" i="3"/>
  <c r="A471" i="2"/>
  <c r="A473" i="3"/>
  <c r="C473" i="3"/>
  <c r="B473" i="3"/>
  <c r="A470" i="2"/>
  <c r="A472" i="3"/>
  <c r="C472" i="3"/>
  <c r="B472" i="3"/>
  <c r="A469" i="2"/>
  <c r="A471" i="3"/>
  <c r="C471" i="3"/>
  <c r="B471" i="3"/>
  <c r="A468" i="2"/>
  <c r="A470" i="3"/>
  <c r="C470" i="3"/>
  <c r="B470" i="3"/>
  <c r="A467" i="2"/>
  <c r="A469" i="3"/>
  <c r="C469" i="3"/>
  <c r="B469" i="3"/>
  <c r="A466" i="2"/>
  <c r="A468" i="3"/>
  <c r="C468" i="3"/>
  <c r="B468" i="3"/>
  <c r="A465" i="2"/>
  <c r="A467" i="3"/>
  <c r="C467" i="3"/>
  <c r="B467" i="3"/>
  <c r="A464" i="2"/>
  <c r="A466" i="3"/>
  <c r="C466" i="3"/>
  <c r="B466" i="3"/>
  <c r="A463" i="2"/>
  <c r="A465" i="3"/>
  <c r="C465" i="3"/>
  <c r="B465" i="3"/>
  <c r="A462" i="2"/>
  <c r="A464" i="3"/>
  <c r="C464" i="3"/>
  <c r="B464" i="3"/>
  <c r="A461" i="2"/>
  <c r="A463" i="3"/>
  <c r="C463" i="3"/>
  <c r="B463" i="3"/>
  <c r="A460" i="2"/>
  <c r="A462" i="3"/>
  <c r="C462" i="3"/>
  <c r="B462" i="3"/>
  <c r="A459" i="2"/>
  <c r="A461" i="3"/>
  <c r="C461" i="3"/>
  <c r="B461" i="3"/>
  <c r="A458" i="2"/>
  <c r="A460" i="3"/>
  <c r="C460" i="3"/>
  <c r="B460" i="3"/>
  <c r="A457" i="2"/>
  <c r="A459" i="3"/>
  <c r="C459" i="3"/>
  <c r="B459" i="3"/>
  <c r="A456" i="2"/>
  <c r="A458" i="3"/>
  <c r="C458" i="3"/>
  <c r="B458" i="3"/>
  <c r="A455" i="2"/>
  <c r="A457" i="3"/>
  <c r="C457" i="3"/>
  <c r="B457" i="3"/>
  <c r="A454" i="2"/>
  <c r="A456" i="3"/>
  <c r="C456" i="3"/>
  <c r="B456" i="3"/>
  <c r="A453" i="2"/>
  <c r="A455" i="3"/>
  <c r="C455" i="3"/>
  <c r="B455" i="3"/>
  <c r="A452" i="2"/>
  <c r="A454" i="3"/>
  <c r="C454" i="3"/>
  <c r="B454" i="3"/>
  <c r="A451" i="2"/>
  <c r="A453" i="3"/>
  <c r="C453" i="3"/>
  <c r="B453" i="3"/>
  <c r="A450" i="2"/>
  <c r="A452" i="3"/>
  <c r="C452" i="3"/>
  <c r="B452" i="3"/>
  <c r="A449" i="2"/>
  <c r="A451" i="3"/>
  <c r="C451" i="3"/>
  <c r="B451" i="3"/>
  <c r="A448" i="2"/>
  <c r="A450" i="3"/>
  <c r="C450" i="3"/>
  <c r="B450" i="3"/>
  <c r="A447" i="2"/>
  <c r="A449" i="3"/>
  <c r="C449" i="3"/>
  <c r="B449" i="3"/>
  <c r="A446" i="2"/>
  <c r="A448" i="3"/>
  <c r="C448" i="3"/>
  <c r="B448" i="3"/>
  <c r="A445" i="2"/>
  <c r="A447" i="3"/>
  <c r="C447" i="3"/>
  <c r="B447" i="3"/>
  <c r="A444" i="2"/>
  <c r="A446" i="3"/>
  <c r="C446" i="3"/>
  <c r="B446" i="3"/>
  <c r="A443" i="2"/>
  <c r="A445" i="3"/>
  <c r="C445" i="3"/>
  <c r="B445" i="3"/>
  <c r="A442" i="2"/>
  <c r="A444" i="3"/>
  <c r="C444" i="3"/>
  <c r="B444" i="3"/>
  <c r="A441" i="2"/>
  <c r="A443" i="3"/>
  <c r="C443" i="3"/>
  <c r="B443" i="3"/>
  <c r="A440" i="2"/>
  <c r="A442" i="3"/>
  <c r="C442" i="3"/>
  <c r="B442" i="3"/>
  <c r="A439" i="2"/>
  <c r="A441" i="3"/>
  <c r="C441" i="3"/>
  <c r="B441" i="3"/>
  <c r="A438" i="2"/>
  <c r="A440" i="3"/>
  <c r="C440" i="3"/>
  <c r="B440" i="3"/>
  <c r="A437" i="2"/>
  <c r="A439" i="3"/>
  <c r="C439" i="3"/>
  <c r="B439" i="3"/>
  <c r="A436" i="2"/>
  <c r="A438" i="3"/>
  <c r="C438" i="3"/>
  <c r="B438" i="3"/>
  <c r="A435" i="2"/>
  <c r="A437" i="3"/>
  <c r="C437" i="3"/>
  <c r="B437" i="3"/>
  <c r="A434" i="2"/>
  <c r="A436" i="3"/>
  <c r="C436" i="3"/>
  <c r="B436" i="3"/>
  <c r="A433" i="2"/>
  <c r="A435" i="3"/>
  <c r="C435" i="3"/>
  <c r="B435" i="3"/>
  <c r="A432" i="2"/>
  <c r="A434" i="3"/>
  <c r="C434" i="3"/>
  <c r="B434" i="3"/>
  <c r="A431" i="2"/>
  <c r="A433" i="3"/>
  <c r="C433" i="3"/>
  <c r="B433" i="3"/>
  <c r="A430" i="2"/>
  <c r="A432" i="3"/>
  <c r="C432" i="3"/>
  <c r="B432" i="3"/>
  <c r="A429" i="2"/>
  <c r="A431" i="3"/>
  <c r="C431" i="3"/>
  <c r="B431" i="3"/>
  <c r="A428" i="2"/>
  <c r="A430" i="3"/>
  <c r="C430" i="3"/>
  <c r="B430" i="3"/>
  <c r="A427" i="2"/>
  <c r="A429" i="3"/>
  <c r="C429" i="3"/>
  <c r="B429" i="3"/>
  <c r="A426" i="2"/>
  <c r="A428" i="3"/>
  <c r="C428" i="3"/>
  <c r="B428" i="3"/>
  <c r="A425" i="2"/>
  <c r="A427" i="3"/>
  <c r="C427" i="3"/>
  <c r="B427" i="3"/>
  <c r="A424" i="2"/>
  <c r="A426" i="3"/>
  <c r="C426" i="3"/>
  <c r="B426" i="3"/>
  <c r="A423" i="2"/>
  <c r="A425" i="3"/>
  <c r="C425" i="3"/>
  <c r="B425" i="3"/>
  <c r="A422" i="2"/>
  <c r="A424" i="3"/>
  <c r="C424" i="3"/>
  <c r="B424" i="3"/>
  <c r="A421" i="2"/>
  <c r="A423" i="3"/>
  <c r="C423" i="3"/>
  <c r="B423" i="3"/>
  <c r="A420" i="2"/>
  <c r="A422" i="3"/>
  <c r="C422" i="3"/>
  <c r="B422" i="3"/>
  <c r="A419" i="2"/>
  <c r="A421" i="3"/>
  <c r="C421" i="3"/>
  <c r="B421" i="3"/>
  <c r="A418" i="2"/>
  <c r="A420" i="3"/>
  <c r="C420" i="3"/>
  <c r="B420" i="3"/>
  <c r="A417" i="2"/>
  <c r="A419" i="3"/>
  <c r="C419" i="3"/>
  <c r="B419" i="3"/>
  <c r="A416" i="2"/>
  <c r="A418" i="3"/>
  <c r="C418" i="3"/>
  <c r="B418" i="3"/>
  <c r="A415" i="2"/>
  <c r="A417" i="3"/>
  <c r="C417" i="3"/>
  <c r="B417" i="3"/>
  <c r="A414" i="2"/>
  <c r="A416" i="3"/>
  <c r="C416" i="3"/>
  <c r="B416" i="3"/>
  <c r="A413" i="2"/>
  <c r="A415" i="3"/>
  <c r="C415" i="3"/>
  <c r="B415" i="3"/>
  <c r="A412" i="2"/>
  <c r="A414" i="3"/>
  <c r="C414" i="3"/>
  <c r="B414" i="3"/>
  <c r="A411" i="2"/>
  <c r="A413" i="3"/>
  <c r="C413" i="3"/>
  <c r="B413" i="3"/>
  <c r="A410" i="2"/>
  <c r="A412" i="3"/>
  <c r="C412" i="3"/>
  <c r="B412" i="3"/>
  <c r="A409" i="2"/>
  <c r="A411" i="3"/>
  <c r="C411" i="3"/>
  <c r="B411" i="3"/>
  <c r="A408" i="2"/>
  <c r="A410" i="3"/>
  <c r="C410" i="3"/>
  <c r="B410" i="3"/>
  <c r="A407" i="2"/>
  <c r="A409" i="3"/>
  <c r="C409" i="3"/>
  <c r="B409" i="3"/>
  <c r="A406" i="2"/>
  <c r="A408" i="3"/>
  <c r="C408" i="3"/>
  <c r="B408" i="3"/>
  <c r="A405" i="2"/>
  <c r="A407" i="3"/>
  <c r="C407" i="3"/>
  <c r="B407" i="3"/>
  <c r="A404" i="2"/>
  <c r="A406" i="3"/>
  <c r="C406" i="3"/>
  <c r="B406" i="3"/>
  <c r="A403" i="2"/>
  <c r="A405" i="3"/>
  <c r="C405" i="3"/>
  <c r="B405" i="3"/>
  <c r="A402" i="2"/>
  <c r="A404" i="3"/>
  <c r="C404" i="3"/>
  <c r="B404" i="3"/>
  <c r="A401" i="2"/>
  <c r="A403" i="3"/>
  <c r="C403" i="3"/>
  <c r="B403" i="3"/>
  <c r="A400" i="2"/>
  <c r="A402" i="3"/>
  <c r="C402" i="3"/>
  <c r="B402" i="3"/>
  <c r="A399" i="2"/>
  <c r="A401" i="3"/>
  <c r="C401" i="3"/>
  <c r="B401" i="3"/>
  <c r="A398" i="2"/>
  <c r="A400" i="3"/>
  <c r="C400" i="3"/>
  <c r="B400" i="3"/>
  <c r="A397" i="2"/>
  <c r="A399" i="3"/>
  <c r="C399" i="3"/>
  <c r="B399" i="3"/>
  <c r="A396" i="2"/>
  <c r="A398" i="3"/>
  <c r="C398" i="3"/>
  <c r="B398" i="3"/>
  <c r="A395" i="2"/>
  <c r="A397" i="3"/>
  <c r="C397" i="3"/>
  <c r="B397" i="3"/>
  <c r="A394" i="2"/>
  <c r="A396" i="3"/>
  <c r="C396" i="3"/>
  <c r="B396" i="3"/>
  <c r="A393" i="2"/>
  <c r="A395" i="3"/>
  <c r="C395" i="3"/>
  <c r="B395" i="3"/>
  <c r="A392" i="2"/>
  <c r="A394" i="3"/>
  <c r="C394" i="3"/>
  <c r="B394" i="3"/>
  <c r="A391" i="2"/>
  <c r="A393" i="3"/>
  <c r="C393" i="3"/>
  <c r="B393" i="3"/>
  <c r="A390" i="2"/>
  <c r="A392" i="3"/>
  <c r="C392" i="3"/>
  <c r="B392" i="3"/>
  <c r="A389" i="2"/>
  <c r="A391" i="3"/>
  <c r="C391" i="3"/>
  <c r="B391" i="3"/>
  <c r="A388" i="2"/>
  <c r="A390" i="3"/>
  <c r="C390" i="3"/>
  <c r="B390" i="3"/>
  <c r="A387" i="2"/>
  <c r="A389" i="3"/>
  <c r="C389" i="3"/>
  <c r="B389" i="3"/>
  <c r="A386" i="2"/>
  <c r="A388" i="3"/>
  <c r="C388" i="3"/>
  <c r="B388" i="3"/>
  <c r="A385" i="2"/>
  <c r="A387" i="3"/>
  <c r="C387" i="3"/>
  <c r="B387" i="3"/>
  <c r="A384" i="2"/>
  <c r="A386" i="3"/>
  <c r="C386" i="3"/>
  <c r="B386" i="3"/>
  <c r="A383" i="2"/>
  <c r="A385" i="3"/>
  <c r="C385" i="3"/>
  <c r="B385" i="3"/>
  <c r="A382" i="2"/>
  <c r="A384" i="3"/>
  <c r="C384" i="3"/>
  <c r="B384" i="3"/>
  <c r="A381" i="2"/>
  <c r="A383" i="3"/>
  <c r="C383" i="3"/>
  <c r="B383" i="3"/>
  <c r="A380" i="2"/>
  <c r="A382" i="3"/>
  <c r="C382" i="3"/>
  <c r="B382" i="3"/>
  <c r="A379" i="2"/>
  <c r="A381" i="3"/>
  <c r="C381" i="3"/>
  <c r="B381" i="3"/>
  <c r="A378" i="2"/>
  <c r="A380" i="3"/>
  <c r="C380" i="3"/>
  <c r="B380" i="3"/>
  <c r="A377" i="2"/>
  <c r="A379" i="3"/>
  <c r="C379" i="3"/>
  <c r="B379" i="3"/>
  <c r="A376" i="2"/>
  <c r="A378" i="3"/>
  <c r="C378" i="3"/>
  <c r="B378" i="3"/>
  <c r="A375" i="2"/>
  <c r="A377" i="3"/>
  <c r="C377" i="3"/>
  <c r="B377" i="3"/>
  <c r="A374" i="2"/>
  <c r="A376" i="3"/>
  <c r="C376" i="3"/>
  <c r="B376" i="3"/>
  <c r="A373" i="2"/>
  <c r="A375" i="3"/>
  <c r="C375" i="3"/>
  <c r="B375" i="3"/>
  <c r="A372" i="2"/>
  <c r="A374" i="3"/>
  <c r="C374" i="3"/>
  <c r="B374" i="3"/>
  <c r="A371" i="2"/>
  <c r="A373" i="3"/>
  <c r="C373" i="3"/>
  <c r="B373" i="3"/>
  <c r="A370" i="2"/>
  <c r="A372" i="3"/>
  <c r="C372" i="3"/>
  <c r="B372" i="3"/>
  <c r="A369" i="2"/>
  <c r="A371" i="3"/>
  <c r="C371" i="3"/>
  <c r="B371" i="3"/>
  <c r="A368" i="2"/>
  <c r="A370" i="3"/>
  <c r="C370" i="3"/>
  <c r="B370" i="3"/>
  <c r="A367" i="2"/>
  <c r="A369" i="3"/>
  <c r="C369" i="3"/>
  <c r="B369" i="3"/>
  <c r="A366" i="2"/>
  <c r="A368" i="3"/>
  <c r="C368" i="3"/>
  <c r="B368" i="3"/>
  <c r="A365" i="2"/>
  <c r="A367" i="3"/>
  <c r="C367" i="3"/>
  <c r="B367" i="3"/>
  <c r="A364" i="2"/>
  <c r="A366" i="3"/>
  <c r="C366" i="3"/>
  <c r="B366" i="3"/>
  <c r="A363" i="2"/>
  <c r="A365" i="3"/>
  <c r="C365" i="3"/>
  <c r="B365" i="3"/>
  <c r="A362" i="2"/>
  <c r="A364" i="3"/>
  <c r="C364" i="3"/>
  <c r="B364" i="3"/>
  <c r="A361" i="2"/>
  <c r="A363" i="3"/>
  <c r="C363" i="3"/>
  <c r="B363" i="3"/>
  <c r="A360" i="2"/>
  <c r="A362" i="3"/>
  <c r="C362" i="3"/>
  <c r="B362" i="3"/>
  <c r="A359" i="2"/>
  <c r="A361" i="3"/>
  <c r="C361" i="3"/>
  <c r="B361" i="3"/>
  <c r="A358" i="2"/>
  <c r="A360" i="3"/>
  <c r="C360" i="3"/>
  <c r="B360" i="3"/>
  <c r="A357" i="2"/>
  <c r="A359" i="3"/>
  <c r="C359" i="3"/>
  <c r="B359" i="3"/>
  <c r="A356" i="2"/>
  <c r="A358" i="3"/>
  <c r="C358" i="3"/>
  <c r="B358" i="3"/>
  <c r="A355" i="2"/>
  <c r="A357" i="3"/>
  <c r="C357" i="3"/>
  <c r="B357" i="3"/>
  <c r="A354" i="2"/>
  <c r="A356" i="3"/>
  <c r="C356" i="3"/>
  <c r="B356" i="3"/>
  <c r="A353" i="2"/>
  <c r="A355" i="3"/>
  <c r="C355" i="3"/>
  <c r="B355" i="3"/>
  <c r="A352" i="2"/>
  <c r="A354" i="3"/>
  <c r="C354" i="3"/>
  <c r="B354" i="3"/>
  <c r="A351" i="2"/>
  <c r="A353" i="3"/>
  <c r="C353" i="3"/>
  <c r="B353" i="3"/>
  <c r="A350" i="2"/>
  <c r="A352" i="3"/>
  <c r="C352" i="3"/>
  <c r="B352" i="3"/>
  <c r="A349" i="2"/>
  <c r="A351" i="3"/>
  <c r="C351" i="3"/>
  <c r="B351" i="3"/>
  <c r="A348" i="2"/>
  <c r="A350" i="3"/>
  <c r="C350" i="3"/>
  <c r="B350" i="3"/>
  <c r="A347" i="2"/>
  <c r="A349" i="3"/>
  <c r="C349" i="3"/>
  <c r="B349" i="3"/>
  <c r="A346" i="2"/>
  <c r="A348" i="3"/>
  <c r="C348" i="3"/>
  <c r="B348" i="3"/>
  <c r="A345" i="2"/>
  <c r="A347" i="3"/>
  <c r="C347" i="3"/>
  <c r="B347" i="3"/>
  <c r="A344" i="2"/>
  <c r="A346" i="3"/>
  <c r="C346" i="3"/>
  <c r="B346" i="3"/>
  <c r="A343" i="2"/>
  <c r="A345" i="3"/>
  <c r="C345" i="3"/>
  <c r="B345" i="3"/>
  <c r="A342" i="2"/>
  <c r="A344" i="3"/>
  <c r="C344" i="3"/>
  <c r="B344" i="3"/>
  <c r="A341" i="2"/>
  <c r="A343" i="3"/>
  <c r="C343" i="3"/>
  <c r="B343" i="3"/>
  <c r="A340" i="2"/>
  <c r="A342" i="3"/>
  <c r="C342" i="3"/>
  <c r="B342" i="3"/>
  <c r="A339" i="2"/>
  <c r="A341" i="3"/>
  <c r="C341" i="3"/>
  <c r="B341" i="3"/>
  <c r="A338" i="2"/>
  <c r="A340" i="3"/>
  <c r="C340" i="3"/>
  <c r="B340" i="3"/>
  <c r="A337" i="2"/>
  <c r="A339" i="3"/>
  <c r="C339" i="3"/>
  <c r="B339" i="3"/>
  <c r="A336" i="2"/>
  <c r="A338" i="3"/>
  <c r="C338" i="3"/>
  <c r="B338" i="3"/>
  <c r="A335" i="2"/>
  <c r="A337" i="3"/>
  <c r="C337" i="3"/>
  <c r="B337" i="3"/>
  <c r="A334" i="2"/>
  <c r="A336" i="3"/>
  <c r="C336" i="3"/>
  <c r="B336" i="3"/>
  <c r="A333" i="2"/>
  <c r="A335" i="3"/>
  <c r="C335" i="3"/>
  <c r="B335" i="3"/>
  <c r="A332" i="2"/>
  <c r="A334" i="3"/>
  <c r="C334" i="3"/>
  <c r="B334" i="3"/>
  <c r="A331" i="2"/>
  <c r="A333" i="3"/>
  <c r="C333" i="3"/>
  <c r="B333" i="3"/>
  <c r="A330" i="2"/>
  <c r="A332" i="3"/>
  <c r="C332" i="3"/>
  <c r="B332" i="3"/>
  <c r="A329" i="2"/>
  <c r="A331" i="3"/>
  <c r="C331" i="3"/>
  <c r="B331" i="3"/>
  <c r="A328" i="2"/>
  <c r="A330" i="3"/>
  <c r="C330" i="3"/>
  <c r="B330" i="3"/>
  <c r="A327" i="2"/>
  <c r="A329" i="3"/>
  <c r="C329" i="3"/>
  <c r="B329" i="3"/>
  <c r="A326" i="2"/>
  <c r="A328" i="3"/>
  <c r="C328" i="3"/>
  <c r="B328" i="3"/>
  <c r="A325" i="2"/>
  <c r="A327" i="3"/>
  <c r="C327" i="3"/>
  <c r="B327" i="3"/>
  <c r="A324" i="2"/>
  <c r="A326" i="3"/>
  <c r="C326" i="3"/>
  <c r="B326" i="3"/>
  <c r="A323" i="2"/>
  <c r="A325" i="3"/>
  <c r="C325" i="3"/>
  <c r="B325" i="3"/>
  <c r="A322" i="2"/>
  <c r="A324" i="3"/>
  <c r="C324" i="3"/>
  <c r="B324" i="3"/>
  <c r="A321" i="2"/>
  <c r="A323" i="3"/>
  <c r="C323" i="3"/>
  <c r="B323" i="3"/>
  <c r="A320" i="2"/>
  <c r="A322" i="3"/>
  <c r="C322" i="3"/>
  <c r="B322" i="3"/>
  <c r="A319" i="2"/>
  <c r="A321" i="3"/>
  <c r="C321" i="3"/>
  <c r="B321" i="3"/>
  <c r="A318" i="2"/>
  <c r="A320" i="3"/>
  <c r="C320" i="3"/>
  <c r="B320" i="3"/>
  <c r="A317" i="2"/>
  <c r="A319" i="3"/>
  <c r="C319" i="3"/>
  <c r="B319" i="3"/>
  <c r="A316" i="2"/>
  <c r="A318" i="3"/>
  <c r="C318" i="3"/>
  <c r="B318" i="3"/>
  <c r="A315" i="2"/>
  <c r="A317" i="3"/>
  <c r="C317" i="3"/>
  <c r="B317" i="3"/>
  <c r="A314" i="2"/>
  <c r="A316" i="3"/>
  <c r="C316" i="3"/>
  <c r="B316" i="3"/>
  <c r="A313" i="2"/>
  <c r="A315" i="3"/>
  <c r="C315" i="3"/>
  <c r="B315" i="3"/>
  <c r="A312" i="2"/>
  <c r="A314" i="3"/>
  <c r="C314" i="3"/>
  <c r="B314" i="3"/>
  <c r="A311" i="2"/>
  <c r="A313" i="3"/>
  <c r="C313" i="3"/>
  <c r="B313" i="3"/>
  <c r="A310" i="2"/>
  <c r="A312" i="3"/>
  <c r="C312" i="3"/>
  <c r="B312" i="3"/>
  <c r="A309" i="2"/>
  <c r="A311" i="3"/>
  <c r="C311" i="3"/>
  <c r="B311" i="3"/>
  <c r="A308" i="2"/>
  <c r="A310" i="3"/>
  <c r="C310" i="3"/>
  <c r="B310" i="3"/>
  <c r="A307" i="2"/>
  <c r="A309" i="3"/>
  <c r="C309" i="3"/>
  <c r="B309" i="3"/>
  <c r="A306" i="2"/>
  <c r="A308" i="3"/>
  <c r="C308" i="3"/>
  <c r="B308" i="3"/>
  <c r="A305" i="2"/>
  <c r="A307" i="3"/>
  <c r="C307" i="3"/>
  <c r="B307" i="3"/>
  <c r="A304" i="2"/>
  <c r="A306" i="3"/>
  <c r="C306" i="3"/>
  <c r="B306" i="3"/>
  <c r="A303" i="2"/>
  <c r="A305" i="3"/>
  <c r="C305" i="3"/>
  <c r="B305" i="3"/>
  <c r="A302" i="2"/>
  <c r="A304" i="3"/>
  <c r="C304" i="3"/>
  <c r="B304" i="3"/>
  <c r="A301" i="2"/>
  <c r="A303" i="3"/>
  <c r="C303" i="3"/>
  <c r="B303" i="3"/>
  <c r="A300" i="2"/>
  <c r="A302" i="3"/>
  <c r="C302" i="3"/>
  <c r="B302" i="3"/>
  <c r="A299" i="2"/>
  <c r="A301" i="3"/>
  <c r="C301" i="3"/>
  <c r="B301" i="3"/>
  <c r="A298" i="2"/>
  <c r="A300" i="3"/>
  <c r="C300" i="3"/>
  <c r="B300" i="3"/>
  <c r="A297" i="2"/>
  <c r="A299" i="3"/>
  <c r="C299" i="3"/>
  <c r="B299" i="3"/>
  <c r="A296" i="2"/>
  <c r="A298" i="3"/>
  <c r="C298" i="3"/>
  <c r="B298" i="3"/>
  <c r="A295" i="2"/>
  <c r="A297" i="3"/>
  <c r="C297" i="3"/>
  <c r="B297" i="3"/>
  <c r="A294" i="2"/>
  <c r="A296" i="3"/>
  <c r="C296" i="3"/>
  <c r="B296" i="3"/>
  <c r="A293" i="2"/>
  <c r="A295" i="3"/>
  <c r="C295" i="3"/>
  <c r="B295" i="3"/>
  <c r="A292" i="2"/>
  <c r="A294" i="3"/>
  <c r="C294" i="3"/>
  <c r="B294" i="3"/>
  <c r="A291" i="2"/>
  <c r="A293" i="3"/>
  <c r="C293" i="3"/>
  <c r="B293" i="3"/>
  <c r="A290" i="2"/>
  <c r="A292" i="3"/>
  <c r="C292" i="3"/>
  <c r="B292" i="3"/>
  <c r="A289" i="2"/>
  <c r="A291" i="3"/>
  <c r="C291" i="3"/>
  <c r="B291" i="3"/>
  <c r="A288" i="2"/>
  <c r="A290" i="3"/>
  <c r="C290" i="3"/>
  <c r="B290" i="3"/>
  <c r="A287" i="2"/>
  <c r="A289" i="3"/>
  <c r="C289" i="3"/>
  <c r="B289" i="3"/>
  <c r="A286" i="2"/>
  <c r="A288" i="3"/>
  <c r="C288" i="3"/>
  <c r="B288" i="3"/>
  <c r="A285" i="2"/>
  <c r="A287" i="3"/>
  <c r="C287" i="3"/>
  <c r="B287" i="3"/>
  <c r="A284" i="2"/>
  <c r="A286" i="3"/>
  <c r="C286" i="3"/>
  <c r="B286" i="3"/>
  <c r="A283" i="2"/>
  <c r="A285" i="3"/>
  <c r="C285" i="3"/>
  <c r="B285" i="3"/>
  <c r="A282" i="2"/>
  <c r="A284" i="3"/>
  <c r="C284" i="3"/>
  <c r="B284" i="3"/>
  <c r="A281" i="2"/>
  <c r="A283" i="3"/>
  <c r="C283" i="3"/>
  <c r="B283" i="3"/>
  <c r="A280" i="2"/>
  <c r="A282" i="3"/>
  <c r="C282" i="3"/>
  <c r="B282" i="3"/>
  <c r="A279" i="2"/>
  <c r="A281" i="3"/>
  <c r="C281" i="3"/>
  <c r="B281" i="3"/>
  <c r="A278" i="2"/>
  <c r="A280" i="3"/>
  <c r="C280" i="3"/>
  <c r="B280" i="3"/>
  <c r="A277" i="2"/>
  <c r="A279" i="3"/>
  <c r="C279" i="3"/>
  <c r="B279" i="3"/>
  <c r="A276" i="2"/>
  <c r="A278" i="3"/>
  <c r="C278" i="3"/>
  <c r="B278" i="3"/>
  <c r="A275" i="2"/>
  <c r="A277" i="3"/>
  <c r="C277" i="3"/>
  <c r="B277" i="3"/>
  <c r="A274" i="2"/>
  <c r="A276" i="3"/>
  <c r="C276" i="3"/>
  <c r="B276" i="3"/>
  <c r="A273" i="2"/>
  <c r="A275" i="3"/>
  <c r="C275" i="3"/>
  <c r="B275" i="3"/>
  <c r="A272" i="2"/>
  <c r="A274" i="3"/>
  <c r="C274" i="3"/>
  <c r="B274" i="3"/>
  <c r="A271" i="2"/>
  <c r="A273" i="3"/>
  <c r="C273" i="3"/>
  <c r="B273" i="3"/>
  <c r="A270" i="2"/>
  <c r="A272" i="3"/>
  <c r="C272" i="3"/>
  <c r="B272" i="3"/>
  <c r="A269" i="2"/>
  <c r="A271" i="3"/>
  <c r="C271" i="3"/>
  <c r="B271" i="3"/>
  <c r="A268" i="2"/>
  <c r="A270" i="3"/>
  <c r="C270" i="3"/>
  <c r="B270" i="3"/>
  <c r="A267" i="2"/>
  <c r="A269" i="3"/>
  <c r="C269" i="3"/>
  <c r="B269" i="3"/>
  <c r="A266" i="2"/>
  <c r="A268" i="3"/>
  <c r="C268" i="3"/>
  <c r="B268" i="3"/>
  <c r="A265" i="2"/>
  <c r="A267" i="3"/>
  <c r="C267" i="3"/>
  <c r="B267" i="3"/>
  <c r="A264" i="2"/>
  <c r="A266" i="3"/>
  <c r="C266" i="3"/>
  <c r="B266" i="3"/>
  <c r="A263" i="2"/>
  <c r="A265" i="3"/>
  <c r="C265" i="3"/>
  <c r="B265" i="3"/>
  <c r="A262" i="2"/>
  <c r="A264" i="3"/>
  <c r="C264" i="3"/>
  <c r="B264" i="3"/>
  <c r="A261" i="2"/>
  <c r="A263" i="3"/>
  <c r="C263" i="3"/>
  <c r="B263" i="3"/>
  <c r="A260" i="2"/>
  <c r="A262" i="3"/>
  <c r="C262" i="3"/>
  <c r="B262" i="3"/>
  <c r="A259" i="2"/>
  <c r="A261" i="3"/>
  <c r="C261" i="3"/>
  <c r="B261" i="3"/>
  <c r="A258" i="2"/>
  <c r="A260" i="3"/>
  <c r="C260" i="3"/>
  <c r="B260" i="3"/>
  <c r="A257" i="2"/>
  <c r="A259" i="3"/>
  <c r="C259" i="3"/>
  <c r="B259" i="3"/>
  <c r="A256" i="2"/>
  <c r="A258" i="3"/>
  <c r="C258" i="3"/>
  <c r="B258" i="3"/>
  <c r="A255" i="2"/>
  <c r="A257" i="3"/>
  <c r="C257" i="3"/>
  <c r="B257" i="3"/>
  <c r="A254" i="2"/>
  <c r="A256" i="3"/>
  <c r="C256" i="3"/>
  <c r="B256" i="3"/>
  <c r="A253" i="2"/>
  <c r="A255" i="3"/>
  <c r="C255" i="3"/>
  <c r="B255" i="3"/>
  <c r="A252" i="2"/>
  <c r="A254" i="3"/>
  <c r="C254" i="3"/>
  <c r="B254" i="3"/>
  <c r="A251" i="2"/>
  <c r="A253" i="3"/>
  <c r="C253" i="3"/>
  <c r="B253" i="3"/>
  <c r="A250" i="2"/>
  <c r="A252" i="3"/>
  <c r="C252" i="3"/>
  <c r="B252" i="3"/>
  <c r="A249" i="2"/>
  <c r="A251" i="3"/>
  <c r="C251" i="3"/>
  <c r="B251" i="3"/>
  <c r="A248" i="2"/>
  <c r="A250" i="3"/>
  <c r="C250" i="3"/>
  <c r="B250" i="3"/>
  <c r="A247" i="2"/>
  <c r="A249" i="3"/>
  <c r="C249" i="3"/>
  <c r="B249" i="3"/>
  <c r="A246" i="2"/>
  <c r="A248" i="3"/>
  <c r="C248" i="3"/>
  <c r="B248" i="3"/>
  <c r="A245" i="2"/>
  <c r="A247" i="3"/>
  <c r="C247" i="3"/>
  <c r="B247" i="3"/>
  <c r="A244" i="2"/>
  <c r="A246" i="3"/>
  <c r="C246" i="3"/>
  <c r="B246" i="3"/>
  <c r="A243" i="2"/>
  <c r="A245" i="3"/>
  <c r="C245" i="3"/>
  <c r="B245" i="3"/>
  <c r="A242" i="2"/>
  <c r="A244" i="3"/>
  <c r="C244" i="3"/>
  <c r="B244" i="3"/>
  <c r="A241" i="2"/>
  <c r="A243" i="3"/>
  <c r="C243" i="3"/>
  <c r="B243" i="3"/>
  <c r="A240" i="2"/>
  <c r="A242" i="3"/>
  <c r="C242" i="3"/>
  <c r="B242" i="3"/>
  <c r="A239" i="2"/>
  <c r="A241" i="3"/>
  <c r="C241" i="3"/>
  <c r="B241" i="3"/>
  <c r="A238" i="2"/>
  <c r="A240" i="3"/>
  <c r="C240" i="3"/>
  <c r="B240" i="3"/>
  <c r="A237" i="2"/>
  <c r="A239" i="3"/>
  <c r="C239" i="3"/>
  <c r="B239" i="3"/>
  <c r="A236" i="2"/>
  <c r="A238" i="3"/>
  <c r="C238" i="3"/>
  <c r="B238" i="3"/>
  <c r="A235" i="2"/>
  <c r="A237" i="3"/>
  <c r="C237" i="3"/>
  <c r="B237" i="3"/>
  <c r="A234" i="2"/>
  <c r="A236" i="3"/>
  <c r="C236" i="3"/>
  <c r="B236" i="3"/>
  <c r="A233" i="2"/>
  <c r="A235" i="3"/>
  <c r="C235" i="3"/>
  <c r="B235" i="3"/>
  <c r="A232" i="2"/>
  <c r="A234" i="3"/>
  <c r="C234" i="3"/>
  <c r="B234" i="3"/>
  <c r="A231" i="2"/>
  <c r="A233" i="3"/>
  <c r="C233" i="3"/>
  <c r="B233" i="3"/>
  <c r="A230" i="2"/>
  <c r="A232" i="3"/>
  <c r="C232" i="3"/>
  <c r="B232" i="3"/>
  <c r="A229" i="2"/>
  <c r="A231" i="3"/>
  <c r="C231" i="3"/>
  <c r="B231" i="3"/>
  <c r="A228" i="2"/>
  <c r="A230" i="3"/>
  <c r="C230" i="3"/>
  <c r="B230" i="3"/>
  <c r="A227" i="2"/>
  <c r="A229" i="3"/>
  <c r="C229" i="3"/>
  <c r="B229" i="3"/>
  <c r="A226" i="2"/>
  <c r="A228" i="3"/>
  <c r="C228" i="3"/>
  <c r="B228" i="3"/>
  <c r="A225" i="2"/>
  <c r="A227" i="3"/>
  <c r="C227" i="3"/>
  <c r="B227" i="3"/>
  <c r="A224" i="2"/>
  <c r="A226" i="3"/>
  <c r="C226" i="3"/>
  <c r="B226" i="3"/>
  <c r="A223" i="2"/>
  <c r="A225" i="3"/>
  <c r="C225" i="3"/>
  <c r="B225" i="3"/>
  <c r="A222" i="2"/>
  <c r="A224" i="3"/>
  <c r="C224" i="3"/>
  <c r="B224" i="3"/>
  <c r="A221" i="2"/>
  <c r="A223" i="3"/>
  <c r="C223" i="3"/>
  <c r="B223" i="3"/>
  <c r="A220" i="2"/>
  <c r="A222" i="3"/>
  <c r="C222" i="3"/>
  <c r="B222" i="3"/>
  <c r="A219" i="2"/>
  <c r="A221" i="3"/>
  <c r="C221" i="3"/>
  <c r="B221" i="3"/>
  <c r="A218" i="2"/>
  <c r="A220" i="3"/>
  <c r="C220" i="3"/>
  <c r="B220" i="3"/>
  <c r="A217" i="2"/>
  <c r="A219" i="3"/>
  <c r="C219" i="3"/>
  <c r="B219" i="3"/>
  <c r="A216" i="2"/>
  <c r="A218" i="3"/>
  <c r="C218" i="3"/>
  <c r="B218" i="3"/>
  <c r="A215" i="2"/>
  <c r="A217" i="3"/>
  <c r="C217" i="3"/>
  <c r="B217" i="3"/>
  <c r="A214" i="2"/>
  <c r="A216" i="3"/>
  <c r="C216" i="3"/>
  <c r="B216" i="3"/>
  <c r="A213" i="2"/>
  <c r="A215" i="3"/>
  <c r="C215" i="3"/>
  <c r="B215" i="3"/>
  <c r="A212" i="2"/>
  <c r="A214" i="3"/>
  <c r="C214" i="3"/>
  <c r="B214" i="3"/>
  <c r="A211" i="2"/>
  <c r="A213" i="3"/>
  <c r="C213" i="3"/>
  <c r="B213" i="3"/>
  <c r="A210" i="2"/>
  <c r="A212" i="3"/>
  <c r="C212" i="3"/>
  <c r="B212" i="3"/>
  <c r="A209" i="2"/>
  <c r="A211" i="3"/>
  <c r="C211" i="3"/>
  <c r="B211" i="3"/>
  <c r="A208" i="2"/>
  <c r="A210" i="3"/>
  <c r="C210" i="3"/>
  <c r="B210" i="3"/>
  <c r="A207" i="2"/>
  <c r="A209" i="3"/>
  <c r="C209" i="3"/>
  <c r="B209" i="3"/>
  <c r="A206" i="2"/>
  <c r="A208" i="3"/>
  <c r="C208" i="3"/>
  <c r="B208" i="3"/>
  <c r="A205" i="2"/>
  <c r="A207" i="3"/>
  <c r="C207" i="3"/>
  <c r="B207" i="3"/>
  <c r="A204" i="2"/>
  <c r="A206" i="3"/>
  <c r="C206" i="3"/>
  <c r="B206" i="3"/>
  <c r="A203" i="2"/>
  <c r="A205" i="3"/>
  <c r="C205" i="3"/>
  <c r="B205" i="3"/>
  <c r="A202" i="2"/>
  <c r="A204" i="3"/>
  <c r="C204" i="3"/>
  <c r="B204" i="3"/>
  <c r="A201" i="2"/>
  <c r="A203" i="3"/>
  <c r="C203" i="3"/>
  <c r="B203" i="3"/>
  <c r="A200" i="2"/>
  <c r="A202" i="3"/>
  <c r="C202" i="3"/>
  <c r="B202" i="3"/>
  <c r="A199" i="2"/>
  <c r="A201" i="3"/>
  <c r="C201" i="3"/>
  <c r="B201" i="3"/>
  <c r="A198" i="2"/>
  <c r="A200" i="3"/>
  <c r="C200" i="3"/>
  <c r="B200" i="3"/>
  <c r="A197" i="2"/>
  <c r="A199" i="3"/>
  <c r="C199" i="3"/>
  <c r="B199" i="3"/>
  <c r="A196" i="2"/>
  <c r="A198" i="3"/>
  <c r="C198" i="3"/>
  <c r="B198" i="3"/>
  <c r="A195" i="2"/>
  <c r="A197" i="3"/>
  <c r="C197" i="3"/>
  <c r="B197" i="3"/>
  <c r="A194" i="2"/>
  <c r="A196" i="3"/>
  <c r="C196" i="3"/>
  <c r="B196" i="3"/>
  <c r="A193" i="2"/>
  <c r="A195" i="3"/>
  <c r="C195" i="3"/>
  <c r="B195" i="3"/>
  <c r="A192" i="2"/>
  <c r="A194" i="3"/>
  <c r="C194" i="3"/>
  <c r="B194" i="3"/>
  <c r="A191" i="2"/>
  <c r="A193" i="3"/>
  <c r="C193" i="3"/>
  <c r="B193" i="3"/>
  <c r="A190" i="2"/>
  <c r="A192" i="3"/>
  <c r="C192" i="3"/>
  <c r="B192" i="3"/>
  <c r="A189" i="2"/>
  <c r="A191" i="3"/>
  <c r="C191" i="3"/>
  <c r="B191" i="3"/>
  <c r="A188" i="2"/>
  <c r="A190" i="3"/>
  <c r="C190" i="3"/>
  <c r="B190" i="3"/>
  <c r="A187" i="2"/>
  <c r="A189" i="3"/>
  <c r="C189" i="3"/>
  <c r="B189" i="3"/>
  <c r="A186" i="2"/>
  <c r="A188" i="3"/>
  <c r="C188" i="3"/>
  <c r="B188" i="3"/>
  <c r="A185" i="2"/>
  <c r="A187" i="3"/>
  <c r="C187" i="3"/>
  <c r="B187" i="3"/>
  <c r="A184" i="2"/>
  <c r="A186" i="3"/>
  <c r="C186" i="3"/>
  <c r="B186" i="3"/>
  <c r="A183" i="2"/>
  <c r="A185" i="3"/>
  <c r="C185" i="3"/>
  <c r="B185" i="3"/>
  <c r="A182" i="2"/>
  <c r="A184" i="3"/>
  <c r="C184" i="3"/>
  <c r="B184" i="3"/>
  <c r="A181" i="2"/>
  <c r="A183" i="3"/>
  <c r="C183" i="3"/>
  <c r="B183" i="3"/>
  <c r="A180" i="2"/>
  <c r="A182" i="3"/>
  <c r="C182" i="3"/>
  <c r="B182" i="3"/>
  <c r="A179" i="2"/>
  <c r="A181" i="3"/>
  <c r="C181" i="3"/>
  <c r="B181" i="3"/>
  <c r="A178" i="2"/>
  <c r="A180" i="3"/>
  <c r="C180" i="3"/>
  <c r="B180" i="3"/>
  <c r="A177" i="2"/>
  <c r="A179" i="3"/>
  <c r="C179" i="3"/>
  <c r="B179" i="3"/>
  <c r="A176" i="2"/>
  <c r="A178" i="3"/>
  <c r="C178" i="3"/>
  <c r="B178" i="3"/>
  <c r="A175" i="2"/>
  <c r="A177" i="3"/>
  <c r="C177" i="3"/>
  <c r="B177" i="3"/>
  <c r="A174" i="2"/>
  <c r="A176" i="3"/>
  <c r="C176" i="3"/>
  <c r="B176" i="3"/>
  <c r="A173" i="2"/>
  <c r="A175" i="3"/>
  <c r="C175" i="3"/>
  <c r="B175" i="3"/>
  <c r="A172" i="2"/>
  <c r="A174" i="3"/>
  <c r="C174" i="3"/>
  <c r="B174" i="3"/>
  <c r="A171" i="2"/>
  <c r="A173" i="3"/>
  <c r="C173" i="3"/>
  <c r="B173" i="3"/>
  <c r="A170" i="2"/>
  <c r="A172" i="3"/>
  <c r="C172" i="3"/>
  <c r="B172" i="3"/>
  <c r="A169" i="2"/>
  <c r="A171" i="3"/>
  <c r="C171" i="3"/>
  <c r="B171" i="3"/>
  <c r="A168" i="2"/>
  <c r="A170" i="3"/>
  <c r="C170" i="3"/>
  <c r="B170" i="3"/>
  <c r="A167" i="2"/>
  <c r="A169" i="3"/>
  <c r="C169" i="3"/>
  <c r="B169" i="3"/>
  <c r="A166" i="2"/>
  <c r="A168" i="3"/>
  <c r="C168" i="3"/>
  <c r="B168" i="3"/>
  <c r="A165" i="2"/>
  <c r="A167" i="3"/>
  <c r="C167" i="3"/>
  <c r="B167" i="3"/>
  <c r="A164" i="2"/>
  <c r="A166" i="3"/>
  <c r="C166" i="3"/>
  <c r="B166" i="3"/>
  <c r="A163" i="2"/>
  <c r="A165" i="3"/>
  <c r="C165" i="3"/>
  <c r="B165" i="3"/>
  <c r="A162" i="2"/>
  <c r="A164" i="3"/>
  <c r="C164" i="3"/>
  <c r="B164" i="3"/>
  <c r="A161" i="2"/>
  <c r="A163" i="3"/>
  <c r="C163" i="3"/>
  <c r="B163" i="3"/>
  <c r="A160" i="2"/>
  <c r="A162" i="3"/>
  <c r="C162" i="3"/>
  <c r="B162" i="3"/>
  <c r="A159" i="2"/>
  <c r="A161" i="3"/>
  <c r="C161" i="3"/>
  <c r="B161" i="3"/>
  <c r="A158" i="2"/>
  <c r="A160" i="3"/>
  <c r="C160" i="3"/>
  <c r="B160" i="3"/>
  <c r="A157" i="2"/>
  <c r="A159" i="3"/>
  <c r="C159" i="3"/>
  <c r="B159" i="3"/>
  <c r="A156" i="2"/>
  <c r="A158" i="3"/>
  <c r="C158" i="3"/>
  <c r="B158" i="3"/>
  <c r="A155" i="2"/>
  <c r="A157" i="3"/>
  <c r="C157" i="3"/>
  <c r="B157" i="3"/>
  <c r="A154" i="2"/>
  <c r="A156" i="3"/>
  <c r="C156" i="3"/>
  <c r="B156" i="3"/>
  <c r="A153" i="2"/>
  <c r="A155" i="3"/>
  <c r="C155" i="3"/>
  <c r="B155" i="3"/>
  <c r="A152" i="2"/>
  <c r="A154" i="3"/>
  <c r="C154" i="3"/>
  <c r="B154" i="3"/>
  <c r="A151" i="2"/>
  <c r="A153" i="3"/>
  <c r="C153" i="3"/>
  <c r="B153" i="3"/>
  <c r="A150" i="2"/>
  <c r="A152" i="3"/>
  <c r="C152" i="3"/>
  <c r="B152" i="3"/>
  <c r="A149" i="2"/>
  <c r="A151" i="3"/>
  <c r="C151" i="3"/>
  <c r="B151" i="3"/>
  <c r="A148" i="2"/>
  <c r="A150" i="3"/>
  <c r="C150" i="3"/>
  <c r="B150" i="3"/>
  <c r="A147" i="2"/>
  <c r="A149" i="3"/>
  <c r="C149" i="3"/>
  <c r="B149" i="3"/>
  <c r="A146" i="2"/>
  <c r="A148" i="3"/>
  <c r="C148" i="3"/>
  <c r="B148" i="3"/>
  <c r="A145" i="2"/>
  <c r="A147" i="3"/>
  <c r="C147" i="3"/>
  <c r="B147" i="3"/>
  <c r="A144" i="2"/>
  <c r="A146" i="3"/>
  <c r="C146" i="3"/>
  <c r="B146" i="3"/>
  <c r="A143" i="2"/>
  <c r="A145" i="3"/>
  <c r="C145" i="3"/>
  <c r="B145" i="3"/>
  <c r="A142" i="2"/>
  <c r="A144" i="3"/>
  <c r="C144" i="3"/>
  <c r="B144" i="3"/>
  <c r="A141" i="2"/>
  <c r="A143" i="3"/>
  <c r="C143" i="3"/>
  <c r="B143" i="3"/>
  <c r="A140" i="2"/>
  <c r="A142" i="3"/>
  <c r="C142" i="3"/>
  <c r="B142" i="3"/>
  <c r="A139" i="2"/>
  <c r="A141" i="3"/>
  <c r="C141" i="3"/>
  <c r="B141" i="3"/>
  <c r="A138" i="2"/>
  <c r="A140" i="3"/>
  <c r="C140" i="3"/>
  <c r="B140" i="3"/>
  <c r="A137" i="2"/>
  <c r="A139" i="3"/>
  <c r="C139" i="3"/>
  <c r="B139" i="3"/>
  <c r="A136" i="2"/>
  <c r="A138" i="3"/>
  <c r="C138" i="3"/>
  <c r="B138" i="3"/>
  <c r="A135" i="2"/>
  <c r="A137" i="3"/>
  <c r="C137" i="3"/>
  <c r="B137" i="3"/>
  <c r="A134" i="2"/>
  <c r="A136" i="3"/>
  <c r="C136" i="3"/>
  <c r="B136" i="3"/>
  <c r="A133" i="2"/>
  <c r="A135" i="3"/>
  <c r="C135" i="3"/>
  <c r="B135" i="3"/>
  <c r="A132" i="2"/>
  <c r="A134" i="3"/>
  <c r="C134" i="3"/>
  <c r="B134" i="3"/>
  <c r="A131" i="2"/>
  <c r="A133" i="3"/>
  <c r="C133" i="3"/>
  <c r="B133" i="3"/>
  <c r="A130" i="2"/>
  <c r="A132" i="3"/>
  <c r="C132" i="3"/>
  <c r="B132" i="3"/>
  <c r="A129" i="2"/>
  <c r="A131" i="3"/>
  <c r="C131" i="3"/>
  <c r="B131" i="3"/>
  <c r="A128" i="2"/>
  <c r="A130" i="3"/>
  <c r="C130" i="3"/>
  <c r="B130" i="3"/>
  <c r="A127" i="2"/>
  <c r="A129" i="3"/>
  <c r="C129" i="3"/>
  <c r="B129" i="3"/>
  <c r="A126" i="2"/>
  <c r="A128" i="3"/>
  <c r="C128" i="3"/>
  <c r="B128" i="3"/>
  <c r="A125" i="2"/>
  <c r="A127" i="3"/>
  <c r="C127" i="3"/>
  <c r="B127" i="3"/>
  <c r="A124" i="2"/>
  <c r="A126" i="3"/>
  <c r="C126" i="3"/>
  <c r="B126" i="3"/>
  <c r="A123" i="2"/>
  <c r="A125" i="3"/>
  <c r="C125" i="3"/>
  <c r="B125" i="3"/>
  <c r="A122" i="2"/>
  <c r="A124" i="3"/>
  <c r="C124" i="3"/>
  <c r="B124" i="3"/>
  <c r="A121" i="2"/>
  <c r="A123" i="3"/>
  <c r="C123" i="3"/>
  <c r="B123" i="3"/>
  <c r="A120" i="2"/>
  <c r="A122" i="3"/>
  <c r="C122" i="3"/>
  <c r="B122" i="3"/>
  <c r="A119" i="2"/>
  <c r="A121" i="3"/>
  <c r="C121" i="3"/>
  <c r="B121" i="3"/>
  <c r="A118" i="2"/>
  <c r="A120" i="3"/>
  <c r="C120" i="3"/>
  <c r="B120" i="3"/>
  <c r="A117" i="2"/>
  <c r="A119" i="3"/>
  <c r="C119" i="3"/>
  <c r="B119" i="3"/>
  <c r="A116" i="2"/>
  <c r="A118" i="3"/>
  <c r="C118" i="3"/>
  <c r="B118" i="3"/>
  <c r="A115" i="2"/>
  <c r="A117" i="3"/>
  <c r="C117" i="3"/>
  <c r="B117" i="3"/>
  <c r="A114" i="2"/>
  <c r="A116" i="3"/>
  <c r="C116" i="3"/>
  <c r="B116" i="3"/>
  <c r="A113" i="2"/>
  <c r="A115" i="3"/>
  <c r="C115" i="3"/>
  <c r="B115" i="3"/>
  <c r="A112" i="2"/>
  <c r="A114" i="3"/>
  <c r="C114" i="3"/>
  <c r="B114" i="3"/>
  <c r="A111" i="2"/>
  <c r="A113" i="3"/>
  <c r="C113" i="3"/>
  <c r="B113" i="3"/>
  <c r="A110" i="2"/>
  <c r="A112" i="3"/>
  <c r="C112" i="3"/>
  <c r="B112" i="3"/>
  <c r="A109" i="2"/>
  <c r="A111" i="3"/>
  <c r="C111" i="3"/>
  <c r="B111" i="3"/>
  <c r="A108" i="2"/>
  <c r="A110" i="3"/>
  <c r="C110" i="3"/>
  <c r="B110" i="3"/>
  <c r="A107" i="2"/>
  <c r="A109" i="3"/>
  <c r="C109" i="3"/>
  <c r="B109" i="3"/>
  <c r="A106" i="2"/>
  <c r="A108" i="3"/>
  <c r="C108" i="3"/>
  <c r="B108" i="3"/>
  <c r="A105" i="2"/>
  <c r="A107" i="3"/>
  <c r="C107" i="3"/>
  <c r="B107" i="3"/>
  <c r="A104" i="2"/>
  <c r="A106" i="3"/>
  <c r="C106" i="3"/>
  <c r="B106" i="3"/>
  <c r="A103" i="2"/>
  <c r="A105" i="3"/>
  <c r="C105" i="3"/>
  <c r="B105" i="3"/>
  <c r="A102" i="2"/>
  <c r="A104" i="3"/>
  <c r="C104" i="3"/>
  <c r="B104" i="3"/>
  <c r="A101" i="2"/>
  <c r="A103" i="3"/>
  <c r="C103" i="3"/>
  <c r="B103" i="3"/>
  <c r="A100" i="2"/>
  <c r="A102" i="3"/>
  <c r="C102" i="3"/>
  <c r="B102" i="3"/>
  <c r="A99" i="2"/>
  <c r="A101" i="3"/>
  <c r="C101" i="3"/>
  <c r="B101" i="3"/>
  <c r="A98" i="2"/>
  <c r="A100" i="3"/>
  <c r="C100" i="3"/>
  <c r="B100" i="3"/>
  <c r="A97" i="2"/>
  <c r="A99" i="3"/>
  <c r="C99" i="3"/>
  <c r="B99" i="3"/>
  <c r="A96" i="2"/>
  <c r="A98" i="3"/>
  <c r="C98" i="3"/>
  <c r="B98" i="3"/>
  <c r="A95" i="2"/>
  <c r="A97" i="3"/>
  <c r="C97" i="3"/>
  <c r="B97" i="3"/>
  <c r="A94" i="2"/>
  <c r="A96" i="3"/>
  <c r="C96" i="3"/>
  <c r="B96" i="3"/>
  <c r="A93" i="2"/>
  <c r="A95" i="3"/>
  <c r="C95" i="3"/>
  <c r="B95" i="3"/>
  <c r="A92" i="2"/>
  <c r="A94" i="3"/>
  <c r="C94" i="3"/>
  <c r="B94" i="3"/>
  <c r="A91" i="2"/>
  <c r="A93" i="3"/>
  <c r="C93" i="3"/>
  <c r="B93" i="3"/>
  <c r="A90" i="2"/>
  <c r="A92" i="3"/>
  <c r="C92" i="3"/>
  <c r="B92" i="3"/>
  <c r="A89" i="2"/>
  <c r="A91" i="3"/>
  <c r="C91" i="3"/>
  <c r="B91" i="3"/>
  <c r="A88" i="2"/>
  <c r="A90" i="3"/>
  <c r="C90" i="3"/>
  <c r="B90" i="3"/>
  <c r="A87" i="2"/>
  <c r="A89" i="3"/>
  <c r="C89" i="3"/>
  <c r="B89" i="3"/>
  <c r="A86" i="2"/>
  <c r="A88" i="3"/>
  <c r="C88" i="3"/>
  <c r="B88" i="3"/>
  <c r="A85" i="2"/>
  <c r="A87" i="3"/>
  <c r="C87" i="3"/>
  <c r="B87" i="3"/>
  <c r="A84" i="2"/>
  <c r="A86" i="3"/>
  <c r="C86" i="3"/>
  <c r="B86" i="3"/>
  <c r="A83" i="2"/>
  <c r="A85" i="3"/>
  <c r="C85" i="3"/>
  <c r="B85" i="3"/>
  <c r="A82" i="2"/>
  <c r="A84" i="3"/>
  <c r="C84" i="3"/>
  <c r="B84" i="3"/>
  <c r="A81" i="2"/>
  <c r="A83" i="3"/>
  <c r="C83" i="3"/>
  <c r="B83" i="3"/>
  <c r="A80" i="2"/>
  <c r="A82" i="3"/>
  <c r="C82" i="3"/>
  <c r="B82" i="3"/>
  <c r="A79" i="2"/>
  <c r="A81" i="3"/>
  <c r="C81" i="3"/>
  <c r="B81" i="3"/>
  <c r="A78" i="2"/>
  <c r="A80" i="3"/>
  <c r="C80" i="3"/>
  <c r="B80" i="3"/>
  <c r="A77" i="2"/>
  <c r="A79" i="3"/>
  <c r="C79" i="3"/>
  <c r="B79" i="3"/>
  <c r="A76" i="2"/>
  <c r="A78" i="3"/>
  <c r="C78" i="3"/>
  <c r="B78" i="3"/>
  <c r="A75" i="2"/>
  <c r="A77" i="3"/>
  <c r="C77" i="3"/>
  <c r="B77" i="3"/>
  <c r="A74" i="2"/>
  <c r="A76" i="3"/>
  <c r="C76" i="3"/>
  <c r="B76" i="3"/>
  <c r="A73" i="2"/>
  <c r="A75" i="3"/>
  <c r="C75" i="3"/>
  <c r="B75" i="3"/>
  <c r="A72" i="2"/>
  <c r="A74" i="3"/>
  <c r="C74" i="3"/>
  <c r="B74" i="3"/>
  <c r="A71" i="2"/>
  <c r="A73" i="3"/>
  <c r="C73" i="3"/>
  <c r="B73" i="3"/>
  <c r="A70" i="2"/>
  <c r="A72" i="3"/>
  <c r="C72" i="3"/>
  <c r="B72" i="3"/>
  <c r="A69" i="2"/>
  <c r="A71" i="3"/>
  <c r="C71" i="3"/>
  <c r="B71" i="3"/>
  <c r="A68" i="2"/>
  <c r="A70" i="3"/>
  <c r="C70" i="3"/>
  <c r="B70" i="3"/>
  <c r="A67" i="2"/>
  <c r="A69" i="3"/>
  <c r="C69" i="3"/>
  <c r="B69" i="3"/>
  <c r="A66" i="2"/>
  <c r="A68" i="3"/>
  <c r="C68" i="3"/>
  <c r="B68" i="3"/>
  <c r="A65" i="2"/>
  <c r="A67" i="3"/>
  <c r="C67" i="3"/>
  <c r="B67" i="3"/>
  <c r="A64" i="2"/>
  <c r="A66" i="3"/>
  <c r="C66" i="3"/>
  <c r="B66" i="3"/>
  <c r="A63" i="2"/>
  <c r="A65" i="3"/>
  <c r="C65" i="3"/>
  <c r="B65" i="3"/>
  <c r="A62" i="2"/>
  <c r="A64" i="3"/>
  <c r="C64" i="3"/>
  <c r="B64" i="3"/>
  <c r="A61" i="2"/>
  <c r="A63" i="3"/>
  <c r="C63" i="3"/>
  <c r="B63" i="3"/>
  <c r="A60" i="2"/>
  <c r="A62" i="3"/>
  <c r="C62" i="3"/>
  <c r="B62" i="3"/>
  <c r="A59" i="2"/>
  <c r="A61" i="3"/>
  <c r="C61" i="3"/>
  <c r="B61" i="3"/>
  <c r="A58" i="2"/>
  <c r="A60" i="3"/>
  <c r="C60" i="3"/>
  <c r="B60" i="3"/>
  <c r="A57" i="2"/>
  <c r="A59" i="3"/>
  <c r="C59" i="3"/>
  <c r="B59" i="3"/>
  <c r="A56" i="2"/>
  <c r="A58" i="3"/>
  <c r="C58" i="3"/>
  <c r="B58" i="3"/>
  <c r="A55" i="2"/>
  <c r="A57" i="3"/>
  <c r="C57" i="3"/>
  <c r="B57" i="3"/>
  <c r="A54" i="2"/>
  <c r="A56" i="3"/>
  <c r="C56" i="3"/>
  <c r="B56" i="3"/>
  <c r="A53" i="2"/>
  <c r="A55" i="3"/>
  <c r="C55" i="3"/>
  <c r="B55" i="3"/>
  <c r="A52" i="2"/>
  <c r="A54" i="3"/>
  <c r="C54" i="3"/>
  <c r="B54" i="3"/>
  <c r="A51" i="2"/>
  <c r="A53" i="3"/>
  <c r="C53" i="3"/>
  <c r="B53" i="3"/>
  <c r="A50" i="2"/>
  <c r="A52" i="3"/>
  <c r="C52" i="3"/>
  <c r="B52" i="3"/>
  <c r="A49" i="2"/>
  <c r="A51" i="3"/>
  <c r="C51" i="3"/>
  <c r="B51" i="3"/>
  <c r="A48" i="2"/>
  <c r="A50" i="3"/>
  <c r="C50" i="3"/>
  <c r="B50" i="3"/>
  <c r="A47" i="2"/>
  <c r="A49" i="3"/>
  <c r="C49" i="3"/>
  <c r="B49" i="3"/>
  <c r="A46" i="2"/>
  <c r="A48" i="3"/>
  <c r="C48" i="3"/>
  <c r="B48" i="3"/>
  <c r="A45" i="2"/>
  <c r="A47" i="3"/>
  <c r="C47" i="3"/>
  <c r="B47" i="3"/>
  <c r="A44" i="2"/>
  <c r="A46" i="3"/>
  <c r="C46" i="3"/>
  <c r="B46" i="3"/>
  <c r="A43" i="2"/>
  <c r="A45" i="3"/>
  <c r="C45" i="3"/>
  <c r="B45" i="3"/>
  <c r="A42" i="2"/>
  <c r="A44" i="3"/>
  <c r="C44" i="3"/>
  <c r="B44" i="3"/>
  <c r="A41" i="2"/>
  <c r="A43" i="3"/>
  <c r="C43" i="3"/>
  <c r="B43" i="3"/>
  <c r="A40" i="2"/>
  <c r="A42" i="3"/>
  <c r="C42" i="3"/>
  <c r="B42" i="3"/>
  <c r="A39" i="2"/>
  <c r="A41" i="3"/>
  <c r="C41" i="3"/>
  <c r="B41" i="3"/>
  <c r="A38" i="2"/>
  <c r="A40" i="3"/>
  <c r="C40" i="3"/>
  <c r="B40" i="3"/>
  <c r="A37" i="2"/>
  <c r="A39" i="3"/>
  <c r="C39" i="3"/>
  <c r="B39" i="3"/>
  <c r="A36" i="2"/>
  <c r="A38" i="3"/>
  <c r="C38" i="3"/>
  <c r="B38" i="3"/>
  <c r="A35" i="2"/>
  <c r="A37" i="3"/>
  <c r="C37" i="3"/>
  <c r="B37" i="3"/>
  <c r="A34" i="2"/>
  <c r="A36" i="3"/>
  <c r="C36" i="3"/>
  <c r="B36" i="3"/>
  <c r="A33" i="2"/>
  <c r="A35" i="3"/>
  <c r="C35" i="3"/>
  <c r="B35" i="3"/>
  <c r="A32" i="2"/>
  <c r="A34" i="3"/>
  <c r="C34" i="3"/>
  <c r="B34" i="3"/>
  <c r="A31" i="2"/>
  <c r="A33" i="3"/>
  <c r="C33" i="3"/>
  <c r="B33" i="3"/>
  <c r="A30" i="2"/>
  <c r="A32" i="3"/>
  <c r="C32" i="3"/>
  <c r="B32" i="3"/>
  <c r="A29" i="2"/>
  <c r="A31" i="3"/>
  <c r="C31" i="3"/>
  <c r="B31" i="3"/>
  <c r="A28" i="2"/>
  <c r="A30" i="3"/>
  <c r="C30" i="3"/>
  <c r="B30" i="3"/>
  <c r="A27" i="2"/>
  <c r="A29" i="3"/>
  <c r="C29" i="3"/>
  <c r="B29" i="3"/>
  <c r="A26" i="2"/>
  <c r="A28" i="3"/>
  <c r="C28" i="3"/>
  <c r="B28" i="3"/>
  <c r="A25" i="2"/>
  <c r="A27" i="3"/>
  <c r="C27" i="3"/>
  <c r="B27" i="3"/>
  <c r="A24" i="2"/>
  <c r="A26" i="3"/>
  <c r="C26" i="3"/>
  <c r="B26" i="3"/>
  <c r="A23" i="2"/>
  <c r="A25" i="3"/>
  <c r="C25" i="3"/>
  <c r="B25" i="3"/>
  <c r="A22" i="2"/>
  <c r="A24" i="3"/>
  <c r="C24" i="3"/>
  <c r="B24" i="3"/>
  <c r="A21" i="2"/>
  <c r="A23" i="3"/>
  <c r="C23" i="3"/>
  <c r="B23" i="3"/>
  <c r="A20" i="2"/>
  <c r="A22" i="3"/>
  <c r="C22" i="3"/>
  <c r="B22" i="3"/>
  <c r="A19" i="2"/>
  <c r="A21" i="3"/>
  <c r="C21" i="3"/>
  <c r="B21" i="3"/>
  <c r="A18" i="2"/>
  <c r="A20" i="3"/>
  <c r="C20" i="3"/>
  <c r="B20" i="3"/>
  <c r="A17" i="2"/>
  <c r="A19" i="3"/>
  <c r="C19" i="3"/>
  <c r="B19" i="3"/>
  <c r="A16" i="2"/>
  <c r="A18" i="3"/>
  <c r="C18" i="3"/>
  <c r="B18" i="3"/>
  <c r="A15" i="2"/>
  <c r="A17" i="3"/>
  <c r="C17" i="3"/>
  <c r="B17" i="3"/>
  <c r="A14" i="2"/>
  <c r="A16" i="3"/>
  <c r="C16" i="3"/>
  <c r="B16" i="3"/>
  <c r="A13" i="2"/>
  <c r="A15" i="3"/>
  <c r="C15" i="3"/>
  <c r="B15" i="3"/>
  <c r="A12" i="2"/>
  <c r="A14" i="3"/>
  <c r="C14" i="3"/>
  <c r="B14" i="3"/>
  <c r="A11" i="2"/>
  <c r="A13" i="3"/>
  <c r="C13" i="3"/>
  <c r="B13" i="3"/>
  <c r="A10" i="2"/>
  <c r="A12" i="3"/>
  <c r="C12" i="3"/>
  <c r="B12" i="3"/>
  <c r="A9" i="2"/>
  <c r="A11" i="3"/>
  <c r="C11" i="3"/>
  <c r="B11" i="3"/>
  <c r="A5" i="2"/>
  <c r="H5" i="2"/>
  <c r="A6" i="2"/>
  <c r="H6" i="2"/>
  <c r="A7" i="2"/>
  <c r="H7" i="2"/>
  <c r="A8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G9" i="3"/>
  <c r="G10" i="3"/>
  <c r="A10" i="3"/>
  <c r="C10" i="3"/>
  <c r="B10" i="3"/>
  <c r="A9" i="3"/>
  <c r="C9" i="3"/>
  <c r="B9" i="3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G8" i="3"/>
  <c r="A8" i="3"/>
  <c r="C8" i="3"/>
  <c r="B8" i="3"/>
  <c r="G7" i="3"/>
  <c r="A7" i="3"/>
  <c r="C7" i="3"/>
  <c r="B7" i="3"/>
  <c r="G6" i="3"/>
  <c r="N504" i="2"/>
  <c r="M504" i="2"/>
  <c r="L504" i="2"/>
  <c r="J504" i="2"/>
  <c r="B504" i="2"/>
  <c r="N503" i="2"/>
  <c r="M503" i="2"/>
  <c r="L503" i="2"/>
  <c r="J503" i="2"/>
  <c r="B503" i="2"/>
  <c r="N502" i="2"/>
  <c r="M502" i="2"/>
  <c r="L502" i="2"/>
  <c r="J502" i="2"/>
  <c r="B502" i="2"/>
  <c r="N501" i="2"/>
  <c r="M501" i="2"/>
  <c r="L501" i="2"/>
  <c r="J501" i="2"/>
  <c r="B501" i="2"/>
  <c r="N500" i="2"/>
  <c r="M500" i="2"/>
  <c r="L500" i="2"/>
  <c r="J500" i="2"/>
  <c r="B500" i="2"/>
  <c r="N499" i="2"/>
  <c r="M499" i="2"/>
  <c r="L499" i="2"/>
  <c r="J499" i="2"/>
  <c r="B499" i="2"/>
  <c r="N498" i="2"/>
  <c r="M498" i="2"/>
  <c r="L498" i="2"/>
  <c r="J498" i="2"/>
  <c r="B498" i="2"/>
  <c r="N497" i="2"/>
  <c r="M497" i="2"/>
  <c r="L497" i="2"/>
  <c r="J497" i="2"/>
  <c r="B497" i="2"/>
  <c r="N496" i="2"/>
  <c r="M496" i="2"/>
  <c r="L496" i="2"/>
  <c r="J496" i="2"/>
  <c r="B496" i="2"/>
  <c r="N495" i="2"/>
  <c r="M495" i="2"/>
  <c r="L495" i="2"/>
  <c r="J495" i="2"/>
  <c r="B495" i="2"/>
  <c r="N494" i="2"/>
  <c r="M494" i="2"/>
  <c r="L494" i="2"/>
  <c r="J494" i="2"/>
  <c r="B494" i="2"/>
  <c r="N493" i="2"/>
  <c r="M493" i="2"/>
  <c r="L493" i="2"/>
  <c r="J493" i="2"/>
  <c r="B493" i="2"/>
  <c r="N492" i="2"/>
  <c r="M492" i="2"/>
  <c r="L492" i="2"/>
  <c r="J492" i="2"/>
  <c r="B492" i="2"/>
  <c r="N491" i="2"/>
  <c r="M491" i="2"/>
  <c r="L491" i="2"/>
  <c r="J491" i="2"/>
  <c r="B491" i="2"/>
  <c r="N490" i="2"/>
  <c r="M490" i="2"/>
  <c r="L490" i="2"/>
  <c r="J490" i="2"/>
  <c r="B490" i="2"/>
  <c r="N489" i="2"/>
  <c r="M489" i="2"/>
  <c r="L489" i="2"/>
  <c r="J489" i="2"/>
  <c r="B489" i="2"/>
  <c r="N488" i="2"/>
  <c r="M488" i="2"/>
  <c r="L488" i="2"/>
  <c r="J488" i="2"/>
  <c r="B488" i="2"/>
  <c r="N487" i="2"/>
  <c r="M487" i="2"/>
  <c r="L487" i="2"/>
  <c r="J487" i="2"/>
  <c r="B487" i="2"/>
  <c r="N486" i="2"/>
  <c r="M486" i="2"/>
  <c r="L486" i="2"/>
  <c r="J486" i="2"/>
  <c r="B486" i="2"/>
  <c r="N485" i="2"/>
  <c r="M485" i="2"/>
  <c r="L485" i="2"/>
  <c r="J485" i="2"/>
  <c r="B485" i="2"/>
  <c r="N484" i="2"/>
  <c r="M484" i="2"/>
  <c r="L484" i="2"/>
  <c r="J484" i="2"/>
  <c r="B484" i="2"/>
  <c r="N483" i="2"/>
  <c r="M483" i="2"/>
  <c r="L483" i="2"/>
  <c r="J483" i="2"/>
  <c r="B483" i="2"/>
  <c r="N482" i="2"/>
  <c r="M482" i="2"/>
  <c r="L482" i="2"/>
  <c r="J482" i="2"/>
  <c r="B482" i="2"/>
  <c r="N481" i="2"/>
  <c r="M481" i="2"/>
  <c r="L481" i="2"/>
  <c r="J481" i="2"/>
  <c r="B481" i="2"/>
  <c r="N480" i="2"/>
  <c r="M480" i="2"/>
  <c r="L480" i="2"/>
  <c r="J480" i="2"/>
  <c r="B480" i="2"/>
  <c r="N479" i="2"/>
  <c r="M479" i="2"/>
  <c r="L479" i="2"/>
  <c r="J479" i="2"/>
  <c r="B479" i="2"/>
  <c r="N478" i="2"/>
  <c r="M478" i="2"/>
  <c r="L478" i="2"/>
  <c r="J478" i="2"/>
  <c r="B478" i="2"/>
  <c r="N477" i="2"/>
  <c r="M477" i="2"/>
  <c r="L477" i="2"/>
  <c r="J477" i="2"/>
  <c r="B477" i="2"/>
  <c r="N476" i="2"/>
  <c r="M476" i="2"/>
  <c r="L476" i="2"/>
  <c r="J476" i="2"/>
  <c r="B476" i="2"/>
  <c r="N475" i="2"/>
  <c r="M475" i="2"/>
  <c r="L475" i="2"/>
  <c r="J475" i="2"/>
  <c r="B475" i="2"/>
  <c r="N474" i="2"/>
  <c r="M474" i="2"/>
  <c r="L474" i="2"/>
  <c r="J474" i="2"/>
  <c r="B474" i="2"/>
  <c r="N473" i="2"/>
  <c r="M473" i="2"/>
  <c r="L473" i="2"/>
  <c r="J473" i="2"/>
  <c r="B473" i="2"/>
  <c r="N472" i="2"/>
  <c r="M472" i="2"/>
  <c r="L472" i="2"/>
  <c r="J472" i="2"/>
  <c r="B472" i="2"/>
  <c r="N471" i="2"/>
  <c r="M471" i="2"/>
  <c r="L471" i="2"/>
  <c r="J471" i="2"/>
  <c r="B471" i="2"/>
  <c r="N470" i="2"/>
  <c r="M470" i="2"/>
  <c r="L470" i="2"/>
  <c r="J470" i="2"/>
  <c r="B470" i="2"/>
  <c r="N469" i="2"/>
  <c r="M469" i="2"/>
  <c r="L469" i="2"/>
  <c r="J469" i="2"/>
  <c r="B469" i="2"/>
  <c r="N468" i="2"/>
  <c r="M468" i="2"/>
  <c r="L468" i="2"/>
  <c r="J468" i="2"/>
  <c r="B468" i="2"/>
  <c r="N467" i="2"/>
  <c r="M467" i="2"/>
  <c r="L467" i="2"/>
  <c r="J467" i="2"/>
  <c r="B467" i="2"/>
  <c r="N466" i="2"/>
  <c r="M466" i="2"/>
  <c r="L466" i="2"/>
  <c r="J466" i="2"/>
  <c r="B466" i="2"/>
  <c r="N465" i="2"/>
  <c r="M465" i="2"/>
  <c r="L465" i="2"/>
  <c r="J465" i="2"/>
  <c r="B465" i="2"/>
  <c r="N464" i="2"/>
  <c r="M464" i="2"/>
  <c r="L464" i="2"/>
  <c r="J464" i="2"/>
  <c r="B464" i="2"/>
  <c r="N463" i="2"/>
  <c r="M463" i="2"/>
  <c r="L463" i="2"/>
  <c r="J463" i="2"/>
  <c r="B463" i="2"/>
  <c r="N462" i="2"/>
  <c r="M462" i="2"/>
  <c r="L462" i="2"/>
  <c r="J462" i="2"/>
  <c r="B462" i="2"/>
  <c r="N461" i="2"/>
  <c r="M461" i="2"/>
  <c r="L461" i="2"/>
  <c r="J461" i="2"/>
  <c r="B461" i="2"/>
  <c r="N460" i="2"/>
  <c r="M460" i="2"/>
  <c r="L460" i="2"/>
  <c r="J460" i="2"/>
  <c r="B460" i="2"/>
  <c r="N459" i="2"/>
  <c r="M459" i="2"/>
  <c r="L459" i="2"/>
  <c r="J459" i="2"/>
  <c r="B459" i="2"/>
  <c r="N458" i="2"/>
  <c r="M458" i="2"/>
  <c r="L458" i="2"/>
  <c r="J458" i="2"/>
  <c r="B458" i="2"/>
  <c r="N457" i="2"/>
  <c r="M457" i="2"/>
  <c r="L457" i="2"/>
  <c r="J457" i="2"/>
  <c r="B457" i="2"/>
  <c r="N456" i="2"/>
  <c r="M456" i="2"/>
  <c r="L456" i="2"/>
  <c r="J456" i="2"/>
  <c r="B456" i="2"/>
  <c r="N455" i="2"/>
  <c r="M455" i="2"/>
  <c r="L455" i="2"/>
  <c r="J455" i="2"/>
  <c r="B455" i="2"/>
  <c r="N454" i="2"/>
  <c r="M454" i="2"/>
  <c r="L454" i="2"/>
  <c r="J454" i="2"/>
  <c r="B454" i="2"/>
  <c r="N453" i="2"/>
  <c r="M453" i="2"/>
  <c r="L453" i="2"/>
  <c r="J453" i="2"/>
  <c r="B453" i="2"/>
  <c r="N452" i="2"/>
  <c r="M452" i="2"/>
  <c r="L452" i="2"/>
  <c r="J452" i="2"/>
  <c r="B452" i="2"/>
  <c r="N451" i="2"/>
  <c r="M451" i="2"/>
  <c r="L451" i="2"/>
  <c r="J451" i="2"/>
  <c r="B451" i="2"/>
  <c r="N450" i="2"/>
  <c r="M450" i="2"/>
  <c r="L450" i="2"/>
  <c r="J450" i="2"/>
  <c r="B450" i="2"/>
  <c r="N449" i="2"/>
  <c r="M449" i="2"/>
  <c r="L449" i="2"/>
  <c r="J449" i="2"/>
  <c r="B449" i="2"/>
  <c r="N448" i="2"/>
  <c r="M448" i="2"/>
  <c r="L448" i="2"/>
  <c r="J448" i="2"/>
  <c r="B448" i="2"/>
  <c r="N447" i="2"/>
  <c r="M447" i="2"/>
  <c r="L447" i="2"/>
  <c r="J447" i="2"/>
  <c r="B447" i="2"/>
  <c r="N446" i="2"/>
  <c r="M446" i="2"/>
  <c r="L446" i="2"/>
  <c r="J446" i="2"/>
  <c r="B446" i="2"/>
  <c r="N445" i="2"/>
  <c r="M445" i="2"/>
  <c r="L445" i="2"/>
  <c r="J445" i="2"/>
  <c r="B445" i="2"/>
  <c r="N444" i="2"/>
  <c r="M444" i="2"/>
  <c r="L444" i="2"/>
  <c r="J444" i="2"/>
  <c r="B444" i="2"/>
  <c r="N443" i="2"/>
  <c r="M443" i="2"/>
  <c r="L443" i="2"/>
  <c r="J443" i="2"/>
  <c r="B443" i="2"/>
  <c r="N442" i="2"/>
  <c r="M442" i="2"/>
  <c r="L442" i="2"/>
  <c r="J442" i="2"/>
  <c r="B442" i="2"/>
  <c r="N441" i="2"/>
  <c r="M441" i="2"/>
  <c r="L441" i="2"/>
  <c r="J441" i="2"/>
  <c r="B441" i="2"/>
  <c r="N440" i="2"/>
  <c r="M440" i="2"/>
  <c r="L440" i="2"/>
  <c r="J440" i="2"/>
  <c r="B440" i="2"/>
  <c r="N439" i="2"/>
  <c r="M439" i="2"/>
  <c r="L439" i="2"/>
  <c r="J439" i="2"/>
  <c r="B439" i="2"/>
  <c r="N438" i="2"/>
  <c r="M438" i="2"/>
  <c r="L438" i="2"/>
  <c r="J438" i="2"/>
  <c r="B438" i="2"/>
  <c r="N437" i="2"/>
  <c r="M437" i="2"/>
  <c r="L437" i="2"/>
  <c r="J437" i="2"/>
  <c r="B437" i="2"/>
  <c r="N436" i="2"/>
  <c r="M436" i="2"/>
  <c r="L436" i="2"/>
  <c r="J436" i="2"/>
  <c r="B436" i="2"/>
  <c r="N435" i="2"/>
  <c r="M435" i="2"/>
  <c r="L435" i="2"/>
  <c r="J435" i="2"/>
  <c r="B435" i="2"/>
  <c r="N434" i="2"/>
  <c r="M434" i="2"/>
  <c r="L434" i="2"/>
  <c r="J434" i="2"/>
  <c r="B434" i="2"/>
  <c r="N433" i="2"/>
  <c r="M433" i="2"/>
  <c r="L433" i="2"/>
  <c r="J433" i="2"/>
  <c r="B433" i="2"/>
  <c r="N432" i="2"/>
  <c r="M432" i="2"/>
  <c r="L432" i="2"/>
  <c r="J432" i="2"/>
  <c r="B432" i="2"/>
  <c r="N431" i="2"/>
  <c r="M431" i="2"/>
  <c r="L431" i="2"/>
  <c r="J431" i="2"/>
  <c r="B431" i="2"/>
  <c r="N430" i="2"/>
  <c r="M430" i="2"/>
  <c r="L430" i="2"/>
  <c r="J430" i="2"/>
  <c r="B430" i="2"/>
  <c r="N429" i="2"/>
  <c r="M429" i="2"/>
  <c r="L429" i="2"/>
  <c r="J429" i="2"/>
  <c r="B429" i="2"/>
  <c r="N428" i="2"/>
  <c r="M428" i="2"/>
  <c r="L428" i="2"/>
  <c r="J428" i="2"/>
  <c r="B428" i="2"/>
  <c r="N427" i="2"/>
  <c r="M427" i="2"/>
  <c r="L427" i="2"/>
  <c r="J427" i="2"/>
  <c r="B427" i="2"/>
  <c r="N426" i="2"/>
  <c r="M426" i="2"/>
  <c r="L426" i="2"/>
  <c r="J426" i="2"/>
  <c r="B426" i="2"/>
  <c r="N425" i="2"/>
  <c r="M425" i="2"/>
  <c r="L425" i="2"/>
  <c r="J425" i="2"/>
  <c r="B425" i="2"/>
  <c r="N424" i="2"/>
  <c r="M424" i="2"/>
  <c r="L424" i="2"/>
  <c r="J424" i="2"/>
  <c r="B424" i="2"/>
  <c r="N423" i="2"/>
  <c r="M423" i="2"/>
  <c r="L423" i="2"/>
  <c r="J423" i="2"/>
  <c r="B423" i="2"/>
  <c r="N422" i="2"/>
  <c r="M422" i="2"/>
  <c r="L422" i="2"/>
  <c r="J422" i="2"/>
  <c r="B422" i="2"/>
  <c r="N421" i="2"/>
  <c r="M421" i="2"/>
  <c r="L421" i="2"/>
  <c r="J421" i="2"/>
  <c r="B421" i="2"/>
  <c r="N420" i="2"/>
  <c r="M420" i="2"/>
  <c r="L420" i="2"/>
  <c r="J420" i="2"/>
  <c r="B420" i="2"/>
  <c r="N419" i="2"/>
  <c r="M419" i="2"/>
  <c r="L419" i="2"/>
  <c r="J419" i="2"/>
  <c r="B419" i="2"/>
  <c r="N418" i="2"/>
  <c r="M418" i="2"/>
  <c r="L418" i="2"/>
  <c r="J418" i="2"/>
  <c r="B418" i="2"/>
  <c r="N417" i="2"/>
  <c r="M417" i="2"/>
  <c r="L417" i="2"/>
  <c r="J417" i="2"/>
  <c r="B417" i="2"/>
  <c r="N416" i="2"/>
  <c r="M416" i="2"/>
  <c r="L416" i="2"/>
  <c r="J416" i="2"/>
  <c r="B416" i="2"/>
  <c r="N415" i="2"/>
  <c r="M415" i="2"/>
  <c r="L415" i="2"/>
  <c r="J415" i="2"/>
  <c r="B415" i="2"/>
  <c r="N414" i="2"/>
  <c r="M414" i="2"/>
  <c r="L414" i="2"/>
  <c r="J414" i="2"/>
  <c r="B414" i="2"/>
  <c r="N413" i="2"/>
  <c r="M413" i="2"/>
  <c r="L413" i="2"/>
  <c r="J413" i="2"/>
  <c r="B413" i="2"/>
  <c r="N412" i="2"/>
  <c r="M412" i="2"/>
  <c r="L412" i="2"/>
  <c r="J412" i="2"/>
  <c r="B412" i="2"/>
  <c r="N411" i="2"/>
  <c r="M411" i="2"/>
  <c r="L411" i="2"/>
  <c r="J411" i="2"/>
  <c r="B411" i="2"/>
  <c r="N410" i="2"/>
  <c r="M410" i="2"/>
  <c r="L410" i="2"/>
  <c r="J410" i="2"/>
  <c r="B410" i="2"/>
  <c r="N409" i="2"/>
  <c r="M409" i="2"/>
  <c r="L409" i="2"/>
  <c r="J409" i="2"/>
  <c r="B409" i="2"/>
  <c r="N408" i="2"/>
  <c r="M408" i="2"/>
  <c r="L408" i="2"/>
  <c r="J408" i="2"/>
  <c r="B408" i="2"/>
  <c r="N407" i="2"/>
  <c r="M407" i="2"/>
  <c r="L407" i="2"/>
  <c r="J407" i="2"/>
  <c r="B407" i="2"/>
  <c r="N406" i="2"/>
  <c r="M406" i="2"/>
  <c r="L406" i="2"/>
  <c r="J406" i="2"/>
  <c r="B406" i="2"/>
  <c r="N405" i="2"/>
  <c r="M405" i="2"/>
  <c r="L405" i="2"/>
  <c r="J405" i="2"/>
  <c r="B405" i="2"/>
  <c r="N404" i="2"/>
  <c r="M404" i="2"/>
  <c r="L404" i="2"/>
  <c r="J404" i="2"/>
  <c r="B404" i="2"/>
  <c r="N403" i="2"/>
  <c r="M403" i="2"/>
  <c r="L403" i="2"/>
  <c r="J403" i="2"/>
  <c r="B403" i="2"/>
  <c r="N402" i="2"/>
  <c r="M402" i="2"/>
  <c r="L402" i="2"/>
  <c r="J402" i="2"/>
  <c r="B402" i="2"/>
  <c r="N401" i="2"/>
  <c r="M401" i="2"/>
  <c r="L401" i="2"/>
  <c r="J401" i="2"/>
  <c r="B401" i="2"/>
  <c r="N400" i="2"/>
  <c r="M400" i="2"/>
  <c r="L400" i="2"/>
  <c r="J400" i="2"/>
  <c r="B400" i="2"/>
  <c r="N399" i="2"/>
  <c r="M399" i="2"/>
  <c r="L399" i="2"/>
  <c r="J399" i="2"/>
  <c r="B399" i="2"/>
  <c r="N398" i="2"/>
  <c r="M398" i="2"/>
  <c r="L398" i="2"/>
  <c r="J398" i="2"/>
  <c r="B398" i="2"/>
  <c r="N397" i="2"/>
  <c r="M397" i="2"/>
  <c r="L397" i="2"/>
  <c r="J397" i="2"/>
  <c r="B397" i="2"/>
  <c r="N396" i="2"/>
  <c r="M396" i="2"/>
  <c r="L396" i="2"/>
  <c r="J396" i="2"/>
  <c r="B396" i="2"/>
  <c r="N395" i="2"/>
  <c r="M395" i="2"/>
  <c r="L395" i="2"/>
  <c r="J395" i="2"/>
  <c r="B395" i="2"/>
  <c r="N394" i="2"/>
  <c r="M394" i="2"/>
  <c r="L394" i="2"/>
  <c r="J394" i="2"/>
  <c r="B394" i="2"/>
  <c r="N393" i="2"/>
  <c r="M393" i="2"/>
  <c r="L393" i="2"/>
  <c r="J393" i="2"/>
  <c r="B393" i="2"/>
  <c r="N392" i="2"/>
  <c r="M392" i="2"/>
  <c r="L392" i="2"/>
  <c r="J392" i="2"/>
  <c r="B392" i="2"/>
  <c r="N391" i="2"/>
  <c r="M391" i="2"/>
  <c r="L391" i="2"/>
  <c r="J391" i="2"/>
  <c r="B391" i="2"/>
  <c r="N390" i="2"/>
  <c r="M390" i="2"/>
  <c r="L390" i="2"/>
  <c r="J390" i="2"/>
  <c r="B390" i="2"/>
  <c r="N389" i="2"/>
  <c r="M389" i="2"/>
  <c r="L389" i="2"/>
  <c r="J389" i="2"/>
  <c r="B389" i="2"/>
  <c r="N388" i="2"/>
  <c r="M388" i="2"/>
  <c r="L388" i="2"/>
  <c r="J388" i="2"/>
  <c r="B388" i="2"/>
  <c r="N387" i="2"/>
  <c r="M387" i="2"/>
  <c r="L387" i="2"/>
  <c r="J387" i="2"/>
  <c r="B387" i="2"/>
  <c r="N386" i="2"/>
  <c r="M386" i="2"/>
  <c r="L386" i="2"/>
  <c r="J386" i="2"/>
  <c r="B386" i="2"/>
  <c r="N385" i="2"/>
  <c r="M385" i="2"/>
  <c r="L385" i="2"/>
  <c r="J385" i="2"/>
  <c r="B385" i="2"/>
  <c r="N384" i="2"/>
  <c r="M384" i="2"/>
  <c r="L384" i="2"/>
  <c r="J384" i="2"/>
  <c r="B384" i="2"/>
  <c r="N383" i="2"/>
  <c r="M383" i="2"/>
  <c r="L383" i="2"/>
  <c r="J383" i="2"/>
  <c r="B383" i="2"/>
  <c r="N382" i="2"/>
  <c r="M382" i="2"/>
  <c r="L382" i="2"/>
  <c r="J382" i="2"/>
  <c r="B382" i="2"/>
  <c r="N381" i="2"/>
  <c r="M381" i="2"/>
  <c r="L381" i="2"/>
  <c r="J381" i="2"/>
  <c r="B381" i="2"/>
  <c r="N380" i="2"/>
  <c r="M380" i="2"/>
  <c r="L380" i="2"/>
  <c r="J380" i="2"/>
  <c r="B380" i="2"/>
  <c r="N379" i="2"/>
  <c r="M379" i="2"/>
  <c r="L379" i="2"/>
  <c r="J379" i="2"/>
  <c r="B379" i="2"/>
  <c r="N378" i="2"/>
  <c r="M378" i="2"/>
  <c r="L378" i="2"/>
  <c r="J378" i="2"/>
  <c r="B378" i="2"/>
  <c r="N377" i="2"/>
  <c r="M377" i="2"/>
  <c r="L377" i="2"/>
  <c r="J377" i="2"/>
  <c r="B377" i="2"/>
  <c r="N376" i="2"/>
  <c r="M376" i="2"/>
  <c r="L376" i="2"/>
  <c r="J376" i="2"/>
  <c r="B376" i="2"/>
  <c r="N375" i="2"/>
  <c r="M375" i="2"/>
  <c r="L375" i="2"/>
  <c r="J375" i="2"/>
  <c r="B375" i="2"/>
  <c r="N374" i="2"/>
  <c r="M374" i="2"/>
  <c r="L374" i="2"/>
  <c r="J374" i="2"/>
  <c r="B374" i="2"/>
  <c r="N373" i="2"/>
  <c r="M373" i="2"/>
  <c r="L373" i="2"/>
  <c r="J373" i="2"/>
  <c r="B373" i="2"/>
  <c r="N372" i="2"/>
  <c r="M372" i="2"/>
  <c r="L372" i="2"/>
  <c r="J372" i="2"/>
  <c r="B372" i="2"/>
  <c r="N371" i="2"/>
  <c r="M371" i="2"/>
  <c r="L371" i="2"/>
  <c r="J371" i="2"/>
  <c r="B371" i="2"/>
  <c r="N370" i="2"/>
  <c r="M370" i="2"/>
  <c r="L370" i="2"/>
  <c r="J370" i="2"/>
  <c r="B370" i="2"/>
  <c r="N369" i="2"/>
  <c r="M369" i="2"/>
  <c r="L369" i="2"/>
  <c r="J369" i="2"/>
  <c r="B369" i="2"/>
  <c r="N368" i="2"/>
  <c r="M368" i="2"/>
  <c r="L368" i="2"/>
  <c r="J368" i="2"/>
  <c r="B368" i="2"/>
  <c r="N367" i="2"/>
  <c r="M367" i="2"/>
  <c r="L367" i="2"/>
  <c r="J367" i="2"/>
  <c r="B367" i="2"/>
  <c r="N366" i="2"/>
  <c r="M366" i="2"/>
  <c r="L366" i="2"/>
  <c r="J366" i="2"/>
  <c r="B366" i="2"/>
  <c r="N365" i="2"/>
  <c r="M365" i="2"/>
  <c r="L365" i="2"/>
  <c r="J365" i="2"/>
  <c r="B365" i="2"/>
  <c r="N364" i="2"/>
  <c r="M364" i="2"/>
  <c r="L364" i="2"/>
  <c r="J364" i="2"/>
  <c r="B364" i="2"/>
  <c r="N363" i="2"/>
  <c r="M363" i="2"/>
  <c r="L363" i="2"/>
  <c r="J363" i="2"/>
  <c r="B363" i="2"/>
  <c r="N362" i="2"/>
  <c r="M362" i="2"/>
  <c r="L362" i="2"/>
  <c r="J362" i="2"/>
  <c r="B362" i="2"/>
  <c r="N361" i="2"/>
  <c r="M361" i="2"/>
  <c r="L361" i="2"/>
  <c r="J361" i="2"/>
  <c r="B361" i="2"/>
  <c r="N360" i="2"/>
  <c r="M360" i="2"/>
  <c r="L360" i="2"/>
  <c r="J360" i="2"/>
  <c r="B360" i="2"/>
  <c r="N359" i="2"/>
  <c r="M359" i="2"/>
  <c r="L359" i="2"/>
  <c r="J359" i="2"/>
  <c r="B359" i="2"/>
  <c r="N358" i="2"/>
  <c r="M358" i="2"/>
  <c r="L358" i="2"/>
  <c r="J358" i="2"/>
  <c r="B358" i="2"/>
  <c r="N357" i="2"/>
  <c r="M357" i="2"/>
  <c r="L357" i="2"/>
  <c r="J357" i="2"/>
  <c r="B357" i="2"/>
  <c r="N356" i="2"/>
  <c r="M356" i="2"/>
  <c r="L356" i="2"/>
  <c r="J356" i="2"/>
  <c r="B356" i="2"/>
  <c r="N355" i="2"/>
  <c r="M355" i="2"/>
  <c r="L355" i="2"/>
  <c r="J355" i="2"/>
  <c r="B355" i="2"/>
  <c r="N354" i="2"/>
  <c r="M354" i="2"/>
  <c r="L354" i="2"/>
  <c r="J354" i="2"/>
  <c r="B354" i="2"/>
  <c r="N353" i="2"/>
  <c r="M353" i="2"/>
  <c r="L353" i="2"/>
  <c r="J353" i="2"/>
  <c r="B353" i="2"/>
  <c r="N352" i="2"/>
  <c r="M352" i="2"/>
  <c r="L352" i="2"/>
  <c r="J352" i="2"/>
  <c r="B352" i="2"/>
  <c r="N351" i="2"/>
  <c r="M351" i="2"/>
  <c r="L351" i="2"/>
  <c r="J351" i="2"/>
  <c r="B351" i="2"/>
  <c r="N350" i="2"/>
  <c r="M350" i="2"/>
  <c r="L350" i="2"/>
  <c r="J350" i="2"/>
  <c r="B350" i="2"/>
  <c r="N349" i="2"/>
  <c r="M349" i="2"/>
  <c r="L349" i="2"/>
  <c r="J349" i="2"/>
  <c r="B349" i="2"/>
  <c r="N348" i="2"/>
  <c r="M348" i="2"/>
  <c r="L348" i="2"/>
  <c r="J348" i="2"/>
  <c r="B348" i="2"/>
  <c r="N347" i="2"/>
  <c r="M347" i="2"/>
  <c r="L347" i="2"/>
  <c r="J347" i="2"/>
  <c r="B347" i="2"/>
  <c r="N346" i="2"/>
  <c r="M346" i="2"/>
  <c r="L346" i="2"/>
  <c r="J346" i="2"/>
  <c r="B346" i="2"/>
  <c r="N345" i="2"/>
  <c r="M345" i="2"/>
  <c r="L345" i="2"/>
  <c r="J345" i="2"/>
  <c r="B345" i="2"/>
  <c r="N344" i="2"/>
  <c r="M344" i="2"/>
  <c r="L344" i="2"/>
  <c r="J344" i="2"/>
  <c r="B344" i="2"/>
  <c r="N343" i="2"/>
  <c r="M343" i="2"/>
  <c r="L343" i="2"/>
  <c r="J343" i="2"/>
  <c r="B343" i="2"/>
  <c r="N342" i="2"/>
  <c r="M342" i="2"/>
  <c r="L342" i="2"/>
  <c r="J342" i="2"/>
  <c r="B342" i="2"/>
  <c r="N341" i="2"/>
  <c r="M341" i="2"/>
  <c r="L341" i="2"/>
  <c r="J341" i="2"/>
  <c r="B341" i="2"/>
  <c r="N340" i="2"/>
  <c r="M340" i="2"/>
  <c r="L340" i="2"/>
  <c r="J340" i="2"/>
  <c r="B340" i="2"/>
  <c r="N339" i="2"/>
  <c r="M339" i="2"/>
  <c r="L339" i="2"/>
  <c r="J339" i="2"/>
  <c r="B339" i="2"/>
  <c r="N338" i="2"/>
  <c r="M338" i="2"/>
  <c r="L338" i="2"/>
  <c r="J338" i="2"/>
  <c r="B338" i="2"/>
  <c r="N337" i="2"/>
  <c r="M337" i="2"/>
  <c r="L337" i="2"/>
  <c r="J337" i="2"/>
  <c r="B337" i="2"/>
  <c r="N336" i="2"/>
  <c r="M336" i="2"/>
  <c r="L336" i="2"/>
  <c r="J336" i="2"/>
  <c r="B336" i="2"/>
  <c r="N335" i="2"/>
  <c r="M335" i="2"/>
  <c r="L335" i="2"/>
  <c r="J335" i="2"/>
  <c r="B335" i="2"/>
  <c r="N334" i="2"/>
  <c r="M334" i="2"/>
  <c r="L334" i="2"/>
  <c r="J334" i="2"/>
  <c r="B334" i="2"/>
  <c r="N333" i="2"/>
  <c r="M333" i="2"/>
  <c r="L333" i="2"/>
  <c r="J333" i="2"/>
  <c r="B333" i="2"/>
  <c r="N332" i="2"/>
  <c r="M332" i="2"/>
  <c r="L332" i="2"/>
  <c r="J332" i="2"/>
  <c r="B332" i="2"/>
  <c r="N331" i="2"/>
  <c r="M331" i="2"/>
  <c r="L331" i="2"/>
  <c r="J331" i="2"/>
  <c r="B331" i="2"/>
  <c r="N330" i="2"/>
  <c r="M330" i="2"/>
  <c r="L330" i="2"/>
  <c r="J330" i="2"/>
  <c r="B330" i="2"/>
  <c r="N329" i="2"/>
  <c r="M329" i="2"/>
  <c r="L329" i="2"/>
  <c r="J329" i="2"/>
  <c r="B329" i="2"/>
  <c r="N328" i="2"/>
  <c r="M328" i="2"/>
  <c r="L328" i="2"/>
  <c r="J328" i="2"/>
  <c r="B328" i="2"/>
  <c r="N327" i="2"/>
  <c r="M327" i="2"/>
  <c r="L327" i="2"/>
  <c r="J327" i="2"/>
  <c r="B327" i="2"/>
  <c r="N326" i="2"/>
  <c r="M326" i="2"/>
  <c r="L326" i="2"/>
  <c r="J326" i="2"/>
  <c r="B326" i="2"/>
  <c r="N325" i="2"/>
  <c r="M325" i="2"/>
  <c r="L325" i="2"/>
  <c r="J325" i="2"/>
  <c r="B325" i="2"/>
  <c r="N324" i="2"/>
  <c r="M324" i="2"/>
  <c r="L324" i="2"/>
  <c r="J324" i="2"/>
  <c r="B324" i="2"/>
  <c r="N323" i="2"/>
  <c r="M323" i="2"/>
  <c r="L323" i="2"/>
  <c r="J323" i="2"/>
  <c r="B323" i="2"/>
  <c r="N322" i="2"/>
  <c r="M322" i="2"/>
  <c r="L322" i="2"/>
  <c r="J322" i="2"/>
  <c r="B322" i="2"/>
  <c r="N321" i="2"/>
  <c r="M321" i="2"/>
  <c r="L321" i="2"/>
  <c r="J321" i="2"/>
  <c r="B321" i="2"/>
  <c r="N320" i="2"/>
  <c r="M320" i="2"/>
  <c r="L320" i="2"/>
  <c r="J320" i="2"/>
  <c r="B320" i="2"/>
  <c r="N319" i="2"/>
  <c r="M319" i="2"/>
  <c r="L319" i="2"/>
  <c r="J319" i="2"/>
  <c r="B319" i="2"/>
  <c r="N318" i="2"/>
  <c r="M318" i="2"/>
  <c r="L318" i="2"/>
  <c r="J318" i="2"/>
  <c r="B318" i="2"/>
  <c r="N317" i="2"/>
  <c r="M317" i="2"/>
  <c r="L317" i="2"/>
  <c r="J317" i="2"/>
  <c r="B317" i="2"/>
  <c r="N316" i="2"/>
  <c r="M316" i="2"/>
  <c r="L316" i="2"/>
  <c r="J316" i="2"/>
  <c r="B316" i="2"/>
  <c r="N315" i="2"/>
  <c r="M315" i="2"/>
  <c r="L315" i="2"/>
  <c r="J315" i="2"/>
  <c r="B315" i="2"/>
  <c r="N314" i="2"/>
  <c r="M314" i="2"/>
  <c r="L314" i="2"/>
  <c r="J314" i="2"/>
  <c r="B314" i="2"/>
  <c r="N313" i="2"/>
  <c r="M313" i="2"/>
  <c r="L313" i="2"/>
  <c r="J313" i="2"/>
  <c r="B313" i="2"/>
  <c r="N312" i="2"/>
  <c r="M312" i="2"/>
  <c r="L312" i="2"/>
  <c r="J312" i="2"/>
  <c r="B312" i="2"/>
  <c r="N311" i="2"/>
  <c r="M311" i="2"/>
  <c r="L311" i="2"/>
  <c r="J311" i="2"/>
  <c r="B311" i="2"/>
  <c r="N310" i="2"/>
  <c r="M310" i="2"/>
  <c r="L310" i="2"/>
  <c r="J310" i="2"/>
  <c r="B310" i="2"/>
  <c r="N309" i="2"/>
  <c r="M309" i="2"/>
  <c r="L309" i="2"/>
  <c r="J309" i="2"/>
  <c r="B309" i="2"/>
  <c r="N308" i="2"/>
  <c r="M308" i="2"/>
  <c r="L308" i="2"/>
  <c r="J308" i="2"/>
  <c r="B308" i="2"/>
  <c r="N307" i="2"/>
  <c r="M307" i="2"/>
  <c r="L307" i="2"/>
  <c r="J307" i="2"/>
  <c r="B307" i="2"/>
  <c r="N306" i="2"/>
  <c r="M306" i="2"/>
  <c r="L306" i="2"/>
  <c r="J306" i="2"/>
  <c r="B306" i="2"/>
  <c r="N305" i="2"/>
  <c r="M305" i="2"/>
  <c r="L305" i="2"/>
  <c r="J305" i="2"/>
  <c r="B305" i="2"/>
  <c r="N304" i="2"/>
  <c r="M304" i="2"/>
  <c r="L304" i="2"/>
  <c r="J304" i="2"/>
  <c r="B304" i="2"/>
  <c r="N303" i="2"/>
  <c r="M303" i="2"/>
  <c r="L303" i="2"/>
  <c r="J303" i="2"/>
  <c r="B303" i="2"/>
  <c r="N302" i="2"/>
  <c r="M302" i="2"/>
  <c r="L302" i="2"/>
  <c r="J302" i="2"/>
  <c r="B302" i="2"/>
  <c r="N301" i="2"/>
  <c r="M301" i="2"/>
  <c r="L301" i="2"/>
  <c r="J301" i="2"/>
  <c r="B301" i="2"/>
  <c r="N300" i="2"/>
  <c r="M300" i="2"/>
  <c r="L300" i="2"/>
  <c r="J300" i="2"/>
  <c r="B300" i="2"/>
  <c r="N299" i="2"/>
  <c r="M299" i="2"/>
  <c r="L299" i="2"/>
  <c r="J299" i="2"/>
  <c r="B299" i="2"/>
  <c r="N298" i="2"/>
  <c r="M298" i="2"/>
  <c r="L298" i="2"/>
  <c r="J298" i="2"/>
  <c r="B298" i="2"/>
  <c r="N297" i="2"/>
  <c r="M297" i="2"/>
  <c r="L297" i="2"/>
  <c r="J297" i="2"/>
  <c r="B297" i="2"/>
  <c r="N296" i="2"/>
  <c r="M296" i="2"/>
  <c r="L296" i="2"/>
  <c r="J296" i="2"/>
  <c r="B296" i="2"/>
  <c r="N295" i="2"/>
  <c r="M295" i="2"/>
  <c r="L295" i="2"/>
  <c r="J295" i="2"/>
  <c r="B295" i="2"/>
  <c r="N294" i="2"/>
  <c r="M294" i="2"/>
  <c r="L294" i="2"/>
  <c r="J294" i="2"/>
  <c r="B294" i="2"/>
  <c r="N293" i="2"/>
  <c r="M293" i="2"/>
  <c r="L293" i="2"/>
  <c r="J293" i="2"/>
  <c r="B293" i="2"/>
  <c r="N292" i="2"/>
  <c r="M292" i="2"/>
  <c r="L292" i="2"/>
  <c r="J292" i="2"/>
  <c r="B292" i="2"/>
  <c r="N291" i="2"/>
  <c r="M291" i="2"/>
  <c r="L291" i="2"/>
  <c r="J291" i="2"/>
  <c r="B291" i="2"/>
  <c r="N290" i="2"/>
  <c r="M290" i="2"/>
  <c r="L290" i="2"/>
  <c r="J290" i="2"/>
  <c r="B290" i="2"/>
  <c r="N289" i="2"/>
  <c r="M289" i="2"/>
  <c r="L289" i="2"/>
  <c r="J289" i="2"/>
  <c r="B289" i="2"/>
  <c r="N288" i="2"/>
  <c r="M288" i="2"/>
  <c r="L288" i="2"/>
  <c r="J288" i="2"/>
  <c r="B288" i="2"/>
  <c r="N287" i="2"/>
  <c r="M287" i="2"/>
  <c r="L287" i="2"/>
  <c r="J287" i="2"/>
  <c r="B287" i="2"/>
  <c r="N286" i="2"/>
  <c r="M286" i="2"/>
  <c r="L286" i="2"/>
  <c r="J286" i="2"/>
  <c r="B286" i="2"/>
  <c r="N285" i="2"/>
  <c r="M285" i="2"/>
  <c r="L285" i="2"/>
  <c r="J285" i="2"/>
  <c r="B285" i="2"/>
  <c r="N284" i="2"/>
  <c r="M284" i="2"/>
  <c r="L284" i="2"/>
  <c r="J284" i="2"/>
  <c r="B284" i="2"/>
  <c r="N283" i="2"/>
  <c r="M283" i="2"/>
  <c r="L283" i="2"/>
  <c r="J283" i="2"/>
  <c r="B283" i="2"/>
  <c r="N282" i="2"/>
  <c r="M282" i="2"/>
  <c r="L282" i="2"/>
  <c r="J282" i="2"/>
  <c r="B282" i="2"/>
  <c r="N281" i="2"/>
  <c r="M281" i="2"/>
  <c r="L281" i="2"/>
  <c r="J281" i="2"/>
  <c r="B281" i="2"/>
  <c r="N280" i="2"/>
  <c r="M280" i="2"/>
  <c r="L280" i="2"/>
  <c r="J280" i="2"/>
  <c r="B280" i="2"/>
  <c r="N279" i="2"/>
  <c r="M279" i="2"/>
  <c r="L279" i="2"/>
  <c r="J279" i="2"/>
  <c r="B279" i="2"/>
  <c r="N278" i="2"/>
  <c r="M278" i="2"/>
  <c r="L278" i="2"/>
  <c r="J278" i="2"/>
  <c r="B278" i="2"/>
  <c r="N277" i="2"/>
  <c r="M277" i="2"/>
  <c r="L277" i="2"/>
  <c r="J277" i="2"/>
  <c r="B277" i="2"/>
  <c r="N276" i="2"/>
  <c r="M276" i="2"/>
  <c r="L276" i="2"/>
  <c r="J276" i="2"/>
  <c r="B276" i="2"/>
  <c r="N275" i="2"/>
  <c r="M275" i="2"/>
  <c r="L275" i="2"/>
  <c r="J275" i="2"/>
  <c r="B275" i="2"/>
  <c r="N274" i="2"/>
  <c r="M274" i="2"/>
  <c r="L274" i="2"/>
  <c r="J274" i="2"/>
  <c r="B274" i="2"/>
  <c r="N273" i="2"/>
  <c r="M273" i="2"/>
  <c r="L273" i="2"/>
  <c r="J273" i="2"/>
  <c r="B273" i="2"/>
  <c r="N272" i="2"/>
  <c r="M272" i="2"/>
  <c r="L272" i="2"/>
  <c r="J272" i="2"/>
  <c r="B272" i="2"/>
  <c r="N271" i="2"/>
  <c r="M271" i="2"/>
  <c r="L271" i="2"/>
  <c r="J271" i="2"/>
  <c r="B271" i="2"/>
  <c r="N270" i="2"/>
  <c r="M270" i="2"/>
  <c r="L270" i="2"/>
  <c r="J270" i="2"/>
  <c r="B270" i="2"/>
  <c r="N269" i="2"/>
  <c r="M269" i="2"/>
  <c r="L269" i="2"/>
  <c r="J269" i="2"/>
  <c r="B269" i="2"/>
  <c r="N268" i="2"/>
  <c r="M268" i="2"/>
  <c r="L268" i="2"/>
  <c r="J268" i="2"/>
  <c r="B268" i="2"/>
  <c r="N267" i="2"/>
  <c r="M267" i="2"/>
  <c r="L267" i="2"/>
  <c r="J267" i="2"/>
  <c r="B267" i="2"/>
  <c r="N266" i="2"/>
  <c r="M266" i="2"/>
  <c r="L266" i="2"/>
  <c r="J266" i="2"/>
  <c r="B266" i="2"/>
  <c r="N265" i="2"/>
  <c r="M265" i="2"/>
  <c r="L265" i="2"/>
  <c r="J265" i="2"/>
  <c r="B265" i="2"/>
  <c r="N264" i="2"/>
  <c r="M264" i="2"/>
  <c r="L264" i="2"/>
  <c r="J264" i="2"/>
  <c r="B264" i="2"/>
  <c r="N263" i="2"/>
  <c r="M263" i="2"/>
  <c r="L263" i="2"/>
  <c r="J263" i="2"/>
  <c r="B263" i="2"/>
  <c r="N262" i="2"/>
  <c r="M262" i="2"/>
  <c r="L262" i="2"/>
  <c r="J262" i="2"/>
  <c r="B262" i="2"/>
  <c r="N261" i="2"/>
  <c r="M261" i="2"/>
  <c r="L261" i="2"/>
  <c r="J261" i="2"/>
  <c r="B261" i="2"/>
  <c r="N260" i="2"/>
  <c r="M260" i="2"/>
  <c r="L260" i="2"/>
  <c r="J260" i="2"/>
  <c r="B260" i="2"/>
  <c r="N259" i="2"/>
  <c r="M259" i="2"/>
  <c r="L259" i="2"/>
  <c r="J259" i="2"/>
  <c r="B259" i="2"/>
  <c r="N258" i="2"/>
  <c r="M258" i="2"/>
  <c r="L258" i="2"/>
  <c r="J258" i="2"/>
  <c r="B258" i="2"/>
  <c r="N257" i="2"/>
  <c r="M257" i="2"/>
  <c r="L257" i="2"/>
  <c r="J257" i="2"/>
  <c r="B257" i="2"/>
  <c r="N256" i="2"/>
  <c r="M256" i="2"/>
  <c r="L256" i="2"/>
  <c r="J256" i="2"/>
  <c r="B256" i="2"/>
  <c r="N255" i="2"/>
  <c r="M255" i="2"/>
  <c r="L255" i="2"/>
  <c r="J255" i="2"/>
  <c r="B255" i="2"/>
  <c r="N254" i="2"/>
  <c r="M254" i="2"/>
  <c r="L254" i="2"/>
  <c r="J254" i="2"/>
  <c r="B254" i="2"/>
  <c r="N253" i="2"/>
  <c r="M253" i="2"/>
  <c r="L253" i="2"/>
  <c r="J253" i="2"/>
  <c r="B253" i="2"/>
  <c r="N252" i="2"/>
  <c r="M252" i="2"/>
  <c r="L252" i="2"/>
  <c r="J252" i="2"/>
  <c r="B252" i="2"/>
  <c r="N251" i="2"/>
  <c r="M251" i="2"/>
  <c r="L251" i="2"/>
  <c r="J251" i="2"/>
  <c r="B251" i="2"/>
  <c r="N250" i="2"/>
  <c r="M250" i="2"/>
  <c r="L250" i="2"/>
  <c r="J250" i="2"/>
  <c r="B250" i="2"/>
  <c r="N249" i="2"/>
  <c r="M249" i="2"/>
  <c r="L249" i="2"/>
  <c r="J249" i="2"/>
  <c r="B249" i="2"/>
  <c r="N248" i="2"/>
  <c r="M248" i="2"/>
  <c r="L248" i="2"/>
  <c r="J248" i="2"/>
  <c r="B248" i="2"/>
  <c r="N247" i="2"/>
  <c r="M247" i="2"/>
  <c r="L247" i="2"/>
  <c r="J247" i="2"/>
  <c r="B247" i="2"/>
  <c r="N246" i="2"/>
  <c r="M246" i="2"/>
  <c r="L246" i="2"/>
  <c r="J246" i="2"/>
  <c r="B246" i="2"/>
  <c r="N245" i="2"/>
  <c r="M245" i="2"/>
  <c r="L245" i="2"/>
  <c r="J245" i="2"/>
  <c r="B245" i="2"/>
  <c r="N244" i="2"/>
  <c r="M244" i="2"/>
  <c r="L244" i="2"/>
  <c r="J244" i="2"/>
  <c r="B244" i="2"/>
  <c r="N243" i="2"/>
  <c r="M243" i="2"/>
  <c r="L243" i="2"/>
  <c r="J243" i="2"/>
  <c r="B243" i="2"/>
  <c r="N242" i="2"/>
  <c r="M242" i="2"/>
  <c r="L242" i="2"/>
  <c r="J242" i="2"/>
  <c r="B242" i="2"/>
  <c r="N241" i="2"/>
  <c r="M241" i="2"/>
  <c r="L241" i="2"/>
  <c r="J241" i="2"/>
  <c r="B241" i="2"/>
  <c r="N240" i="2"/>
  <c r="M240" i="2"/>
  <c r="L240" i="2"/>
  <c r="J240" i="2"/>
  <c r="B240" i="2"/>
  <c r="N239" i="2"/>
  <c r="M239" i="2"/>
  <c r="L239" i="2"/>
  <c r="J239" i="2"/>
  <c r="B239" i="2"/>
  <c r="N238" i="2"/>
  <c r="M238" i="2"/>
  <c r="L238" i="2"/>
  <c r="J238" i="2"/>
  <c r="B238" i="2"/>
  <c r="N237" i="2"/>
  <c r="M237" i="2"/>
  <c r="L237" i="2"/>
  <c r="J237" i="2"/>
  <c r="B237" i="2"/>
  <c r="N236" i="2"/>
  <c r="M236" i="2"/>
  <c r="L236" i="2"/>
  <c r="J236" i="2"/>
  <c r="B236" i="2"/>
  <c r="N235" i="2"/>
  <c r="M235" i="2"/>
  <c r="L235" i="2"/>
  <c r="J235" i="2"/>
  <c r="B235" i="2"/>
  <c r="N234" i="2"/>
  <c r="M234" i="2"/>
  <c r="L234" i="2"/>
  <c r="J234" i="2"/>
  <c r="B234" i="2"/>
  <c r="N233" i="2"/>
  <c r="M233" i="2"/>
  <c r="L233" i="2"/>
  <c r="J233" i="2"/>
  <c r="B233" i="2"/>
  <c r="N232" i="2"/>
  <c r="M232" i="2"/>
  <c r="L232" i="2"/>
  <c r="J232" i="2"/>
  <c r="B232" i="2"/>
  <c r="N231" i="2"/>
  <c r="M231" i="2"/>
  <c r="L231" i="2"/>
  <c r="J231" i="2"/>
  <c r="B231" i="2"/>
  <c r="N230" i="2"/>
  <c r="M230" i="2"/>
  <c r="L230" i="2"/>
  <c r="J230" i="2"/>
  <c r="B230" i="2"/>
  <c r="N229" i="2"/>
  <c r="M229" i="2"/>
  <c r="L229" i="2"/>
  <c r="J229" i="2"/>
  <c r="B229" i="2"/>
  <c r="N228" i="2"/>
  <c r="M228" i="2"/>
  <c r="L228" i="2"/>
  <c r="J228" i="2"/>
  <c r="B228" i="2"/>
  <c r="N227" i="2"/>
  <c r="M227" i="2"/>
  <c r="L227" i="2"/>
  <c r="J227" i="2"/>
  <c r="B227" i="2"/>
  <c r="N226" i="2"/>
  <c r="M226" i="2"/>
  <c r="L226" i="2"/>
  <c r="J226" i="2"/>
  <c r="B226" i="2"/>
  <c r="N225" i="2"/>
  <c r="M225" i="2"/>
  <c r="L225" i="2"/>
  <c r="J225" i="2"/>
  <c r="B225" i="2"/>
  <c r="N224" i="2"/>
  <c r="M224" i="2"/>
  <c r="L224" i="2"/>
  <c r="J224" i="2"/>
  <c r="B224" i="2"/>
  <c r="N223" i="2"/>
  <c r="M223" i="2"/>
  <c r="L223" i="2"/>
  <c r="J223" i="2"/>
  <c r="B223" i="2"/>
  <c r="N222" i="2"/>
  <c r="M222" i="2"/>
  <c r="L222" i="2"/>
  <c r="J222" i="2"/>
  <c r="B222" i="2"/>
  <c r="N221" i="2"/>
  <c r="M221" i="2"/>
  <c r="L221" i="2"/>
  <c r="J221" i="2"/>
  <c r="B221" i="2"/>
  <c r="N220" i="2"/>
  <c r="M220" i="2"/>
  <c r="L220" i="2"/>
  <c r="J220" i="2"/>
  <c r="B220" i="2"/>
  <c r="N219" i="2"/>
  <c r="M219" i="2"/>
  <c r="L219" i="2"/>
  <c r="J219" i="2"/>
  <c r="B219" i="2"/>
  <c r="N218" i="2"/>
  <c r="M218" i="2"/>
  <c r="L218" i="2"/>
  <c r="J218" i="2"/>
  <c r="B218" i="2"/>
  <c r="N217" i="2"/>
  <c r="M217" i="2"/>
  <c r="L217" i="2"/>
  <c r="J217" i="2"/>
  <c r="B217" i="2"/>
  <c r="N216" i="2"/>
  <c r="M216" i="2"/>
  <c r="L216" i="2"/>
  <c r="J216" i="2"/>
  <c r="B216" i="2"/>
  <c r="N215" i="2"/>
  <c r="M215" i="2"/>
  <c r="L215" i="2"/>
  <c r="J215" i="2"/>
  <c r="B215" i="2"/>
  <c r="N214" i="2"/>
  <c r="M214" i="2"/>
  <c r="L214" i="2"/>
  <c r="J214" i="2"/>
  <c r="B214" i="2"/>
  <c r="N213" i="2"/>
  <c r="M213" i="2"/>
  <c r="L213" i="2"/>
  <c r="J213" i="2"/>
  <c r="B213" i="2"/>
  <c r="N212" i="2"/>
  <c r="M212" i="2"/>
  <c r="L212" i="2"/>
  <c r="J212" i="2"/>
  <c r="B212" i="2"/>
  <c r="N211" i="2"/>
  <c r="M211" i="2"/>
  <c r="L211" i="2"/>
  <c r="J211" i="2"/>
  <c r="B211" i="2"/>
  <c r="N210" i="2"/>
  <c r="M210" i="2"/>
  <c r="L210" i="2"/>
  <c r="J210" i="2"/>
  <c r="B210" i="2"/>
  <c r="N209" i="2"/>
  <c r="M209" i="2"/>
  <c r="L209" i="2"/>
  <c r="J209" i="2"/>
  <c r="B209" i="2"/>
  <c r="N208" i="2"/>
  <c r="M208" i="2"/>
  <c r="L208" i="2"/>
  <c r="J208" i="2"/>
  <c r="B208" i="2"/>
  <c r="N207" i="2"/>
  <c r="M207" i="2"/>
  <c r="L207" i="2"/>
  <c r="J207" i="2"/>
  <c r="B207" i="2"/>
  <c r="N206" i="2"/>
  <c r="M206" i="2"/>
  <c r="L206" i="2"/>
  <c r="J206" i="2"/>
  <c r="B206" i="2"/>
  <c r="N205" i="2"/>
  <c r="M205" i="2"/>
  <c r="L205" i="2"/>
  <c r="J205" i="2"/>
  <c r="B205" i="2"/>
  <c r="N204" i="2"/>
  <c r="M204" i="2"/>
  <c r="L204" i="2"/>
  <c r="J204" i="2"/>
  <c r="B204" i="2"/>
  <c r="N203" i="2"/>
  <c r="M203" i="2"/>
  <c r="L203" i="2"/>
  <c r="J203" i="2"/>
  <c r="B203" i="2"/>
  <c r="N202" i="2"/>
  <c r="M202" i="2"/>
  <c r="L202" i="2"/>
  <c r="J202" i="2"/>
  <c r="B202" i="2"/>
  <c r="N201" i="2"/>
  <c r="M201" i="2"/>
  <c r="L201" i="2"/>
  <c r="J201" i="2"/>
  <c r="B201" i="2"/>
  <c r="N200" i="2"/>
  <c r="M200" i="2"/>
  <c r="L200" i="2"/>
  <c r="J200" i="2"/>
  <c r="B200" i="2"/>
  <c r="N199" i="2"/>
  <c r="M199" i="2"/>
  <c r="L199" i="2"/>
  <c r="J199" i="2"/>
  <c r="B199" i="2"/>
  <c r="N198" i="2"/>
  <c r="M198" i="2"/>
  <c r="L198" i="2"/>
  <c r="J198" i="2"/>
  <c r="B198" i="2"/>
  <c r="N197" i="2"/>
  <c r="M197" i="2"/>
  <c r="L197" i="2"/>
  <c r="J197" i="2"/>
  <c r="B197" i="2"/>
  <c r="N196" i="2"/>
  <c r="M196" i="2"/>
  <c r="L196" i="2"/>
  <c r="J196" i="2"/>
  <c r="B196" i="2"/>
  <c r="N195" i="2"/>
  <c r="M195" i="2"/>
  <c r="L195" i="2"/>
  <c r="J195" i="2"/>
  <c r="B195" i="2"/>
  <c r="N194" i="2"/>
  <c r="M194" i="2"/>
  <c r="L194" i="2"/>
  <c r="J194" i="2"/>
  <c r="B194" i="2"/>
  <c r="N193" i="2"/>
  <c r="M193" i="2"/>
  <c r="L193" i="2"/>
  <c r="J193" i="2"/>
  <c r="B193" i="2"/>
  <c r="N192" i="2"/>
  <c r="M192" i="2"/>
  <c r="L192" i="2"/>
  <c r="J192" i="2"/>
  <c r="B192" i="2"/>
  <c r="N191" i="2"/>
  <c r="M191" i="2"/>
  <c r="L191" i="2"/>
  <c r="J191" i="2"/>
  <c r="B191" i="2"/>
  <c r="N190" i="2"/>
  <c r="M190" i="2"/>
  <c r="L190" i="2"/>
  <c r="J190" i="2"/>
  <c r="B190" i="2"/>
  <c r="N189" i="2"/>
  <c r="M189" i="2"/>
  <c r="L189" i="2"/>
  <c r="J189" i="2"/>
  <c r="B189" i="2"/>
  <c r="N188" i="2"/>
  <c r="M188" i="2"/>
  <c r="L188" i="2"/>
  <c r="J188" i="2"/>
  <c r="B188" i="2"/>
  <c r="N187" i="2"/>
  <c r="M187" i="2"/>
  <c r="L187" i="2"/>
  <c r="J187" i="2"/>
  <c r="B187" i="2"/>
  <c r="N186" i="2"/>
  <c r="M186" i="2"/>
  <c r="L186" i="2"/>
  <c r="J186" i="2"/>
  <c r="B186" i="2"/>
  <c r="N185" i="2"/>
  <c r="M185" i="2"/>
  <c r="L185" i="2"/>
  <c r="J185" i="2"/>
  <c r="B185" i="2"/>
  <c r="N184" i="2"/>
  <c r="M184" i="2"/>
  <c r="L184" i="2"/>
  <c r="J184" i="2"/>
  <c r="B184" i="2"/>
  <c r="N183" i="2"/>
  <c r="M183" i="2"/>
  <c r="L183" i="2"/>
  <c r="J183" i="2"/>
  <c r="B183" i="2"/>
  <c r="N182" i="2"/>
  <c r="M182" i="2"/>
  <c r="L182" i="2"/>
  <c r="J182" i="2"/>
  <c r="B182" i="2"/>
  <c r="N181" i="2"/>
  <c r="M181" i="2"/>
  <c r="L181" i="2"/>
  <c r="J181" i="2"/>
  <c r="B181" i="2"/>
  <c r="N180" i="2"/>
  <c r="M180" i="2"/>
  <c r="L180" i="2"/>
  <c r="J180" i="2"/>
  <c r="B180" i="2"/>
  <c r="N179" i="2"/>
  <c r="M179" i="2"/>
  <c r="L179" i="2"/>
  <c r="J179" i="2"/>
  <c r="B179" i="2"/>
  <c r="N178" i="2"/>
  <c r="M178" i="2"/>
  <c r="L178" i="2"/>
  <c r="J178" i="2"/>
  <c r="B178" i="2"/>
  <c r="N177" i="2"/>
  <c r="M177" i="2"/>
  <c r="L177" i="2"/>
  <c r="J177" i="2"/>
  <c r="B177" i="2"/>
  <c r="N176" i="2"/>
  <c r="M176" i="2"/>
  <c r="L176" i="2"/>
  <c r="J176" i="2"/>
  <c r="B176" i="2"/>
  <c r="N175" i="2"/>
  <c r="M175" i="2"/>
  <c r="L175" i="2"/>
  <c r="J175" i="2"/>
  <c r="B175" i="2"/>
  <c r="N174" i="2"/>
  <c r="M174" i="2"/>
  <c r="L174" i="2"/>
  <c r="J174" i="2"/>
  <c r="B174" i="2"/>
  <c r="N173" i="2"/>
  <c r="M173" i="2"/>
  <c r="L173" i="2"/>
  <c r="J173" i="2"/>
  <c r="B173" i="2"/>
  <c r="N172" i="2"/>
  <c r="M172" i="2"/>
  <c r="L172" i="2"/>
  <c r="J172" i="2"/>
  <c r="B172" i="2"/>
  <c r="N171" i="2"/>
  <c r="M171" i="2"/>
  <c r="L171" i="2"/>
  <c r="J171" i="2"/>
  <c r="B171" i="2"/>
  <c r="N170" i="2"/>
  <c r="M170" i="2"/>
  <c r="L170" i="2"/>
  <c r="J170" i="2"/>
  <c r="B170" i="2"/>
  <c r="N169" i="2"/>
  <c r="M169" i="2"/>
  <c r="L169" i="2"/>
  <c r="J169" i="2"/>
  <c r="B169" i="2"/>
  <c r="N168" i="2"/>
  <c r="M168" i="2"/>
  <c r="L168" i="2"/>
  <c r="J168" i="2"/>
  <c r="B168" i="2"/>
  <c r="N167" i="2"/>
  <c r="M167" i="2"/>
  <c r="L167" i="2"/>
  <c r="J167" i="2"/>
  <c r="B167" i="2"/>
  <c r="N166" i="2"/>
  <c r="M166" i="2"/>
  <c r="L166" i="2"/>
  <c r="J166" i="2"/>
  <c r="B166" i="2"/>
  <c r="N165" i="2"/>
  <c r="M165" i="2"/>
  <c r="L165" i="2"/>
  <c r="J165" i="2"/>
  <c r="B165" i="2"/>
  <c r="N164" i="2"/>
  <c r="M164" i="2"/>
  <c r="L164" i="2"/>
  <c r="J164" i="2"/>
  <c r="B164" i="2"/>
  <c r="N163" i="2"/>
  <c r="M163" i="2"/>
  <c r="L163" i="2"/>
  <c r="J163" i="2"/>
  <c r="B163" i="2"/>
  <c r="N162" i="2"/>
  <c r="M162" i="2"/>
  <c r="L162" i="2"/>
  <c r="J162" i="2"/>
  <c r="B162" i="2"/>
  <c r="N161" i="2"/>
  <c r="M161" i="2"/>
  <c r="L161" i="2"/>
  <c r="J161" i="2"/>
  <c r="B161" i="2"/>
  <c r="N160" i="2"/>
  <c r="M160" i="2"/>
  <c r="L160" i="2"/>
  <c r="J160" i="2"/>
  <c r="B160" i="2"/>
  <c r="N159" i="2"/>
  <c r="M159" i="2"/>
  <c r="L159" i="2"/>
  <c r="J159" i="2"/>
  <c r="B159" i="2"/>
  <c r="N158" i="2"/>
  <c r="M158" i="2"/>
  <c r="L158" i="2"/>
  <c r="J158" i="2"/>
  <c r="B158" i="2"/>
  <c r="N157" i="2"/>
  <c r="M157" i="2"/>
  <c r="L157" i="2"/>
  <c r="J157" i="2"/>
  <c r="B157" i="2"/>
  <c r="N156" i="2"/>
  <c r="M156" i="2"/>
  <c r="L156" i="2"/>
  <c r="J156" i="2"/>
  <c r="B156" i="2"/>
  <c r="N155" i="2"/>
  <c r="M155" i="2"/>
  <c r="L155" i="2"/>
  <c r="J155" i="2"/>
  <c r="B155" i="2"/>
  <c r="N154" i="2"/>
  <c r="M154" i="2"/>
  <c r="L154" i="2"/>
  <c r="J154" i="2"/>
  <c r="B154" i="2"/>
  <c r="N153" i="2"/>
  <c r="M153" i="2"/>
  <c r="L153" i="2"/>
  <c r="J153" i="2"/>
  <c r="B153" i="2"/>
  <c r="N152" i="2"/>
  <c r="M152" i="2"/>
  <c r="L152" i="2"/>
  <c r="J152" i="2"/>
  <c r="B152" i="2"/>
  <c r="N151" i="2"/>
  <c r="M151" i="2"/>
  <c r="L151" i="2"/>
  <c r="J151" i="2"/>
  <c r="B151" i="2"/>
  <c r="N150" i="2"/>
  <c r="M150" i="2"/>
  <c r="L150" i="2"/>
  <c r="J150" i="2"/>
  <c r="B150" i="2"/>
  <c r="N149" i="2"/>
  <c r="M149" i="2"/>
  <c r="L149" i="2"/>
  <c r="J149" i="2"/>
  <c r="B149" i="2"/>
  <c r="N148" i="2"/>
  <c r="M148" i="2"/>
  <c r="L148" i="2"/>
  <c r="J148" i="2"/>
  <c r="B148" i="2"/>
  <c r="N147" i="2"/>
  <c r="M147" i="2"/>
  <c r="L147" i="2"/>
  <c r="J147" i="2"/>
  <c r="B147" i="2"/>
  <c r="N146" i="2"/>
  <c r="M146" i="2"/>
  <c r="L146" i="2"/>
  <c r="J146" i="2"/>
  <c r="B146" i="2"/>
  <c r="N145" i="2"/>
  <c r="M145" i="2"/>
  <c r="L145" i="2"/>
  <c r="J145" i="2"/>
  <c r="B145" i="2"/>
  <c r="N144" i="2"/>
  <c r="M144" i="2"/>
  <c r="L144" i="2"/>
  <c r="J144" i="2"/>
  <c r="B144" i="2"/>
  <c r="N143" i="2"/>
  <c r="M143" i="2"/>
  <c r="L143" i="2"/>
  <c r="J143" i="2"/>
  <c r="B143" i="2"/>
  <c r="N142" i="2"/>
  <c r="M142" i="2"/>
  <c r="L142" i="2"/>
  <c r="J142" i="2"/>
  <c r="B142" i="2"/>
  <c r="N141" i="2"/>
  <c r="M141" i="2"/>
  <c r="L141" i="2"/>
  <c r="J141" i="2"/>
  <c r="B141" i="2"/>
  <c r="N140" i="2"/>
  <c r="M140" i="2"/>
  <c r="L140" i="2"/>
  <c r="J140" i="2"/>
  <c r="B140" i="2"/>
  <c r="N139" i="2"/>
  <c r="M139" i="2"/>
  <c r="L139" i="2"/>
  <c r="J139" i="2"/>
  <c r="B139" i="2"/>
  <c r="N138" i="2"/>
  <c r="M138" i="2"/>
  <c r="L138" i="2"/>
  <c r="J138" i="2"/>
  <c r="B138" i="2"/>
  <c r="N137" i="2"/>
  <c r="M137" i="2"/>
  <c r="L137" i="2"/>
  <c r="J137" i="2"/>
  <c r="B137" i="2"/>
  <c r="N136" i="2"/>
  <c r="M136" i="2"/>
  <c r="L136" i="2"/>
  <c r="J136" i="2"/>
  <c r="B136" i="2"/>
  <c r="N135" i="2"/>
  <c r="M135" i="2"/>
  <c r="L135" i="2"/>
  <c r="J135" i="2"/>
  <c r="B135" i="2"/>
  <c r="N134" i="2"/>
  <c r="M134" i="2"/>
  <c r="L134" i="2"/>
  <c r="J134" i="2"/>
  <c r="B134" i="2"/>
  <c r="N133" i="2"/>
  <c r="M133" i="2"/>
  <c r="L133" i="2"/>
  <c r="J133" i="2"/>
  <c r="B133" i="2"/>
  <c r="N132" i="2"/>
  <c r="M132" i="2"/>
  <c r="L132" i="2"/>
  <c r="J132" i="2"/>
  <c r="B132" i="2"/>
  <c r="N131" i="2"/>
  <c r="M131" i="2"/>
  <c r="L131" i="2"/>
  <c r="J131" i="2"/>
  <c r="B131" i="2"/>
  <c r="N130" i="2"/>
  <c r="M130" i="2"/>
  <c r="L130" i="2"/>
  <c r="J130" i="2"/>
  <c r="B130" i="2"/>
  <c r="N129" i="2"/>
  <c r="M129" i="2"/>
  <c r="L129" i="2"/>
  <c r="J129" i="2"/>
  <c r="B129" i="2"/>
  <c r="N128" i="2"/>
  <c r="M128" i="2"/>
  <c r="L128" i="2"/>
  <c r="J128" i="2"/>
  <c r="B128" i="2"/>
  <c r="N127" i="2"/>
  <c r="M127" i="2"/>
  <c r="L127" i="2"/>
  <c r="J127" i="2"/>
  <c r="B127" i="2"/>
  <c r="N126" i="2"/>
  <c r="M126" i="2"/>
  <c r="L126" i="2"/>
  <c r="J126" i="2"/>
  <c r="B126" i="2"/>
  <c r="N125" i="2"/>
  <c r="M125" i="2"/>
  <c r="L125" i="2"/>
  <c r="J125" i="2"/>
  <c r="B125" i="2"/>
  <c r="N124" i="2"/>
  <c r="M124" i="2"/>
  <c r="L124" i="2"/>
  <c r="J124" i="2"/>
  <c r="B124" i="2"/>
  <c r="N123" i="2"/>
  <c r="M123" i="2"/>
  <c r="L123" i="2"/>
  <c r="J123" i="2"/>
  <c r="B123" i="2"/>
  <c r="N122" i="2"/>
  <c r="M122" i="2"/>
  <c r="L122" i="2"/>
  <c r="J122" i="2"/>
  <c r="B122" i="2"/>
  <c r="N121" i="2"/>
  <c r="M121" i="2"/>
  <c r="L121" i="2"/>
  <c r="J121" i="2"/>
  <c r="B121" i="2"/>
  <c r="N120" i="2"/>
  <c r="M120" i="2"/>
  <c r="L120" i="2"/>
  <c r="J120" i="2"/>
  <c r="B120" i="2"/>
  <c r="N119" i="2"/>
  <c r="M119" i="2"/>
  <c r="L119" i="2"/>
  <c r="J119" i="2"/>
  <c r="B119" i="2"/>
  <c r="N118" i="2"/>
  <c r="M118" i="2"/>
  <c r="L118" i="2"/>
  <c r="J118" i="2"/>
  <c r="B118" i="2"/>
  <c r="N117" i="2"/>
  <c r="M117" i="2"/>
  <c r="L117" i="2"/>
  <c r="J117" i="2"/>
  <c r="B117" i="2"/>
  <c r="N116" i="2"/>
  <c r="M116" i="2"/>
  <c r="L116" i="2"/>
  <c r="J116" i="2"/>
  <c r="B116" i="2"/>
  <c r="N115" i="2"/>
  <c r="M115" i="2"/>
  <c r="L115" i="2"/>
  <c r="J115" i="2"/>
  <c r="B115" i="2"/>
  <c r="N114" i="2"/>
  <c r="M114" i="2"/>
  <c r="L114" i="2"/>
  <c r="J114" i="2"/>
  <c r="B114" i="2"/>
  <c r="N113" i="2"/>
  <c r="M113" i="2"/>
  <c r="L113" i="2"/>
  <c r="J113" i="2"/>
  <c r="B113" i="2"/>
  <c r="N112" i="2"/>
  <c r="M112" i="2"/>
  <c r="L112" i="2"/>
  <c r="J112" i="2"/>
  <c r="B112" i="2"/>
  <c r="N111" i="2"/>
  <c r="M111" i="2"/>
  <c r="L111" i="2"/>
  <c r="J111" i="2"/>
  <c r="B111" i="2"/>
  <c r="N110" i="2"/>
  <c r="M110" i="2"/>
  <c r="L110" i="2"/>
  <c r="J110" i="2"/>
  <c r="B110" i="2"/>
  <c r="N109" i="2"/>
  <c r="M109" i="2"/>
  <c r="L109" i="2"/>
  <c r="J109" i="2"/>
  <c r="B109" i="2"/>
  <c r="N108" i="2"/>
  <c r="M108" i="2"/>
  <c r="L108" i="2"/>
  <c r="J108" i="2"/>
  <c r="B108" i="2"/>
  <c r="N107" i="2"/>
  <c r="M107" i="2"/>
  <c r="L107" i="2"/>
  <c r="J107" i="2"/>
  <c r="B107" i="2"/>
  <c r="N106" i="2"/>
  <c r="M106" i="2"/>
  <c r="L106" i="2"/>
  <c r="J106" i="2"/>
  <c r="B106" i="2"/>
  <c r="N105" i="2"/>
  <c r="M105" i="2"/>
  <c r="L105" i="2"/>
  <c r="J105" i="2"/>
  <c r="B105" i="2"/>
  <c r="N104" i="2"/>
  <c r="M104" i="2"/>
  <c r="L104" i="2"/>
  <c r="J104" i="2"/>
  <c r="B104" i="2"/>
  <c r="N103" i="2"/>
  <c r="M103" i="2"/>
  <c r="L103" i="2"/>
  <c r="J103" i="2"/>
  <c r="B103" i="2"/>
  <c r="N102" i="2"/>
  <c r="M102" i="2"/>
  <c r="L102" i="2"/>
  <c r="J102" i="2"/>
  <c r="B102" i="2"/>
  <c r="N101" i="2"/>
  <c r="M101" i="2"/>
  <c r="L101" i="2"/>
  <c r="J101" i="2"/>
  <c r="B101" i="2"/>
  <c r="N100" i="2"/>
  <c r="M100" i="2"/>
  <c r="L100" i="2"/>
  <c r="J100" i="2"/>
  <c r="B100" i="2"/>
  <c r="N99" i="2"/>
  <c r="M99" i="2"/>
  <c r="L99" i="2"/>
  <c r="J99" i="2"/>
  <c r="B99" i="2"/>
  <c r="N98" i="2"/>
  <c r="M98" i="2"/>
  <c r="L98" i="2"/>
  <c r="J98" i="2"/>
  <c r="B98" i="2"/>
  <c r="N97" i="2"/>
  <c r="M97" i="2"/>
  <c r="L97" i="2"/>
  <c r="J97" i="2"/>
  <c r="B97" i="2"/>
  <c r="N96" i="2"/>
  <c r="M96" i="2"/>
  <c r="L96" i="2"/>
  <c r="J96" i="2"/>
  <c r="B96" i="2"/>
  <c r="N95" i="2"/>
  <c r="M95" i="2"/>
  <c r="L95" i="2"/>
  <c r="J95" i="2"/>
  <c r="B95" i="2"/>
  <c r="N94" i="2"/>
  <c r="M94" i="2"/>
  <c r="L94" i="2"/>
  <c r="J94" i="2"/>
  <c r="B94" i="2"/>
  <c r="N93" i="2"/>
  <c r="M93" i="2"/>
  <c r="L93" i="2"/>
  <c r="J93" i="2"/>
  <c r="B93" i="2"/>
  <c r="N92" i="2"/>
  <c r="M92" i="2"/>
  <c r="L92" i="2"/>
  <c r="J92" i="2"/>
  <c r="B92" i="2"/>
  <c r="N91" i="2"/>
  <c r="M91" i="2"/>
  <c r="L91" i="2"/>
  <c r="J91" i="2"/>
  <c r="B91" i="2"/>
  <c r="N90" i="2"/>
  <c r="M90" i="2"/>
  <c r="L90" i="2"/>
  <c r="J90" i="2"/>
  <c r="B90" i="2"/>
  <c r="N89" i="2"/>
  <c r="M89" i="2"/>
  <c r="L89" i="2"/>
  <c r="J89" i="2"/>
  <c r="B89" i="2"/>
  <c r="N88" i="2"/>
  <c r="M88" i="2"/>
  <c r="L88" i="2"/>
  <c r="J88" i="2"/>
  <c r="B88" i="2"/>
  <c r="N87" i="2"/>
  <c r="M87" i="2"/>
  <c r="L87" i="2"/>
  <c r="J87" i="2"/>
  <c r="B87" i="2"/>
  <c r="N86" i="2"/>
  <c r="M86" i="2"/>
  <c r="L86" i="2"/>
  <c r="J86" i="2"/>
  <c r="B86" i="2"/>
  <c r="N85" i="2"/>
  <c r="M85" i="2"/>
  <c r="L85" i="2"/>
  <c r="J85" i="2"/>
  <c r="B85" i="2"/>
  <c r="N84" i="2"/>
  <c r="M84" i="2"/>
  <c r="L84" i="2"/>
  <c r="J84" i="2"/>
  <c r="B84" i="2"/>
  <c r="N83" i="2"/>
  <c r="M83" i="2"/>
  <c r="L83" i="2"/>
  <c r="J83" i="2"/>
  <c r="B83" i="2"/>
  <c r="N82" i="2"/>
  <c r="M82" i="2"/>
  <c r="L82" i="2"/>
  <c r="J82" i="2"/>
  <c r="B82" i="2"/>
  <c r="N81" i="2"/>
  <c r="M81" i="2"/>
  <c r="L81" i="2"/>
  <c r="J81" i="2"/>
  <c r="B81" i="2"/>
  <c r="N80" i="2"/>
  <c r="M80" i="2"/>
  <c r="L80" i="2"/>
  <c r="J80" i="2"/>
  <c r="B80" i="2"/>
  <c r="N79" i="2"/>
  <c r="M79" i="2"/>
  <c r="L79" i="2"/>
  <c r="J79" i="2"/>
  <c r="B79" i="2"/>
  <c r="N78" i="2"/>
  <c r="M78" i="2"/>
  <c r="L78" i="2"/>
  <c r="J78" i="2"/>
  <c r="B78" i="2"/>
  <c r="N77" i="2"/>
  <c r="M77" i="2"/>
  <c r="L77" i="2"/>
  <c r="J77" i="2"/>
  <c r="B77" i="2"/>
  <c r="N76" i="2"/>
  <c r="M76" i="2"/>
  <c r="L76" i="2"/>
  <c r="J76" i="2"/>
  <c r="B76" i="2"/>
  <c r="N75" i="2"/>
  <c r="M75" i="2"/>
  <c r="L75" i="2"/>
  <c r="J75" i="2"/>
  <c r="B75" i="2"/>
  <c r="N74" i="2"/>
  <c r="M74" i="2"/>
  <c r="L74" i="2"/>
  <c r="J74" i="2"/>
  <c r="B74" i="2"/>
  <c r="N73" i="2"/>
  <c r="M73" i="2"/>
  <c r="L73" i="2"/>
  <c r="J73" i="2"/>
  <c r="B73" i="2"/>
  <c r="N72" i="2"/>
  <c r="M72" i="2"/>
  <c r="L72" i="2"/>
  <c r="J72" i="2"/>
  <c r="B72" i="2"/>
  <c r="N71" i="2"/>
  <c r="M71" i="2"/>
  <c r="L71" i="2"/>
  <c r="J71" i="2"/>
  <c r="B71" i="2"/>
  <c r="N70" i="2"/>
  <c r="M70" i="2"/>
  <c r="L70" i="2"/>
  <c r="J70" i="2"/>
  <c r="B70" i="2"/>
  <c r="N69" i="2"/>
  <c r="M69" i="2"/>
  <c r="L69" i="2"/>
  <c r="J69" i="2"/>
  <c r="B69" i="2"/>
  <c r="N68" i="2"/>
  <c r="M68" i="2"/>
  <c r="L68" i="2"/>
  <c r="J68" i="2"/>
  <c r="B68" i="2"/>
  <c r="N67" i="2"/>
  <c r="M67" i="2"/>
  <c r="L67" i="2"/>
  <c r="J67" i="2"/>
  <c r="B67" i="2"/>
  <c r="N66" i="2"/>
  <c r="M66" i="2"/>
  <c r="L66" i="2"/>
  <c r="J66" i="2"/>
  <c r="B66" i="2"/>
  <c r="N65" i="2"/>
  <c r="M65" i="2"/>
  <c r="L65" i="2"/>
  <c r="J65" i="2"/>
  <c r="B65" i="2"/>
  <c r="N64" i="2"/>
  <c r="M64" i="2"/>
  <c r="L64" i="2"/>
  <c r="J64" i="2"/>
  <c r="B64" i="2"/>
  <c r="N63" i="2"/>
  <c r="M63" i="2"/>
  <c r="L63" i="2"/>
  <c r="J63" i="2"/>
  <c r="B63" i="2"/>
  <c r="N62" i="2"/>
  <c r="M62" i="2"/>
  <c r="L62" i="2"/>
  <c r="J62" i="2"/>
  <c r="B62" i="2"/>
  <c r="N61" i="2"/>
  <c r="M61" i="2"/>
  <c r="L61" i="2"/>
  <c r="J61" i="2"/>
  <c r="B61" i="2"/>
  <c r="N60" i="2"/>
  <c r="M60" i="2"/>
  <c r="L60" i="2"/>
  <c r="J60" i="2"/>
  <c r="B60" i="2"/>
  <c r="N59" i="2"/>
  <c r="M59" i="2"/>
  <c r="L59" i="2"/>
  <c r="J59" i="2"/>
  <c r="B59" i="2"/>
  <c r="N58" i="2"/>
  <c r="M58" i="2"/>
  <c r="L58" i="2"/>
  <c r="J58" i="2"/>
  <c r="B58" i="2"/>
  <c r="N57" i="2"/>
  <c r="M57" i="2"/>
  <c r="L57" i="2"/>
  <c r="J57" i="2"/>
  <c r="B57" i="2"/>
  <c r="N56" i="2"/>
  <c r="M56" i="2"/>
  <c r="L56" i="2"/>
  <c r="J56" i="2"/>
  <c r="B56" i="2"/>
  <c r="N55" i="2"/>
  <c r="M55" i="2"/>
  <c r="L55" i="2"/>
  <c r="J55" i="2"/>
  <c r="B55" i="2"/>
  <c r="N54" i="2"/>
  <c r="M54" i="2"/>
  <c r="L54" i="2"/>
  <c r="J54" i="2"/>
  <c r="B54" i="2"/>
  <c r="N53" i="2"/>
  <c r="M53" i="2"/>
  <c r="L53" i="2"/>
  <c r="J53" i="2"/>
  <c r="B53" i="2"/>
  <c r="N52" i="2"/>
  <c r="M52" i="2"/>
  <c r="L52" i="2"/>
  <c r="J52" i="2"/>
  <c r="B52" i="2"/>
  <c r="N51" i="2"/>
  <c r="M51" i="2"/>
  <c r="L51" i="2"/>
  <c r="J51" i="2"/>
  <c r="B51" i="2"/>
  <c r="N50" i="2"/>
  <c r="M50" i="2"/>
  <c r="L50" i="2"/>
  <c r="J50" i="2"/>
  <c r="B50" i="2"/>
  <c r="N49" i="2"/>
  <c r="M49" i="2"/>
  <c r="L49" i="2"/>
  <c r="J49" i="2"/>
  <c r="B49" i="2"/>
  <c r="N48" i="2"/>
  <c r="M48" i="2"/>
  <c r="L48" i="2"/>
  <c r="J48" i="2"/>
  <c r="B48" i="2"/>
  <c r="N47" i="2"/>
  <c r="M47" i="2"/>
  <c r="L47" i="2"/>
  <c r="J47" i="2"/>
  <c r="B47" i="2"/>
  <c r="N46" i="2"/>
  <c r="M46" i="2"/>
  <c r="L46" i="2"/>
  <c r="J46" i="2"/>
  <c r="B46" i="2"/>
  <c r="N45" i="2"/>
  <c r="M45" i="2"/>
  <c r="L45" i="2"/>
  <c r="J45" i="2"/>
  <c r="B45" i="2"/>
  <c r="N44" i="2"/>
  <c r="M44" i="2"/>
  <c r="L44" i="2"/>
  <c r="J44" i="2"/>
  <c r="B44" i="2"/>
  <c r="N43" i="2"/>
  <c r="M43" i="2"/>
  <c r="L43" i="2"/>
  <c r="J43" i="2"/>
  <c r="B43" i="2"/>
  <c r="N42" i="2"/>
  <c r="M42" i="2"/>
  <c r="L42" i="2"/>
  <c r="J42" i="2"/>
  <c r="B42" i="2"/>
  <c r="N41" i="2"/>
  <c r="M41" i="2"/>
  <c r="L41" i="2"/>
  <c r="J41" i="2"/>
  <c r="B41" i="2"/>
  <c r="N40" i="2"/>
  <c r="M40" i="2"/>
  <c r="L40" i="2"/>
  <c r="J40" i="2"/>
  <c r="B40" i="2"/>
  <c r="N39" i="2"/>
  <c r="M39" i="2"/>
  <c r="L39" i="2"/>
  <c r="J39" i="2"/>
  <c r="B39" i="2"/>
  <c r="N38" i="2"/>
  <c r="M38" i="2"/>
  <c r="L38" i="2"/>
  <c r="J38" i="2"/>
  <c r="B38" i="2"/>
  <c r="N37" i="2"/>
  <c r="M37" i="2"/>
  <c r="L37" i="2"/>
  <c r="J37" i="2"/>
  <c r="B37" i="2"/>
  <c r="N36" i="2"/>
  <c r="M36" i="2"/>
  <c r="L36" i="2"/>
  <c r="J36" i="2"/>
  <c r="B36" i="2"/>
  <c r="N35" i="2"/>
  <c r="M35" i="2"/>
  <c r="L35" i="2"/>
  <c r="J35" i="2"/>
  <c r="B35" i="2"/>
  <c r="N34" i="2"/>
  <c r="M34" i="2"/>
  <c r="L34" i="2"/>
  <c r="J34" i="2"/>
  <c r="B34" i="2"/>
  <c r="N33" i="2"/>
  <c r="M33" i="2"/>
  <c r="L33" i="2"/>
  <c r="J33" i="2"/>
  <c r="B33" i="2"/>
  <c r="N32" i="2"/>
  <c r="M32" i="2"/>
  <c r="L32" i="2"/>
  <c r="J32" i="2"/>
  <c r="B32" i="2"/>
  <c r="N31" i="2"/>
  <c r="M31" i="2"/>
  <c r="L31" i="2"/>
  <c r="J31" i="2"/>
  <c r="B31" i="2"/>
  <c r="N30" i="2"/>
  <c r="M30" i="2"/>
  <c r="L30" i="2"/>
  <c r="J30" i="2"/>
  <c r="B30" i="2"/>
  <c r="N29" i="2"/>
  <c r="M29" i="2"/>
  <c r="L29" i="2"/>
  <c r="J29" i="2"/>
  <c r="B29" i="2"/>
  <c r="N28" i="2"/>
  <c r="M28" i="2"/>
  <c r="L28" i="2"/>
  <c r="J28" i="2"/>
  <c r="B28" i="2"/>
  <c r="N27" i="2"/>
  <c r="M27" i="2"/>
  <c r="L27" i="2"/>
  <c r="J27" i="2"/>
  <c r="B27" i="2"/>
  <c r="N26" i="2"/>
  <c r="M26" i="2"/>
  <c r="L26" i="2"/>
  <c r="J26" i="2"/>
  <c r="B26" i="2"/>
  <c r="N25" i="2"/>
  <c r="M25" i="2"/>
  <c r="L25" i="2"/>
  <c r="J25" i="2"/>
  <c r="B25" i="2"/>
  <c r="N24" i="2"/>
  <c r="M24" i="2"/>
  <c r="L24" i="2"/>
  <c r="J24" i="2"/>
  <c r="B24" i="2"/>
  <c r="N23" i="2"/>
  <c r="M23" i="2"/>
  <c r="L23" i="2"/>
  <c r="J23" i="2"/>
  <c r="B23" i="2"/>
  <c r="N22" i="2"/>
  <c r="M22" i="2"/>
  <c r="L22" i="2"/>
  <c r="J22" i="2"/>
  <c r="B22" i="2"/>
  <c r="N21" i="2"/>
  <c r="M21" i="2"/>
  <c r="L21" i="2"/>
  <c r="J21" i="2"/>
  <c r="B21" i="2"/>
  <c r="N20" i="2"/>
  <c r="M20" i="2"/>
  <c r="L20" i="2"/>
  <c r="J20" i="2"/>
  <c r="B20" i="2"/>
  <c r="N19" i="2"/>
  <c r="M19" i="2"/>
  <c r="L19" i="2"/>
  <c r="J19" i="2"/>
  <c r="B19" i="2"/>
  <c r="N18" i="2"/>
  <c r="M18" i="2"/>
  <c r="L18" i="2"/>
  <c r="J18" i="2"/>
  <c r="B18" i="2"/>
  <c r="N17" i="2"/>
  <c r="M17" i="2"/>
  <c r="L17" i="2"/>
  <c r="J17" i="2"/>
  <c r="B17" i="2"/>
  <c r="N16" i="2"/>
  <c r="M16" i="2"/>
  <c r="L16" i="2"/>
  <c r="J16" i="2"/>
  <c r="B16" i="2"/>
  <c r="N15" i="2"/>
  <c r="M15" i="2"/>
  <c r="L15" i="2"/>
  <c r="J15" i="2"/>
  <c r="B15" i="2"/>
  <c r="N14" i="2"/>
  <c r="M14" i="2"/>
  <c r="L14" i="2"/>
  <c r="J14" i="2"/>
  <c r="B14" i="2"/>
  <c r="N13" i="2"/>
  <c r="M13" i="2"/>
  <c r="L13" i="2"/>
  <c r="J13" i="2"/>
  <c r="B13" i="2"/>
  <c r="N12" i="2"/>
  <c r="M12" i="2"/>
  <c r="L12" i="2"/>
  <c r="J12" i="2"/>
  <c r="B12" i="2"/>
  <c r="N11" i="2"/>
  <c r="M11" i="2"/>
  <c r="L11" i="2"/>
  <c r="J11" i="2"/>
  <c r="B11" i="2"/>
  <c r="N10" i="2"/>
  <c r="M10" i="2"/>
  <c r="L10" i="2"/>
  <c r="J10" i="2"/>
  <c r="B10" i="2"/>
  <c r="N9" i="2"/>
  <c r="M9" i="2"/>
  <c r="L9" i="2"/>
  <c r="J9" i="2"/>
  <c r="B9" i="2"/>
  <c r="N8" i="2"/>
  <c r="M8" i="2"/>
  <c r="L8" i="2"/>
  <c r="J8" i="2"/>
  <c r="B8" i="2"/>
  <c r="N7" i="2"/>
  <c r="M7" i="2"/>
  <c r="L7" i="2"/>
  <c r="J7" i="2"/>
  <c r="B7" i="2"/>
  <c r="N6" i="2"/>
  <c r="M6" i="2"/>
  <c r="L6" i="2"/>
  <c r="J6" i="2"/>
  <c r="B6" i="2"/>
  <c r="N5" i="2"/>
  <c r="M5" i="2"/>
  <c r="L5" i="2"/>
  <c r="J5" i="2"/>
  <c r="B5" i="2"/>
</calcChain>
</file>

<file path=xl/sharedStrings.xml><?xml version="1.0" encoding="utf-8"?>
<sst xmlns="http://schemas.openxmlformats.org/spreadsheetml/2006/main" count="543" uniqueCount="38">
  <si>
    <t>شيت مرتبات 2026 - متوافق مع القوانين المصرية</t>
  </si>
  <si>
    <t>بيانات الموظفين — الخلايا البيضاء للإدخال فقط</t>
  </si>
  <si>
    <t>كود الموظف</t>
  </si>
  <si>
    <t>الاسم</t>
  </si>
  <si>
    <t>الوظيفة</t>
  </si>
  <si>
    <t>تاريخ التعيين</t>
  </si>
  <si>
    <t>الحالة الاجتماعية</t>
  </si>
  <si>
    <t>عدد الاولاد</t>
  </si>
  <si>
    <t>الراتب الاساسي</t>
  </si>
  <si>
    <t>الراتب المتغير</t>
  </si>
  <si>
    <t>الاجر التاميني</t>
  </si>
  <si>
    <t>ملاحظات</t>
  </si>
  <si>
    <t>هذا الشيت للاسترشاد فقط — راجع التسويات الرسمية ومصلحة الضرائب والتأمينات قبل الاعتماد النهائي</t>
  </si>
  <si>
    <t>الشهر</t>
  </si>
  <si>
    <t>سنة</t>
  </si>
  <si>
    <t>ايام الحضور</t>
  </si>
  <si>
    <t>الاضافي</t>
  </si>
  <si>
    <t>الحوافز</t>
  </si>
  <si>
    <t>اجمالي الاستحقاقات</t>
  </si>
  <si>
    <t>حصة الموظف تامينات 11%</t>
  </si>
  <si>
    <t>الوعاء الضريبي</t>
  </si>
  <si>
    <t>ضريبة الدخل 2026</t>
  </si>
  <si>
    <t>الدمغة 3 في الالف</t>
  </si>
  <si>
    <t>اجمالي الاستقطاعات</t>
  </si>
  <si>
    <t>صافي المستحق</t>
  </si>
  <si>
    <t>يناير</t>
  </si>
  <si>
    <t>تفعيل الدمغة النسبية؟</t>
  </si>
  <si>
    <t>لا</t>
  </si>
  <si>
    <t>كشف التوقيع</t>
  </si>
  <si>
    <t>الملخص</t>
  </si>
  <si>
    <t>كود</t>
  </si>
  <si>
    <t>التوقيع</t>
  </si>
  <si>
    <t>إجمالي المرتبات</t>
  </si>
  <si>
    <t>إجمالي التامينات</t>
  </si>
  <si>
    <t>إجمالي الضرائب</t>
  </si>
  <si>
    <t>حصة صاحب العمل 18.75%</t>
  </si>
  <si>
    <t>صافي التكلفة على الشركة</t>
  </si>
  <si>
    <t>للمزيد من الاختبارات المحاسبية المجانية تفضل بزيارة: [رابط موقعك]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</si>
</sst>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6"/>
      <color rgb="FFFFFFFF"/>
      <name val="Cairo"/>
    </font>
    <font>
      <sz val="10"/>
      <color rgb="FF666666"/>
      <name val="Cairo"/>
    </font>
    <font>
      <b/>
      <sz val="11"/>
      <color rgb="FFFFFFFF"/>
      <name val="Cairo"/>
    </font>
    <font>
      <sz val="10"/>
      <name val="Cairo"/>
    </font>
    <font>
      <b/>
      <sz val="10"/>
      <color rgb="FF9C0006"/>
      <name val="Cairo"/>
    </font>
    <font>
      <b/>
      <sz val="11"/>
      <name val="Cairo"/>
    </font>
    <font>
      <b/>
      <sz val="13"/>
      <name val="Cairo"/>
    </font>
    <font>
      <b/>
      <sz val="11"/>
      <color rgb="FF1F4E78"/>
      <name val="Cair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F7FA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Protection="1">
      <protection locked="0"/>
    </xf>
    <xf numFmtId="14" fontId="4" fillId="3" borderId="1" xfId="0" applyNumberFormat="1" applyFont="1" applyFill="1" applyBorder="1" applyProtection="1">
      <protection locked="0"/>
    </xf>
    <xf numFmtId="4" fontId="4" fillId="3" borderId="1" xfId="0" applyNumberFormat="1" applyFont="1" applyFill="1" applyBorder="1" applyProtection="1">
      <protection locked="0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4" fontId="4" fillId="5" borderId="1" xfId="0" applyNumberFormat="1" applyFont="1" applyFill="1" applyBorder="1" applyAlignment="1" applyProtection="1">
      <alignment horizontal="center" vertical="center"/>
      <protection locked="0"/>
    </xf>
    <xf numFmtId="4" fontId="4" fillId="6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5" borderId="1" xfId="0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/>
    <xf numFmtId="0" fontId="4" fillId="0" borderId="1" xfId="0" applyFont="1" applyBorder="1"/>
    <xf numFmtId="4" fontId="4" fillId="0" borderId="1" xfId="0" applyNumberFormat="1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8" fillId="8" borderId="1" xfId="0" applyFont="1" applyFill="1" applyBorder="1" applyAlignment="1">
      <alignment horizontal="center" vertical="center" wrapText="1"/>
    </xf>
    <xf numFmtId="0" fontId="7" fillId="7" borderId="0" xfId="0" applyFont="1" applyFill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4"/>
  <sheetViews>
    <sheetView showGridLines="0" rightToLeft="1" workbookViewId="0">
      <pane ySplit="4" topLeftCell="A5" activePane="bottomLeft" state="frozen"/>
      <selection pane="bottomLeft"/>
    </sheetView>
  </sheetViews>
  <sheetFormatPr defaultRowHeight="13.5" x14ac:dyDescent="0.15"/>
  <cols>
    <col min="1" max="1" width="14.953125" customWidth="1"/>
    <col min="2" max="2" width="24.02734375" customWidth="1"/>
    <col min="3" max="3" width="21.94140625" customWidth="1"/>
    <col min="4" max="4" width="13.97265625" customWidth="1"/>
    <col min="5" max="5" width="18.01953125" customWidth="1"/>
    <col min="6" max="6" width="12.01171875" customWidth="1"/>
    <col min="7" max="9" width="15.93359375" customWidth="1"/>
    <col min="10" max="10" width="27.94921875" customWidth="1"/>
  </cols>
  <sheetData>
    <row r="1" spans="1:10" ht="27.9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4.25" x14ac:dyDescent="0.2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14.2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4.25" x14ac:dyDescent="0.2">
      <c r="A5" s="2"/>
      <c r="B5" s="2"/>
      <c r="C5" s="2"/>
      <c r="D5" s="3"/>
      <c r="E5" s="2"/>
      <c r="F5" s="2"/>
      <c r="G5" s="4"/>
      <c r="H5" s="4"/>
      <c r="I5" s="4"/>
      <c r="J5" s="2"/>
    </row>
    <row r="6" spans="1:10" ht="14.25" x14ac:dyDescent="0.2">
      <c r="A6" s="2"/>
      <c r="B6" s="2"/>
      <c r="C6" s="2"/>
      <c r="D6" s="3"/>
      <c r="E6" s="2"/>
      <c r="F6" s="2"/>
      <c r="G6" s="4"/>
      <c r="H6" s="4"/>
      <c r="I6" s="4"/>
      <c r="J6" s="2"/>
    </row>
    <row r="7" spans="1:10" ht="14.25" x14ac:dyDescent="0.2">
      <c r="A7" s="2"/>
      <c r="B7" s="2"/>
      <c r="C7" s="2"/>
      <c r="D7" s="3"/>
      <c r="E7" s="2"/>
      <c r="F7" s="2"/>
      <c r="G7" s="4"/>
      <c r="H7" s="4"/>
      <c r="I7" s="4"/>
      <c r="J7" s="2"/>
    </row>
    <row r="8" spans="1:10" ht="14.25" x14ac:dyDescent="0.2">
      <c r="A8" s="2"/>
      <c r="B8" s="2"/>
      <c r="C8" s="2"/>
      <c r="D8" s="3"/>
      <c r="E8" s="2"/>
      <c r="F8" s="2"/>
      <c r="G8" s="4"/>
      <c r="H8" s="4"/>
      <c r="I8" s="4"/>
      <c r="J8" s="2"/>
    </row>
    <row r="9" spans="1:10" ht="14.25" x14ac:dyDescent="0.2">
      <c r="A9" s="2"/>
      <c r="B9" s="2"/>
      <c r="C9" s="2"/>
      <c r="D9" s="3"/>
      <c r="E9" s="2"/>
      <c r="F9" s="2"/>
      <c r="G9" s="4"/>
      <c r="H9" s="4"/>
      <c r="I9" s="4"/>
      <c r="J9" s="2"/>
    </row>
    <row r="10" spans="1:10" ht="14.25" x14ac:dyDescent="0.2">
      <c r="A10" s="2"/>
      <c r="B10" s="2"/>
      <c r="C10" s="2"/>
      <c r="D10" s="3"/>
      <c r="E10" s="2"/>
      <c r="F10" s="2"/>
      <c r="G10" s="4"/>
      <c r="H10" s="4"/>
      <c r="I10" s="4"/>
      <c r="J10" s="2"/>
    </row>
    <row r="11" spans="1:10" ht="14.25" x14ac:dyDescent="0.2">
      <c r="A11" s="2"/>
      <c r="B11" s="2"/>
      <c r="C11" s="2"/>
      <c r="D11" s="3"/>
      <c r="E11" s="2"/>
      <c r="F11" s="2"/>
      <c r="G11" s="4"/>
      <c r="H11" s="4"/>
      <c r="I11" s="4"/>
      <c r="J11" s="2"/>
    </row>
    <row r="12" spans="1:10" ht="14.25" x14ac:dyDescent="0.2">
      <c r="A12" s="2"/>
      <c r="B12" s="2"/>
      <c r="C12" s="2"/>
      <c r="D12" s="3"/>
      <c r="E12" s="2"/>
      <c r="F12" s="2"/>
      <c r="G12" s="4"/>
      <c r="H12" s="4"/>
      <c r="I12" s="4"/>
      <c r="J12" s="2"/>
    </row>
    <row r="13" spans="1:10" ht="14.25" x14ac:dyDescent="0.2">
      <c r="A13" s="2"/>
      <c r="B13" s="2"/>
      <c r="C13" s="2"/>
      <c r="D13" s="3"/>
      <c r="E13" s="2"/>
      <c r="F13" s="2"/>
      <c r="G13" s="4"/>
      <c r="H13" s="4"/>
      <c r="I13" s="4"/>
      <c r="J13" s="2"/>
    </row>
    <row r="14" spans="1:10" ht="14.25" x14ac:dyDescent="0.2">
      <c r="A14" s="2"/>
      <c r="B14" s="2"/>
      <c r="C14" s="2"/>
      <c r="D14" s="3"/>
      <c r="E14" s="2"/>
      <c r="F14" s="2"/>
      <c r="G14" s="4"/>
      <c r="H14" s="4"/>
      <c r="I14" s="4"/>
      <c r="J14" s="2"/>
    </row>
    <row r="15" spans="1:10" ht="14.25" x14ac:dyDescent="0.2">
      <c r="A15" s="2"/>
      <c r="B15" s="2"/>
      <c r="C15" s="2"/>
      <c r="D15" s="3"/>
      <c r="E15" s="2"/>
      <c r="F15" s="2"/>
      <c r="G15" s="4"/>
      <c r="H15" s="4"/>
      <c r="I15" s="4"/>
      <c r="J15" s="2"/>
    </row>
    <row r="16" spans="1:10" ht="14.25" x14ac:dyDescent="0.2">
      <c r="A16" s="2"/>
      <c r="B16" s="2"/>
      <c r="C16" s="2"/>
      <c r="D16" s="3"/>
      <c r="E16" s="2"/>
      <c r="F16" s="2"/>
      <c r="G16" s="4"/>
      <c r="H16" s="4"/>
      <c r="I16" s="4"/>
      <c r="J16" s="2"/>
    </row>
    <row r="17" spans="1:10" ht="14.25" x14ac:dyDescent="0.2">
      <c r="A17" s="2"/>
      <c r="B17" s="2"/>
      <c r="C17" s="2"/>
      <c r="D17" s="3"/>
      <c r="E17" s="2"/>
      <c r="F17" s="2"/>
      <c r="G17" s="4"/>
      <c r="H17" s="4"/>
      <c r="I17" s="4"/>
      <c r="J17" s="2"/>
    </row>
    <row r="18" spans="1:10" ht="14.25" x14ac:dyDescent="0.2">
      <c r="A18" s="2"/>
      <c r="B18" s="2"/>
      <c r="C18" s="2"/>
      <c r="D18" s="3"/>
      <c r="E18" s="2"/>
      <c r="F18" s="2"/>
      <c r="G18" s="4"/>
      <c r="H18" s="4"/>
      <c r="I18" s="4"/>
      <c r="J18" s="2"/>
    </row>
    <row r="19" spans="1:10" ht="14.25" x14ac:dyDescent="0.2">
      <c r="A19" s="2"/>
      <c r="B19" s="2"/>
      <c r="C19" s="2"/>
      <c r="D19" s="3"/>
      <c r="E19" s="2"/>
      <c r="F19" s="2"/>
      <c r="G19" s="4"/>
      <c r="H19" s="4"/>
      <c r="I19" s="4"/>
      <c r="J19" s="2"/>
    </row>
    <row r="20" spans="1:10" ht="14.25" x14ac:dyDescent="0.2">
      <c r="A20" s="2"/>
      <c r="B20" s="2"/>
      <c r="C20" s="2"/>
      <c r="D20" s="3"/>
      <c r="E20" s="2"/>
      <c r="F20" s="2"/>
      <c r="G20" s="4"/>
      <c r="H20" s="4"/>
      <c r="I20" s="4"/>
      <c r="J20" s="2"/>
    </row>
    <row r="21" spans="1:10" ht="14.25" x14ac:dyDescent="0.2">
      <c r="A21" s="2"/>
      <c r="B21" s="2"/>
      <c r="C21" s="2"/>
      <c r="D21" s="3"/>
      <c r="E21" s="2"/>
      <c r="F21" s="2"/>
      <c r="G21" s="4"/>
      <c r="H21" s="4"/>
      <c r="I21" s="4"/>
      <c r="J21" s="2"/>
    </row>
    <row r="22" spans="1:10" ht="14.25" x14ac:dyDescent="0.2">
      <c r="A22" s="2"/>
      <c r="B22" s="2"/>
      <c r="C22" s="2"/>
      <c r="D22" s="3"/>
      <c r="E22" s="2"/>
      <c r="F22" s="2"/>
      <c r="G22" s="4"/>
      <c r="H22" s="4"/>
      <c r="I22" s="4"/>
      <c r="J22" s="2"/>
    </row>
    <row r="23" spans="1:10" ht="14.25" x14ac:dyDescent="0.2">
      <c r="A23" s="2"/>
      <c r="B23" s="2"/>
      <c r="C23" s="2"/>
      <c r="D23" s="3"/>
      <c r="E23" s="2"/>
      <c r="F23" s="2"/>
      <c r="G23" s="4"/>
      <c r="H23" s="4"/>
      <c r="I23" s="4"/>
      <c r="J23" s="2"/>
    </row>
    <row r="24" spans="1:10" ht="14.25" x14ac:dyDescent="0.2">
      <c r="A24" s="2"/>
      <c r="B24" s="2"/>
      <c r="C24" s="2"/>
      <c r="D24" s="3"/>
      <c r="E24" s="2"/>
      <c r="F24" s="2"/>
      <c r="G24" s="4"/>
      <c r="H24" s="4"/>
      <c r="I24" s="4"/>
      <c r="J24" s="2"/>
    </row>
    <row r="25" spans="1:10" ht="14.25" x14ac:dyDescent="0.2">
      <c r="A25" s="2"/>
      <c r="B25" s="2"/>
      <c r="C25" s="2"/>
      <c r="D25" s="3"/>
      <c r="E25" s="2"/>
      <c r="F25" s="2"/>
      <c r="G25" s="4"/>
      <c r="H25" s="4"/>
      <c r="I25" s="4"/>
      <c r="J25" s="2"/>
    </row>
    <row r="26" spans="1:10" ht="14.25" x14ac:dyDescent="0.2">
      <c r="A26" s="2"/>
      <c r="B26" s="2"/>
      <c r="C26" s="2"/>
      <c r="D26" s="3"/>
      <c r="E26" s="2"/>
      <c r="F26" s="2"/>
      <c r="G26" s="4"/>
      <c r="H26" s="4"/>
      <c r="I26" s="4"/>
      <c r="J26" s="2"/>
    </row>
    <row r="27" spans="1:10" ht="14.25" x14ac:dyDescent="0.2">
      <c r="A27" s="2"/>
      <c r="B27" s="2"/>
      <c r="C27" s="2"/>
      <c r="D27" s="3"/>
      <c r="E27" s="2"/>
      <c r="F27" s="2"/>
      <c r="G27" s="4"/>
      <c r="H27" s="4"/>
      <c r="I27" s="4"/>
      <c r="J27" s="2"/>
    </row>
    <row r="28" spans="1:10" ht="14.25" x14ac:dyDescent="0.2">
      <c r="A28" s="2"/>
      <c r="B28" s="2"/>
      <c r="C28" s="2"/>
      <c r="D28" s="3"/>
      <c r="E28" s="2"/>
      <c r="F28" s="2"/>
      <c r="G28" s="4"/>
      <c r="H28" s="4"/>
      <c r="I28" s="4"/>
      <c r="J28" s="2"/>
    </row>
    <row r="29" spans="1:10" ht="14.25" x14ac:dyDescent="0.2">
      <c r="A29" s="2"/>
      <c r="B29" s="2"/>
      <c r="C29" s="2"/>
      <c r="D29" s="3"/>
      <c r="E29" s="2"/>
      <c r="F29" s="2"/>
      <c r="G29" s="4"/>
      <c r="H29" s="4"/>
      <c r="I29" s="4"/>
      <c r="J29" s="2"/>
    </row>
    <row r="30" spans="1:10" ht="14.25" x14ac:dyDescent="0.2">
      <c r="A30" s="2"/>
      <c r="B30" s="2"/>
      <c r="C30" s="2"/>
      <c r="D30" s="3"/>
      <c r="E30" s="2"/>
      <c r="F30" s="2"/>
      <c r="G30" s="4"/>
      <c r="H30" s="4"/>
      <c r="I30" s="4"/>
      <c r="J30" s="2"/>
    </row>
    <row r="31" spans="1:10" ht="14.25" x14ac:dyDescent="0.2">
      <c r="A31" s="2"/>
      <c r="B31" s="2"/>
      <c r="C31" s="2"/>
      <c r="D31" s="3"/>
      <c r="E31" s="2"/>
      <c r="F31" s="2"/>
      <c r="G31" s="4"/>
      <c r="H31" s="4"/>
      <c r="I31" s="4"/>
      <c r="J31" s="2"/>
    </row>
    <row r="32" spans="1:10" ht="14.25" x14ac:dyDescent="0.2">
      <c r="A32" s="2"/>
      <c r="B32" s="2"/>
      <c r="C32" s="2"/>
      <c r="D32" s="3"/>
      <c r="E32" s="2"/>
      <c r="F32" s="2"/>
      <c r="G32" s="4"/>
      <c r="H32" s="4"/>
      <c r="I32" s="4"/>
      <c r="J32" s="2"/>
    </row>
    <row r="33" spans="1:10" ht="14.25" x14ac:dyDescent="0.2">
      <c r="A33" s="2"/>
      <c r="B33" s="2"/>
      <c r="C33" s="2"/>
      <c r="D33" s="3"/>
      <c r="E33" s="2"/>
      <c r="F33" s="2"/>
      <c r="G33" s="4"/>
      <c r="H33" s="4"/>
      <c r="I33" s="4"/>
      <c r="J33" s="2"/>
    </row>
    <row r="34" spans="1:10" ht="14.25" x14ac:dyDescent="0.2">
      <c r="A34" s="2"/>
      <c r="B34" s="2"/>
      <c r="C34" s="2"/>
      <c r="D34" s="3"/>
      <c r="E34" s="2"/>
      <c r="F34" s="2"/>
      <c r="G34" s="4"/>
      <c r="H34" s="4"/>
      <c r="I34" s="4"/>
      <c r="J34" s="2"/>
    </row>
    <row r="35" spans="1:10" ht="14.25" x14ac:dyDescent="0.2">
      <c r="A35" s="2"/>
      <c r="B35" s="2"/>
      <c r="C35" s="2"/>
      <c r="D35" s="3"/>
      <c r="E35" s="2"/>
      <c r="F35" s="2"/>
      <c r="G35" s="4"/>
      <c r="H35" s="4"/>
      <c r="I35" s="4"/>
      <c r="J35" s="2"/>
    </row>
    <row r="36" spans="1:10" ht="14.25" x14ac:dyDescent="0.2">
      <c r="A36" s="2"/>
      <c r="B36" s="2"/>
      <c r="C36" s="2"/>
      <c r="D36" s="3"/>
      <c r="E36" s="2"/>
      <c r="F36" s="2"/>
      <c r="G36" s="4"/>
      <c r="H36" s="4"/>
      <c r="I36" s="4"/>
      <c r="J36" s="2"/>
    </row>
    <row r="37" spans="1:10" ht="14.25" x14ac:dyDescent="0.2">
      <c r="A37" s="2"/>
      <c r="B37" s="2"/>
      <c r="C37" s="2"/>
      <c r="D37" s="3"/>
      <c r="E37" s="2"/>
      <c r="F37" s="2"/>
      <c r="G37" s="4"/>
      <c r="H37" s="4"/>
      <c r="I37" s="4"/>
      <c r="J37" s="2"/>
    </row>
    <row r="38" spans="1:10" ht="14.25" x14ac:dyDescent="0.2">
      <c r="A38" s="2"/>
      <c r="B38" s="2"/>
      <c r="C38" s="2"/>
      <c r="D38" s="3"/>
      <c r="E38" s="2"/>
      <c r="F38" s="2"/>
      <c r="G38" s="4"/>
      <c r="H38" s="4"/>
      <c r="I38" s="4"/>
      <c r="J38" s="2"/>
    </row>
    <row r="39" spans="1:10" ht="14.25" x14ac:dyDescent="0.2">
      <c r="A39" s="2"/>
      <c r="B39" s="2"/>
      <c r="C39" s="2"/>
      <c r="D39" s="3"/>
      <c r="E39" s="2"/>
      <c r="F39" s="2"/>
      <c r="G39" s="4"/>
      <c r="H39" s="4"/>
      <c r="I39" s="4"/>
      <c r="J39" s="2"/>
    </row>
    <row r="40" spans="1:10" ht="14.25" x14ac:dyDescent="0.2">
      <c r="A40" s="2"/>
      <c r="B40" s="2"/>
      <c r="C40" s="2"/>
      <c r="D40" s="3"/>
      <c r="E40" s="2"/>
      <c r="F40" s="2"/>
      <c r="G40" s="4"/>
      <c r="H40" s="4"/>
      <c r="I40" s="4"/>
      <c r="J40" s="2"/>
    </row>
    <row r="41" spans="1:10" ht="14.25" x14ac:dyDescent="0.2">
      <c r="A41" s="2"/>
      <c r="B41" s="2"/>
      <c r="C41" s="2"/>
      <c r="D41" s="3"/>
      <c r="E41" s="2"/>
      <c r="F41" s="2"/>
      <c r="G41" s="4"/>
      <c r="H41" s="4"/>
      <c r="I41" s="4"/>
      <c r="J41" s="2"/>
    </row>
    <row r="42" spans="1:10" ht="14.25" x14ac:dyDescent="0.2">
      <c r="A42" s="2"/>
      <c r="B42" s="2"/>
      <c r="C42" s="2"/>
      <c r="D42" s="3"/>
      <c r="E42" s="2"/>
      <c r="F42" s="2"/>
      <c r="G42" s="4"/>
      <c r="H42" s="4"/>
      <c r="I42" s="4"/>
      <c r="J42" s="2"/>
    </row>
    <row r="43" spans="1:10" ht="14.25" x14ac:dyDescent="0.2">
      <c r="A43" s="2"/>
      <c r="B43" s="2"/>
      <c r="C43" s="2"/>
      <c r="D43" s="3"/>
      <c r="E43" s="2"/>
      <c r="F43" s="2"/>
      <c r="G43" s="4"/>
      <c r="H43" s="4"/>
      <c r="I43" s="4"/>
      <c r="J43" s="2"/>
    </row>
    <row r="44" spans="1:10" ht="14.25" x14ac:dyDescent="0.2">
      <c r="A44" s="2"/>
      <c r="B44" s="2"/>
      <c r="C44" s="2"/>
      <c r="D44" s="3"/>
      <c r="E44" s="2"/>
      <c r="F44" s="2"/>
      <c r="G44" s="4"/>
      <c r="H44" s="4"/>
      <c r="I44" s="4"/>
      <c r="J44" s="2"/>
    </row>
    <row r="45" spans="1:10" ht="14.25" x14ac:dyDescent="0.2">
      <c r="A45" s="2"/>
      <c r="B45" s="2"/>
      <c r="C45" s="2"/>
      <c r="D45" s="3"/>
      <c r="E45" s="2"/>
      <c r="F45" s="2"/>
      <c r="G45" s="4"/>
      <c r="H45" s="4"/>
      <c r="I45" s="4"/>
      <c r="J45" s="2"/>
    </row>
    <row r="46" spans="1:10" ht="14.25" x14ac:dyDescent="0.2">
      <c r="A46" s="2"/>
      <c r="B46" s="2"/>
      <c r="C46" s="2"/>
      <c r="D46" s="3"/>
      <c r="E46" s="2"/>
      <c r="F46" s="2"/>
      <c r="G46" s="4"/>
      <c r="H46" s="4"/>
      <c r="I46" s="4"/>
      <c r="J46" s="2"/>
    </row>
    <row r="47" spans="1:10" ht="14.25" x14ac:dyDescent="0.2">
      <c r="A47" s="2"/>
      <c r="B47" s="2"/>
      <c r="C47" s="2"/>
      <c r="D47" s="3"/>
      <c r="E47" s="2"/>
      <c r="F47" s="2"/>
      <c r="G47" s="4"/>
      <c r="H47" s="4"/>
      <c r="I47" s="4"/>
      <c r="J47" s="2"/>
    </row>
    <row r="48" spans="1:10" ht="14.25" x14ac:dyDescent="0.2">
      <c r="A48" s="2"/>
      <c r="B48" s="2"/>
      <c r="C48" s="2"/>
      <c r="D48" s="3"/>
      <c r="E48" s="2"/>
      <c r="F48" s="2"/>
      <c r="G48" s="4"/>
      <c r="H48" s="4"/>
      <c r="I48" s="4"/>
      <c r="J48" s="2"/>
    </row>
    <row r="49" spans="1:10" ht="14.25" x14ac:dyDescent="0.2">
      <c r="A49" s="2"/>
      <c r="B49" s="2"/>
      <c r="C49" s="2"/>
      <c r="D49" s="3"/>
      <c r="E49" s="2"/>
      <c r="F49" s="2"/>
      <c r="G49" s="4"/>
      <c r="H49" s="4"/>
      <c r="I49" s="4"/>
      <c r="J49" s="2"/>
    </row>
    <row r="50" spans="1:10" ht="14.25" x14ac:dyDescent="0.2">
      <c r="A50" s="2"/>
      <c r="B50" s="2"/>
      <c r="C50" s="2"/>
      <c r="D50" s="3"/>
      <c r="E50" s="2"/>
      <c r="F50" s="2"/>
      <c r="G50" s="4"/>
      <c r="H50" s="4"/>
      <c r="I50" s="4"/>
      <c r="J50" s="2"/>
    </row>
    <row r="51" spans="1:10" ht="14.25" x14ac:dyDescent="0.2">
      <c r="A51" s="2"/>
      <c r="B51" s="2"/>
      <c r="C51" s="2"/>
      <c r="D51" s="3"/>
      <c r="E51" s="2"/>
      <c r="F51" s="2"/>
      <c r="G51" s="4"/>
      <c r="H51" s="4"/>
      <c r="I51" s="4"/>
      <c r="J51" s="2"/>
    </row>
    <row r="52" spans="1:10" ht="14.25" x14ac:dyDescent="0.2">
      <c r="A52" s="2"/>
      <c r="B52" s="2"/>
      <c r="C52" s="2"/>
      <c r="D52" s="3"/>
      <c r="E52" s="2"/>
      <c r="F52" s="2"/>
      <c r="G52" s="4"/>
      <c r="H52" s="4"/>
      <c r="I52" s="4"/>
      <c r="J52" s="2"/>
    </row>
    <row r="53" spans="1:10" ht="14.25" x14ac:dyDescent="0.2">
      <c r="A53" s="2"/>
      <c r="B53" s="2"/>
      <c r="C53" s="2"/>
      <c r="D53" s="3"/>
      <c r="E53" s="2"/>
      <c r="F53" s="2"/>
      <c r="G53" s="4"/>
      <c r="H53" s="4"/>
      <c r="I53" s="4"/>
      <c r="J53" s="2"/>
    </row>
    <row r="54" spans="1:10" ht="14.25" x14ac:dyDescent="0.2">
      <c r="A54" s="2"/>
      <c r="B54" s="2"/>
      <c r="C54" s="2"/>
      <c r="D54" s="3"/>
      <c r="E54" s="2"/>
      <c r="F54" s="2"/>
      <c r="G54" s="4"/>
      <c r="H54" s="4"/>
      <c r="I54" s="4"/>
      <c r="J54" s="2"/>
    </row>
    <row r="55" spans="1:10" ht="14.25" x14ac:dyDescent="0.2">
      <c r="A55" s="2"/>
      <c r="B55" s="2"/>
      <c r="C55" s="2"/>
      <c r="D55" s="3"/>
      <c r="E55" s="2"/>
      <c r="F55" s="2"/>
      <c r="G55" s="4"/>
      <c r="H55" s="4"/>
      <c r="I55" s="4"/>
      <c r="J55" s="2"/>
    </row>
    <row r="56" spans="1:10" ht="14.25" x14ac:dyDescent="0.2">
      <c r="A56" s="2"/>
      <c r="B56" s="2"/>
      <c r="C56" s="2"/>
      <c r="D56" s="3"/>
      <c r="E56" s="2"/>
      <c r="F56" s="2"/>
      <c r="G56" s="4"/>
      <c r="H56" s="4"/>
      <c r="I56" s="4"/>
      <c r="J56" s="2"/>
    </row>
    <row r="57" spans="1:10" ht="14.25" x14ac:dyDescent="0.2">
      <c r="A57" s="2"/>
      <c r="B57" s="2"/>
      <c r="C57" s="2"/>
      <c r="D57" s="3"/>
      <c r="E57" s="2"/>
      <c r="F57" s="2"/>
      <c r="G57" s="4"/>
      <c r="H57" s="4"/>
      <c r="I57" s="4"/>
      <c r="J57" s="2"/>
    </row>
    <row r="58" spans="1:10" ht="14.25" x14ac:dyDescent="0.2">
      <c r="A58" s="2"/>
      <c r="B58" s="2"/>
      <c r="C58" s="2"/>
      <c r="D58" s="3"/>
      <c r="E58" s="2"/>
      <c r="F58" s="2"/>
      <c r="G58" s="4"/>
      <c r="H58" s="4"/>
      <c r="I58" s="4"/>
      <c r="J58" s="2"/>
    </row>
    <row r="59" spans="1:10" ht="14.25" x14ac:dyDescent="0.2">
      <c r="A59" s="2"/>
      <c r="B59" s="2"/>
      <c r="C59" s="2"/>
      <c r="D59" s="3"/>
      <c r="E59" s="2"/>
      <c r="F59" s="2"/>
      <c r="G59" s="4"/>
      <c r="H59" s="4"/>
      <c r="I59" s="4"/>
      <c r="J59" s="2"/>
    </row>
    <row r="60" spans="1:10" ht="14.25" x14ac:dyDescent="0.2">
      <c r="A60" s="2"/>
      <c r="B60" s="2"/>
      <c r="C60" s="2"/>
      <c r="D60" s="3"/>
      <c r="E60" s="2"/>
      <c r="F60" s="2"/>
      <c r="G60" s="4"/>
      <c r="H60" s="4"/>
      <c r="I60" s="4"/>
      <c r="J60" s="2"/>
    </row>
    <row r="61" spans="1:10" ht="14.25" x14ac:dyDescent="0.2">
      <c r="A61" s="2"/>
      <c r="B61" s="2"/>
      <c r="C61" s="2"/>
      <c r="D61" s="3"/>
      <c r="E61" s="2"/>
      <c r="F61" s="2"/>
      <c r="G61" s="4"/>
      <c r="H61" s="4"/>
      <c r="I61" s="4"/>
      <c r="J61" s="2"/>
    </row>
    <row r="62" spans="1:10" ht="14.25" x14ac:dyDescent="0.2">
      <c r="A62" s="2"/>
      <c r="B62" s="2"/>
      <c r="C62" s="2"/>
      <c r="D62" s="3"/>
      <c r="E62" s="2"/>
      <c r="F62" s="2"/>
      <c r="G62" s="4"/>
      <c r="H62" s="4"/>
      <c r="I62" s="4"/>
      <c r="J62" s="2"/>
    </row>
    <row r="63" spans="1:10" ht="14.25" x14ac:dyDescent="0.2">
      <c r="A63" s="2"/>
      <c r="B63" s="2"/>
      <c r="C63" s="2"/>
      <c r="D63" s="3"/>
      <c r="E63" s="2"/>
      <c r="F63" s="2"/>
      <c r="G63" s="4"/>
      <c r="H63" s="4"/>
      <c r="I63" s="4"/>
      <c r="J63" s="2"/>
    </row>
    <row r="64" spans="1:10" ht="14.25" x14ac:dyDescent="0.2">
      <c r="A64" s="2"/>
      <c r="B64" s="2"/>
      <c r="C64" s="2"/>
      <c r="D64" s="3"/>
      <c r="E64" s="2"/>
      <c r="F64" s="2"/>
      <c r="G64" s="4"/>
      <c r="H64" s="4"/>
      <c r="I64" s="4"/>
      <c r="J64" s="2"/>
    </row>
    <row r="65" spans="1:10" ht="14.25" x14ac:dyDescent="0.2">
      <c r="A65" s="2"/>
      <c r="B65" s="2"/>
      <c r="C65" s="2"/>
      <c r="D65" s="3"/>
      <c r="E65" s="2"/>
      <c r="F65" s="2"/>
      <c r="G65" s="4"/>
      <c r="H65" s="4"/>
      <c r="I65" s="4"/>
      <c r="J65" s="2"/>
    </row>
    <row r="66" spans="1:10" ht="14.25" x14ac:dyDescent="0.2">
      <c r="A66" s="2"/>
      <c r="B66" s="2"/>
      <c r="C66" s="2"/>
      <c r="D66" s="3"/>
      <c r="E66" s="2"/>
      <c r="F66" s="2"/>
      <c r="G66" s="4"/>
      <c r="H66" s="4"/>
      <c r="I66" s="4"/>
      <c r="J66" s="2"/>
    </row>
    <row r="67" spans="1:10" ht="14.25" x14ac:dyDescent="0.2">
      <c r="A67" s="2"/>
      <c r="B67" s="2"/>
      <c r="C67" s="2"/>
      <c r="D67" s="3"/>
      <c r="E67" s="2"/>
      <c r="F67" s="2"/>
      <c r="G67" s="4"/>
      <c r="H67" s="4"/>
      <c r="I67" s="4"/>
      <c r="J67" s="2"/>
    </row>
    <row r="68" spans="1:10" ht="14.25" x14ac:dyDescent="0.2">
      <c r="A68" s="2"/>
      <c r="B68" s="2"/>
      <c r="C68" s="2"/>
      <c r="D68" s="3"/>
      <c r="E68" s="2"/>
      <c r="F68" s="2"/>
      <c r="G68" s="4"/>
      <c r="H68" s="4"/>
      <c r="I68" s="4"/>
      <c r="J68" s="2"/>
    </row>
    <row r="69" spans="1:10" ht="14.25" x14ac:dyDescent="0.2">
      <c r="A69" s="2"/>
      <c r="B69" s="2"/>
      <c r="C69" s="2"/>
      <c r="D69" s="3"/>
      <c r="E69" s="2"/>
      <c r="F69" s="2"/>
      <c r="G69" s="4"/>
      <c r="H69" s="4"/>
      <c r="I69" s="4"/>
      <c r="J69" s="2"/>
    </row>
    <row r="70" spans="1:10" ht="14.25" x14ac:dyDescent="0.2">
      <c r="A70" s="2"/>
      <c r="B70" s="2"/>
      <c r="C70" s="2"/>
      <c r="D70" s="3"/>
      <c r="E70" s="2"/>
      <c r="F70" s="2"/>
      <c r="G70" s="4"/>
      <c r="H70" s="4"/>
      <c r="I70" s="4"/>
      <c r="J70" s="2"/>
    </row>
    <row r="71" spans="1:10" ht="14.25" x14ac:dyDescent="0.2">
      <c r="A71" s="2"/>
      <c r="B71" s="2"/>
      <c r="C71" s="2"/>
      <c r="D71" s="3"/>
      <c r="E71" s="2"/>
      <c r="F71" s="2"/>
      <c r="G71" s="4"/>
      <c r="H71" s="4"/>
      <c r="I71" s="4"/>
      <c r="J71" s="2"/>
    </row>
    <row r="72" spans="1:10" ht="14.25" x14ac:dyDescent="0.2">
      <c r="A72" s="2"/>
      <c r="B72" s="2"/>
      <c r="C72" s="2"/>
      <c r="D72" s="3"/>
      <c r="E72" s="2"/>
      <c r="F72" s="2"/>
      <c r="G72" s="4"/>
      <c r="H72" s="4"/>
      <c r="I72" s="4"/>
      <c r="J72" s="2"/>
    </row>
    <row r="73" spans="1:10" ht="14.25" x14ac:dyDescent="0.2">
      <c r="A73" s="2"/>
      <c r="B73" s="2"/>
      <c r="C73" s="2"/>
      <c r="D73" s="3"/>
      <c r="E73" s="2"/>
      <c r="F73" s="2"/>
      <c r="G73" s="4"/>
      <c r="H73" s="4"/>
      <c r="I73" s="4"/>
      <c r="J73" s="2"/>
    </row>
    <row r="74" spans="1:10" ht="14.25" x14ac:dyDescent="0.2">
      <c r="A74" s="2"/>
      <c r="B74" s="2"/>
      <c r="C74" s="2"/>
      <c r="D74" s="3"/>
      <c r="E74" s="2"/>
      <c r="F74" s="2"/>
      <c r="G74" s="4"/>
      <c r="H74" s="4"/>
      <c r="I74" s="4"/>
      <c r="J74" s="2"/>
    </row>
    <row r="75" spans="1:10" ht="14.25" x14ac:dyDescent="0.2">
      <c r="A75" s="2"/>
      <c r="B75" s="2"/>
      <c r="C75" s="2"/>
      <c r="D75" s="3"/>
      <c r="E75" s="2"/>
      <c r="F75" s="2"/>
      <c r="G75" s="4"/>
      <c r="H75" s="4"/>
      <c r="I75" s="4"/>
      <c r="J75" s="2"/>
    </row>
    <row r="76" spans="1:10" ht="14.25" x14ac:dyDescent="0.2">
      <c r="A76" s="2"/>
      <c r="B76" s="2"/>
      <c r="C76" s="2"/>
      <c r="D76" s="3"/>
      <c r="E76" s="2"/>
      <c r="F76" s="2"/>
      <c r="G76" s="4"/>
      <c r="H76" s="4"/>
      <c r="I76" s="4"/>
      <c r="J76" s="2"/>
    </row>
    <row r="77" spans="1:10" ht="14.25" x14ac:dyDescent="0.2">
      <c r="A77" s="2"/>
      <c r="B77" s="2"/>
      <c r="C77" s="2"/>
      <c r="D77" s="3"/>
      <c r="E77" s="2"/>
      <c r="F77" s="2"/>
      <c r="G77" s="4"/>
      <c r="H77" s="4"/>
      <c r="I77" s="4"/>
      <c r="J77" s="2"/>
    </row>
    <row r="78" spans="1:10" ht="14.25" x14ac:dyDescent="0.2">
      <c r="A78" s="2"/>
      <c r="B78" s="2"/>
      <c r="C78" s="2"/>
      <c r="D78" s="3"/>
      <c r="E78" s="2"/>
      <c r="F78" s="2"/>
      <c r="G78" s="4"/>
      <c r="H78" s="4"/>
      <c r="I78" s="4"/>
      <c r="J78" s="2"/>
    </row>
    <row r="79" spans="1:10" ht="14.25" x14ac:dyDescent="0.2">
      <c r="A79" s="2"/>
      <c r="B79" s="2"/>
      <c r="C79" s="2"/>
      <c r="D79" s="3"/>
      <c r="E79" s="2"/>
      <c r="F79" s="2"/>
      <c r="G79" s="4"/>
      <c r="H79" s="4"/>
      <c r="I79" s="4"/>
      <c r="J79" s="2"/>
    </row>
    <row r="80" spans="1:10" ht="14.25" x14ac:dyDescent="0.2">
      <c r="A80" s="2"/>
      <c r="B80" s="2"/>
      <c r="C80" s="2"/>
      <c r="D80" s="3"/>
      <c r="E80" s="2"/>
      <c r="F80" s="2"/>
      <c r="G80" s="4"/>
      <c r="H80" s="4"/>
      <c r="I80" s="4"/>
      <c r="J80" s="2"/>
    </row>
    <row r="81" spans="1:10" ht="14.25" x14ac:dyDescent="0.2">
      <c r="A81" s="2"/>
      <c r="B81" s="2"/>
      <c r="C81" s="2"/>
      <c r="D81" s="3"/>
      <c r="E81" s="2"/>
      <c r="F81" s="2"/>
      <c r="G81" s="4"/>
      <c r="H81" s="4"/>
      <c r="I81" s="4"/>
      <c r="J81" s="2"/>
    </row>
    <row r="82" spans="1:10" ht="14.25" x14ac:dyDescent="0.2">
      <c r="A82" s="2"/>
      <c r="B82" s="2"/>
      <c r="C82" s="2"/>
      <c r="D82" s="3"/>
      <c r="E82" s="2"/>
      <c r="F82" s="2"/>
      <c r="G82" s="4"/>
      <c r="H82" s="4"/>
      <c r="I82" s="4"/>
      <c r="J82" s="2"/>
    </row>
    <row r="83" spans="1:10" ht="14.25" x14ac:dyDescent="0.2">
      <c r="A83" s="2"/>
      <c r="B83" s="2"/>
      <c r="C83" s="2"/>
      <c r="D83" s="3"/>
      <c r="E83" s="2"/>
      <c r="F83" s="2"/>
      <c r="G83" s="4"/>
      <c r="H83" s="4"/>
      <c r="I83" s="4"/>
      <c r="J83" s="2"/>
    </row>
    <row r="84" spans="1:10" ht="14.25" x14ac:dyDescent="0.2">
      <c r="A84" s="2"/>
      <c r="B84" s="2"/>
      <c r="C84" s="2"/>
      <c r="D84" s="3"/>
      <c r="E84" s="2"/>
      <c r="F84" s="2"/>
      <c r="G84" s="4"/>
      <c r="H84" s="4"/>
      <c r="I84" s="4"/>
      <c r="J84" s="2"/>
    </row>
    <row r="85" spans="1:10" ht="14.25" x14ac:dyDescent="0.2">
      <c r="A85" s="2"/>
      <c r="B85" s="2"/>
      <c r="C85" s="2"/>
      <c r="D85" s="3"/>
      <c r="E85" s="2"/>
      <c r="F85" s="2"/>
      <c r="G85" s="4"/>
      <c r="H85" s="4"/>
      <c r="I85" s="4"/>
      <c r="J85" s="2"/>
    </row>
    <row r="86" spans="1:10" ht="14.25" x14ac:dyDescent="0.2">
      <c r="A86" s="2"/>
      <c r="B86" s="2"/>
      <c r="C86" s="2"/>
      <c r="D86" s="3"/>
      <c r="E86" s="2"/>
      <c r="F86" s="2"/>
      <c r="G86" s="4"/>
      <c r="H86" s="4"/>
      <c r="I86" s="4"/>
      <c r="J86" s="2"/>
    </row>
    <row r="87" spans="1:10" ht="14.25" x14ac:dyDescent="0.2">
      <c r="A87" s="2"/>
      <c r="B87" s="2"/>
      <c r="C87" s="2"/>
      <c r="D87" s="3"/>
      <c r="E87" s="2"/>
      <c r="F87" s="2"/>
      <c r="G87" s="4"/>
      <c r="H87" s="4"/>
      <c r="I87" s="4"/>
      <c r="J87" s="2"/>
    </row>
    <row r="88" spans="1:10" ht="14.25" x14ac:dyDescent="0.2">
      <c r="A88" s="2"/>
      <c r="B88" s="2"/>
      <c r="C88" s="2"/>
      <c r="D88" s="3"/>
      <c r="E88" s="2"/>
      <c r="F88" s="2"/>
      <c r="G88" s="4"/>
      <c r="H88" s="4"/>
      <c r="I88" s="4"/>
      <c r="J88" s="2"/>
    </row>
    <row r="89" spans="1:10" ht="14.25" x14ac:dyDescent="0.2">
      <c r="A89" s="2"/>
      <c r="B89" s="2"/>
      <c r="C89" s="2"/>
      <c r="D89" s="3"/>
      <c r="E89" s="2"/>
      <c r="F89" s="2"/>
      <c r="G89" s="4"/>
      <c r="H89" s="4"/>
      <c r="I89" s="4"/>
      <c r="J89" s="2"/>
    </row>
    <row r="90" spans="1:10" ht="14.25" x14ac:dyDescent="0.2">
      <c r="A90" s="2"/>
      <c r="B90" s="2"/>
      <c r="C90" s="2"/>
      <c r="D90" s="3"/>
      <c r="E90" s="2"/>
      <c r="F90" s="2"/>
      <c r="G90" s="4"/>
      <c r="H90" s="4"/>
      <c r="I90" s="4"/>
      <c r="J90" s="2"/>
    </row>
    <row r="91" spans="1:10" ht="14.25" x14ac:dyDescent="0.2">
      <c r="A91" s="2"/>
      <c r="B91" s="2"/>
      <c r="C91" s="2"/>
      <c r="D91" s="3"/>
      <c r="E91" s="2"/>
      <c r="F91" s="2"/>
      <c r="G91" s="4"/>
      <c r="H91" s="4"/>
      <c r="I91" s="4"/>
      <c r="J91" s="2"/>
    </row>
    <row r="92" spans="1:10" ht="14.25" x14ac:dyDescent="0.2">
      <c r="A92" s="2"/>
      <c r="B92" s="2"/>
      <c r="C92" s="2"/>
      <c r="D92" s="3"/>
      <c r="E92" s="2"/>
      <c r="F92" s="2"/>
      <c r="G92" s="4"/>
      <c r="H92" s="4"/>
      <c r="I92" s="4"/>
      <c r="J92" s="2"/>
    </row>
    <row r="93" spans="1:10" ht="14.25" x14ac:dyDescent="0.2">
      <c r="A93" s="2"/>
      <c r="B93" s="2"/>
      <c r="C93" s="2"/>
      <c r="D93" s="3"/>
      <c r="E93" s="2"/>
      <c r="F93" s="2"/>
      <c r="G93" s="4"/>
      <c r="H93" s="4"/>
      <c r="I93" s="4"/>
      <c r="J93" s="2"/>
    </row>
    <row r="94" spans="1:10" ht="14.25" x14ac:dyDescent="0.2">
      <c r="A94" s="2"/>
      <c r="B94" s="2"/>
      <c r="C94" s="2"/>
      <c r="D94" s="3"/>
      <c r="E94" s="2"/>
      <c r="F94" s="2"/>
      <c r="G94" s="4"/>
      <c r="H94" s="4"/>
      <c r="I94" s="4"/>
      <c r="J94" s="2"/>
    </row>
    <row r="95" spans="1:10" ht="14.25" x14ac:dyDescent="0.2">
      <c r="A95" s="2"/>
      <c r="B95" s="2"/>
      <c r="C95" s="2"/>
      <c r="D95" s="3"/>
      <c r="E95" s="2"/>
      <c r="F95" s="2"/>
      <c r="G95" s="4"/>
      <c r="H95" s="4"/>
      <c r="I95" s="4"/>
      <c r="J95" s="2"/>
    </row>
    <row r="96" spans="1:10" ht="14.25" x14ac:dyDescent="0.2">
      <c r="A96" s="2"/>
      <c r="B96" s="2"/>
      <c r="C96" s="2"/>
      <c r="D96" s="3"/>
      <c r="E96" s="2"/>
      <c r="F96" s="2"/>
      <c r="G96" s="4"/>
      <c r="H96" s="4"/>
      <c r="I96" s="4"/>
      <c r="J96" s="2"/>
    </row>
    <row r="97" spans="1:10" ht="14.25" x14ac:dyDescent="0.2">
      <c r="A97" s="2"/>
      <c r="B97" s="2"/>
      <c r="C97" s="2"/>
      <c r="D97" s="3"/>
      <c r="E97" s="2"/>
      <c r="F97" s="2"/>
      <c r="G97" s="4"/>
      <c r="H97" s="4"/>
      <c r="I97" s="4"/>
      <c r="J97" s="2"/>
    </row>
    <row r="98" spans="1:10" ht="14.25" x14ac:dyDescent="0.2">
      <c r="A98" s="2"/>
      <c r="B98" s="2"/>
      <c r="C98" s="2"/>
      <c r="D98" s="3"/>
      <c r="E98" s="2"/>
      <c r="F98" s="2"/>
      <c r="G98" s="4"/>
      <c r="H98" s="4"/>
      <c r="I98" s="4"/>
      <c r="J98" s="2"/>
    </row>
    <row r="99" spans="1:10" ht="14.25" x14ac:dyDescent="0.2">
      <c r="A99" s="2"/>
      <c r="B99" s="2"/>
      <c r="C99" s="2"/>
      <c r="D99" s="3"/>
      <c r="E99" s="2"/>
      <c r="F99" s="2"/>
      <c r="G99" s="4"/>
      <c r="H99" s="4"/>
      <c r="I99" s="4"/>
      <c r="J99" s="2"/>
    </row>
    <row r="100" spans="1:10" ht="14.25" x14ac:dyDescent="0.2">
      <c r="A100" s="2"/>
      <c r="B100" s="2"/>
      <c r="C100" s="2"/>
      <c r="D100" s="3"/>
      <c r="E100" s="2"/>
      <c r="F100" s="2"/>
      <c r="G100" s="4"/>
      <c r="H100" s="4"/>
      <c r="I100" s="4"/>
      <c r="J100" s="2"/>
    </row>
    <row r="101" spans="1:10" ht="14.25" x14ac:dyDescent="0.2">
      <c r="A101" s="2"/>
      <c r="B101" s="2"/>
      <c r="C101" s="2"/>
      <c r="D101" s="3"/>
      <c r="E101" s="2"/>
      <c r="F101" s="2"/>
      <c r="G101" s="4"/>
      <c r="H101" s="4"/>
      <c r="I101" s="4"/>
      <c r="J101" s="2"/>
    </row>
    <row r="102" spans="1:10" ht="14.25" x14ac:dyDescent="0.2">
      <c r="A102" s="2"/>
      <c r="B102" s="2"/>
      <c r="C102" s="2"/>
      <c r="D102" s="3"/>
      <c r="E102" s="2"/>
      <c r="F102" s="2"/>
      <c r="G102" s="4"/>
      <c r="H102" s="4"/>
      <c r="I102" s="4"/>
      <c r="J102" s="2"/>
    </row>
    <row r="103" spans="1:10" ht="14.25" x14ac:dyDescent="0.2">
      <c r="A103" s="2"/>
      <c r="B103" s="2"/>
      <c r="C103" s="2"/>
      <c r="D103" s="3"/>
      <c r="E103" s="2"/>
      <c r="F103" s="2"/>
      <c r="G103" s="4"/>
      <c r="H103" s="4"/>
      <c r="I103" s="4"/>
      <c r="J103" s="2"/>
    </row>
    <row r="104" spans="1:10" ht="14.25" x14ac:dyDescent="0.2">
      <c r="A104" s="2"/>
      <c r="B104" s="2"/>
      <c r="C104" s="2"/>
      <c r="D104" s="3"/>
      <c r="E104" s="2"/>
      <c r="F104" s="2"/>
      <c r="G104" s="4"/>
      <c r="H104" s="4"/>
      <c r="I104" s="4"/>
      <c r="J104" s="2"/>
    </row>
    <row r="105" spans="1:10" ht="14.25" x14ac:dyDescent="0.2">
      <c r="A105" s="2"/>
      <c r="B105" s="2"/>
      <c r="C105" s="2"/>
      <c r="D105" s="3"/>
      <c r="E105" s="2"/>
      <c r="F105" s="2"/>
      <c r="G105" s="4"/>
      <c r="H105" s="4"/>
      <c r="I105" s="4"/>
      <c r="J105" s="2"/>
    </row>
    <row r="106" spans="1:10" ht="14.25" x14ac:dyDescent="0.2">
      <c r="A106" s="2"/>
      <c r="B106" s="2"/>
      <c r="C106" s="2"/>
      <c r="D106" s="3"/>
      <c r="E106" s="2"/>
      <c r="F106" s="2"/>
      <c r="G106" s="4"/>
      <c r="H106" s="4"/>
      <c r="I106" s="4"/>
      <c r="J106" s="2"/>
    </row>
    <row r="107" spans="1:10" ht="14.25" x14ac:dyDescent="0.2">
      <c r="A107" s="2"/>
      <c r="B107" s="2"/>
      <c r="C107" s="2"/>
      <c r="D107" s="3"/>
      <c r="E107" s="2"/>
      <c r="F107" s="2"/>
      <c r="G107" s="4"/>
      <c r="H107" s="4"/>
      <c r="I107" s="4"/>
      <c r="J107" s="2"/>
    </row>
    <row r="108" spans="1:10" ht="14.25" x14ac:dyDescent="0.2">
      <c r="A108" s="2"/>
      <c r="B108" s="2"/>
      <c r="C108" s="2"/>
      <c r="D108" s="3"/>
      <c r="E108" s="2"/>
      <c r="F108" s="2"/>
      <c r="G108" s="4"/>
      <c r="H108" s="4"/>
      <c r="I108" s="4"/>
      <c r="J108" s="2"/>
    </row>
    <row r="109" spans="1:10" ht="14.25" x14ac:dyDescent="0.2">
      <c r="A109" s="2"/>
      <c r="B109" s="2"/>
      <c r="C109" s="2"/>
      <c r="D109" s="3"/>
      <c r="E109" s="2"/>
      <c r="F109" s="2"/>
      <c r="G109" s="4"/>
      <c r="H109" s="4"/>
      <c r="I109" s="4"/>
      <c r="J109" s="2"/>
    </row>
    <row r="110" spans="1:10" ht="14.25" x14ac:dyDescent="0.2">
      <c r="A110" s="2"/>
      <c r="B110" s="2"/>
      <c r="C110" s="2"/>
      <c r="D110" s="3"/>
      <c r="E110" s="2"/>
      <c r="F110" s="2"/>
      <c r="G110" s="4"/>
      <c r="H110" s="4"/>
      <c r="I110" s="4"/>
      <c r="J110" s="2"/>
    </row>
    <row r="111" spans="1:10" ht="14.25" x14ac:dyDescent="0.2">
      <c r="A111" s="2"/>
      <c r="B111" s="2"/>
      <c r="C111" s="2"/>
      <c r="D111" s="3"/>
      <c r="E111" s="2"/>
      <c r="F111" s="2"/>
      <c r="G111" s="4"/>
      <c r="H111" s="4"/>
      <c r="I111" s="4"/>
      <c r="J111" s="2"/>
    </row>
    <row r="112" spans="1:10" ht="14.25" x14ac:dyDescent="0.2">
      <c r="A112" s="2"/>
      <c r="B112" s="2"/>
      <c r="C112" s="2"/>
      <c r="D112" s="3"/>
      <c r="E112" s="2"/>
      <c r="F112" s="2"/>
      <c r="G112" s="4"/>
      <c r="H112" s="4"/>
      <c r="I112" s="4"/>
      <c r="J112" s="2"/>
    </row>
    <row r="113" spans="1:10" ht="14.25" x14ac:dyDescent="0.2">
      <c r="A113" s="2"/>
      <c r="B113" s="2"/>
      <c r="C113" s="2"/>
      <c r="D113" s="3"/>
      <c r="E113" s="2"/>
      <c r="F113" s="2"/>
      <c r="G113" s="4"/>
      <c r="H113" s="4"/>
      <c r="I113" s="4"/>
      <c r="J113" s="2"/>
    </row>
    <row r="114" spans="1:10" ht="14.25" x14ac:dyDescent="0.2">
      <c r="A114" s="2"/>
      <c r="B114" s="2"/>
      <c r="C114" s="2"/>
      <c r="D114" s="3"/>
      <c r="E114" s="2"/>
      <c r="F114" s="2"/>
      <c r="G114" s="4"/>
      <c r="H114" s="4"/>
      <c r="I114" s="4"/>
      <c r="J114" s="2"/>
    </row>
    <row r="115" spans="1:10" ht="14.25" x14ac:dyDescent="0.2">
      <c r="A115" s="2"/>
      <c r="B115" s="2"/>
      <c r="C115" s="2"/>
      <c r="D115" s="3"/>
      <c r="E115" s="2"/>
      <c r="F115" s="2"/>
      <c r="G115" s="4"/>
      <c r="H115" s="4"/>
      <c r="I115" s="4"/>
      <c r="J115" s="2"/>
    </row>
    <row r="116" spans="1:10" ht="14.25" x14ac:dyDescent="0.2">
      <c r="A116" s="2"/>
      <c r="B116" s="2"/>
      <c r="C116" s="2"/>
      <c r="D116" s="3"/>
      <c r="E116" s="2"/>
      <c r="F116" s="2"/>
      <c r="G116" s="4"/>
      <c r="H116" s="4"/>
      <c r="I116" s="4"/>
      <c r="J116" s="2"/>
    </row>
    <row r="117" spans="1:10" ht="14.25" x14ac:dyDescent="0.2">
      <c r="A117" s="2"/>
      <c r="B117" s="2"/>
      <c r="C117" s="2"/>
      <c r="D117" s="3"/>
      <c r="E117" s="2"/>
      <c r="F117" s="2"/>
      <c r="G117" s="4"/>
      <c r="H117" s="4"/>
      <c r="I117" s="4"/>
      <c r="J117" s="2"/>
    </row>
    <row r="118" spans="1:10" ht="14.25" x14ac:dyDescent="0.2">
      <c r="A118" s="2"/>
      <c r="B118" s="2"/>
      <c r="C118" s="2"/>
      <c r="D118" s="3"/>
      <c r="E118" s="2"/>
      <c r="F118" s="2"/>
      <c r="G118" s="4"/>
      <c r="H118" s="4"/>
      <c r="I118" s="4"/>
      <c r="J118" s="2"/>
    </row>
    <row r="119" spans="1:10" ht="14.25" x14ac:dyDescent="0.2">
      <c r="A119" s="2"/>
      <c r="B119" s="2"/>
      <c r="C119" s="2"/>
      <c r="D119" s="3"/>
      <c r="E119" s="2"/>
      <c r="F119" s="2"/>
      <c r="G119" s="4"/>
      <c r="H119" s="4"/>
      <c r="I119" s="4"/>
      <c r="J119" s="2"/>
    </row>
    <row r="120" spans="1:10" ht="14.25" x14ac:dyDescent="0.2">
      <c r="A120" s="2"/>
      <c r="B120" s="2"/>
      <c r="C120" s="2"/>
      <c r="D120" s="3"/>
      <c r="E120" s="2"/>
      <c r="F120" s="2"/>
      <c r="G120" s="4"/>
      <c r="H120" s="4"/>
      <c r="I120" s="4"/>
      <c r="J120" s="2"/>
    </row>
    <row r="121" spans="1:10" ht="14.25" x14ac:dyDescent="0.2">
      <c r="A121" s="2"/>
      <c r="B121" s="2"/>
      <c r="C121" s="2"/>
      <c r="D121" s="3"/>
      <c r="E121" s="2"/>
      <c r="F121" s="2"/>
      <c r="G121" s="4"/>
      <c r="H121" s="4"/>
      <c r="I121" s="4"/>
      <c r="J121" s="2"/>
    </row>
    <row r="122" spans="1:10" ht="14.25" x14ac:dyDescent="0.2">
      <c r="A122" s="2"/>
      <c r="B122" s="2"/>
      <c r="C122" s="2"/>
      <c r="D122" s="3"/>
      <c r="E122" s="2"/>
      <c r="F122" s="2"/>
      <c r="G122" s="4"/>
      <c r="H122" s="4"/>
      <c r="I122" s="4"/>
      <c r="J122" s="2"/>
    </row>
    <row r="123" spans="1:10" ht="14.25" x14ac:dyDescent="0.2">
      <c r="A123" s="2"/>
      <c r="B123" s="2"/>
      <c r="C123" s="2"/>
      <c r="D123" s="3"/>
      <c r="E123" s="2"/>
      <c r="F123" s="2"/>
      <c r="G123" s="4"/>
      <c r="H123" s="4"/>
      <c r="I123" s="4"/>
      <c r="J123" s="2"/>
    </row>
    <row r="124" spans="1:10" ht="14.25" x14ac:dyDescent="0.2">
      <c r="A124" s="2"/>
      <c r="B124" s="2"/>
      <c r="C124" s="2"/>
      <c r="D124" s="3"/>
      <c r="E124" s="2"/>
      <c r="F124" s="2"/>
      <c r="G124" s="4"/>
      <c r="H124" s="4"/>
      <c r="I124" s="4"/>
      <c r="J124" s="2"/>
    </row>
    <row r="125" spans="1:10" ht="14.25" x14ac:dyDescent="0.2">
      <c r="A125" s="2"/>
      <c r="B125" s="2"/>
      <c r="C125" s="2"/>
      <c r="D125" s="3"/>
      <c r="E125" s="2"/>
      <c r="F125" s="2"/>
      <c r="G125" s="4"/>
      <c r="H125" s="4"/>
      <c r="I125" s="4"/>
      <c r="J125" s="2"/>
    </row>
    <row r="126" spans="1:10" ht="14.25" x14ac:dyDescent="0.2">
      <c r="A126" s="2"/>
      <c r="B126" s="2"/>
      <c r="C126" s="2"/>
      <c r="D126" s="3"/>
      <c r="E126" s="2"/>
      <c r="F126" s="2"/>
      <c r="G126" s="4"/>
      <c r="H126" s="4"/>
      <c r="I126" s="4"/>
      <c r="J126" s="2"/>
    </row>
    <row r="127" spans="1:10" ht="14.25" x14ac:dyDescent="0.2">
      <c r="A127" s="2"/>
      <c r="B127" s="2"/>
      <c r="C127" s="2"/>
      <c r="D127" s="3"/>
      <c r="E127" s="2"/>
      <c r="F127" s="2"/>
      <c r="G127" s="4"/>
      <c r="H127" s="4"/>
      <c r="I127" s="4"/>
      <c r="J127" s="2"/>
    </row>
    <row r="128" spans="1:10" ht="14.25" x14ac:dyDescent="0.2">
      <c r="A128" s="2"/>
      <c r="B128" s="2"/>
      <c r="C128" s="2"/>
      <c r="D128" s="3"/>
      <c r="E128" s="2"/>
      <c r="F128" s="2"/>
      <c r="G128" s="4"/>
      <c r="H128" s="4"/>
      <c r="I128" s="4"/>
      <c r="J128" s="2"/>
    </row>
    <row r="129" spans="1:10" ht="14.25" x14ac:dyDescent="0.2">
      <c r="A129" s="2"/>
      <c r="B129" s="2"/>
      <c r="C129" s="2"/>
      <c r="D129" s="3"/>
      <c r="E129" s="2"/>
      <c r="F129" s="2"/>
      <c r="G129" s="4"/>
      <c r="H129" s="4"/>
      <c r="I129" s="4"/>
      <c r="J129" s="2"/>
    </row>
    <row r="130" spans="1:10" ht="14.25" x14ac:dyDescent="0.2">
      <c r="A130" s="2"/>
      <c r="B130" s="2"/>
      <c r="C130" s="2"/>
      <c r="D130" s="3"/>
      <c r="E130" s="2"/>
      <c r="F130" s="2"/>
      <c r="G130" s="4"/>
      <c r="H130" s="4"/>
      <c r="I130" s="4"/>
      <c r="J130" s="2"/>
    </row>
    <row r="131" spans="1:10" ht="14.25" x14ac:dyDescent="0.2">
      <c r="A131" s="2"/>
      <c r="B131" s="2"/>
      <c r="C131" s="2"/>
      <c r="D131" s="3"/>
      <c r="E131" s="2"/>
      <c r="F131" s="2"/>
      <c r="G131" s="4"/>
      <c r="H131" s="4"/>
      <c r="I131" s="4"/>
      <c r="J131" s="2"/>
    </row>
    <row r="132" spans="1:10" ht="14.25" x14ac:dyDescent="0.2">
      <c r="A132" s="2"/>
      <c r="B132" s="2"/>
      <c r="C132" s="2"/>
      <c r="D132" s="3"/>
      <c r="E132" s="2"/>
      <c r="F132" s="2"/>
      <c r="G132" s="4"/>
      <c r="H132" s="4"/>
      <c r="I132" s="4"/>
      <c r="J132" s="2"/>
    </row>
    <row r="133" spans="1:10" ht="14.25" x14ac:dyDescent="0.2">
      <c r="A133" s="2"/>
      <c r="B133" s="2"/>
      <c r="C133" s="2"/>
      <c r="D133" s="3"/>
      <c r="E133" s="2"/>
      <c r="F133" s="2"/>
      <c r="G133" s="4"/>
      <c r="H133" s="4"/>
      <c r="I133" s="4"/>
      <c r="J133" s="2"/>
    </row>
    <row r="134" spans="1:10" ht="14.25" x14ac:dyDescent="0.2">
      <c r="A134" s="2"/>
      <c r="B134" s="2"/>
      <c r="C134" s="2"/>
      <c r="D134" s="3"/>
      <c r="E134" s="2"/>
      <c r="F134" s="2"/>
      <c r="G134" s="4"/>
      <c r="H134" s="4"/>
      <c r="I134" s="4"/>
      <c r="J134" s="2"/>
    </row>
    <row r="135" spans="1:10" ht="14.25" x14ac:dyDescent="0.2">
      <c r="A135" s="2"/>
      <c r="B135" s="2"/>
      <c r="C135" s="2"/>
      <c r="D135" s="3"/>
      <c r="E135" s="2"/>
      <c r="F135" s="2"/>
      <c r="G135" s="4"/>
      <c r="H135" s="4"/>
      <c r="I135" s="4"/>
      <c r="J135" s="2"/>
    </row>
    <row r="136" spans="1:10" ht="14.25" x14ac:dyDescent="0.2">
      <c r="A136" s="2"/>
      <c r="B136" s="2"/>
      <c r="C136" s="2"/>
      <c r="D136" s="3"/>
      <c r="E136" s="2"/>
      <c r="F136" s="2"/>
      <c r="G136" s="4"/>
      <c r="H136" s="4"/>
      <c r="I136" s="4"/>
      <c r="J136" s="2"/>
    </row>
    <row r="137" spans="1:10" ht="14.25" x14ac:dyDescent="0.2">
      <c r="A137" s="2"/>
      <c r="B137" s="2"/>
      <c r="C137" s="2"/>
      <c r="D137" s="3"/>
      <c r="E137" s="2"/>
      <c r="F137" s="2"/>
      <c r="G137" s="4"/>
      <c r="H137" s="4"/>
      <c r="I137" s="4"/>
      <c r="J137" s="2"/>
    </row>
    <row r="138" spans="1:10" ht="14.25" x14ac:dyDescent="0.2">
      <c r="A138" s="2"/>
      <c r="B138" s="2"/>
      <c r="C138" s="2"/>
      <c r="D138" s="3"/>
      <c r="E138" s="2"/>
      <c r="F138" s="2"/>
      <c r="G138" s="4"/>
      <c r="H138" s="4"/>
      <c r="I138" s="4"/>
      <c r="J138" s="2"/>
    </row>
    <row r="139" spans="1:10" ht="14.25" x14ac:dyDescent="0.2">
      <c r="A139" s="2"/>
      <c r="B139" s="2"/>
      <c r="C139" s="2"/>
      <c r="D139" s="3"/>
      <c r="E139" s="2"/>
      <c r="F139" s="2"/>
      <c r="G139" s="4"/>
      <c r="H139" s="4"/>
      <c r="I139" s="4"/>
      <c r="J139" s="2"/>
    </row>
    <row r="140" spans="1:10" ht="14.25" x14ac:dyDescent="0.2">
      <c r="A140" s="2"/>
      <c r="B140" s="2"/>
      <c r="C140" s="2"/>
      <c r="D140" s="3"/>
      <c r="E140" s="2"/>
      <c r="F140" s="2"/>
      <c r="G140" s="4"/>
      <c r="H140" s="4"/>
      <c r="I140" s="4"/>
      <c r="J140" s="2"/>
    </row>
    <row r="141" spans="1:10" ht="14.25" x14ac:dyDescent="0.2">
      <c r="A141" s="2"/>
      <c r="B141" s="2"/>
      <c r="C141" s="2"/>
      <c r="D141" s="3"/>
      <c r="E141" s="2"/>
      <c r="F141" s="2"/>
      <c r="G141" s="4"/>
      <c r="H141" s="4"/>
      <c r="I141" s="4"/>
      <c r="J141" s="2"/>
    </row>
    <row r="142" spans="1:10" ht="14.25" x14ac:dyDescent="0.2">
      <c r="A142" s="2"/>
      <c r="B142" s="2"/>
      <c r="C142" s="2"/>
      <c r="D142" s="3"/>
      <c r="E142" s="2"/>
      <c r="F142" s="2"/>
      <c r="G142" s="4"/>
      <c r="H142" s="4"/>
      <c r="I142" s="4"/>
      <c r="J142" s="2"/>
    </row>
    <row r="143" spans="1:10" ht="14.25" x14ac:dyDescent="0.2">
      <c r="A143" s="2"/>
      <c r="B143" s="2"/>
      <c r="C143" s="2"/>
      <c r="D143" s="3"/>
      <c r="E143" s="2"/>
      <c r="F143" s="2"/>
      <c r="G143" s="4"/>
      <c r="H143" s="4"/>
      <c r="I143" s="4"/>
      <c r="J143" s="2"/>
    </row>
    <row r="144" spans="1:10" ht="14.25" x14ac:dyDescent="0.2">
      <c r="A144" s="2"/>
      <c r="B144" s="2"/>
      <c r="C144" s="2"/>
      <c r="D144" s="3"/>
      <c r="E144" s="2"/>
      <c r="F144" s="2"/>
      <c r="G144" s="4"/>
      <c r="H144" s="4"/>
      <c r="I144" s="4"/>
      <c r="J144" s="2"/>
    </row>
    <row r="145" spans="1:10" ht="14.25" x14ac:dyDescent="0.2">
      <c r="A145" s="2"/>
      <c r="B145" s="2"/>
      <c r="C145" s="2"/>
      <c r="D145" s="3"/>
      <c r="E145" s="2"/>
      <c r="F145" s="2"/>
      <c r="G145" s="4"/>
      <c r="H145" s="4"/>
      <c r="I145" s="4"/>
      <c r="J145" s="2"/>
    </row>
    <row r="146" spans="1:10" ht="14.25" x14ac:dyDescent="0.2">
      <c r="A146" s="2"/>
      <c r="B146" s="2"/>
      <c r="C146" s="2"/>
      <c r="D146" s="3"/>
      <c r="E146" s="2"/>
      <c r="F146" s="2"/>
      <c r="G146" s="4"/>
      <c r="H146" s="4"/>
      <c r="I146" s="4"/>
      <c r="J146" s="2"/>
    </row>
    <row r="147" spans="1:10" ht="14.25" x14ac:dyDescent="0.2">
      <c r="A147" s="2"/>
      <c r="B147" s="2"/>
      <c r="C147" s="2"/>
      <c r="D147" s="3"/>
      <c r="E147" s="2"/>
      <c r="F147" s="2"/>
      <c r="G147" s="4"/>
      <c r="H147" s="4"/>
      <c r="I147" s="4"/>
      <c r="J147" s="2"/>
    </row>
    <row r="148" spans="1:10" ht="14.25" x14ac:dyDescent="0.2">
      <c r="A148" s="2"/>
      <c r="B148" s="2"/>
      <c r="C148" s="2"/>
      <c r="D148" s="3"/>
      <c r="E148" s="2"/>
      <c r="F148" s="2"/>
      <c r="G148" s="4"/>
      <c r="H148" s="4"/>
      <c r="I148" s="4"/>
      <c r="J148" s="2"/>
    </row>
    <row r="149" spans="1:10" ht="14.25" x14ac:dyDescent="0.2">
      <c r="A149" s="2"/>
      <c r="B149" s="2"/>
      <c r="C149" s="2"/>
      <c r="D149" s="3"/>
      <c r="E149" s="2"/>
      <c r="F149" s="2"/>
      <c r="G149" s="4"/>
      <c r="H149" s="4"/>
      <c r="I149" s="4"/>
      <c r="J149" s="2"/>
    </row>
    <row r="150" spans="1:10" ht="14.25" x14ac:dyDescent="0.2">
      <c r="A150" s="2"/>
      <c r="B150" s="2"/>
      <c r="C150" s="2"/>
      <c r="D150" s="3"/>
      <c r="E150" s="2"/>
      <c r="F150" s="2"/>
      <c r="G150" s="4"/>
      <c r="H150" s="4"/>
      <c r="I150" s="4"/>
      <c r="J150" s="2"/>
    </row>
    <row r="151" spans="1:10" ht="14.25" x14ac:dyDescent="0.2">
      <c r="A151" s="2"/>
      <c r="B151" s="2"/>
      <c r="C151" s="2"/>
      <c r="D151" s="3"/>
      <c r="E151" s="2"/>
      <c r="F151" s="2"/>
      <c r="G151" s="4"/>
      <c r="H151" s="4"/>
      <c r="I151" s="4"/>
      <c r="J151" s="2"/>
    </row>
    <row r="152" spans="1:10" ht="14.25" x14ac:dyDescent="0.2">
      <c r="A152" s="2"/>
      <c r="B152" s="2"/>
      <c r="C152" s="2"/>
      <c r="D152" s="3"/>
      <c r="E152" s="2"/>
      <c r="F152" s="2"/>
      <c r="G152" s="4"/>
      <c r="H152" s="4"/>
      <c r="I152" s="4"/>
      <c r="J152" s="2"/>
    </row>
    <row r="153" spans="1:10" ht="14.25" x14ac:dyDescent="0.2">
      <c r="A153" s="2"/>
      <c r="B153" s="2"/>
      <c r="C153" s="2"/>
      <c r="D153" s="3"/>
      <c r="E153" s="2"/>
      <c r="F153" s="2"/>
      <c r="G153" s="4"/>
      <c r="H153" s="4"/>
      <c r="I153" s="4"/>
      <c r="J153" s="2"/>
    </row>
    <row r="154" spans="1:10" ht="14.25" x14ac:dyDescent="0.2">
      <c r="A154" s="2"/>
      <c r="B154" s="2"/>
      <c r="C154" s="2"/>
      <c r="D154" s="3"/>
      <c r="E154" s="2"/>
      <c r="F154" s="2"/>
      <c r="G154" s="4"/>
      <c r="H154" s="4"/>
      <c r="I154" s="4"/>
      <c r="J154" s="2"/>
    </row>
    <row r="155" spans="1:10" ht="14.25" x14ac:dyDescent="0.2">
      <c r="A155" s="2"/>
      <c r="B155" s="2"/>
      <c r="C155" s="2"/>
      <c r="D155" s="3"/>
      <c r="E155" s="2"/>
      <c r="F155" s="2"/>
      <c r="G155" s="4"/>
      <c r="H155" s="4"/>
      <c r="I155" s="4"/>
      <c r="J155" s="2"/>
    </row>
    <row r="156" spans="1:10" ht="14.25" x14ac:dyDescent="0.2">
      <c r="A156" s="2"/>
      <c r="B156" s="2"/>
      <c r="C156" s="2"/>
      <c r="D156" s="3"/>
      <c r="E156" s="2"/>
      <c r="F156" s="2"/>
      <c r="G156" s="4"/>
      <c r="H156" s="4"/>
      <c r="I156" s="4"/>
      <c r="J156" s="2"/>
    </row>
    <row r="157" spans="1:10" ht="14.25" x14ac:dyDescent="0.2">
      <c r="A157" s="2"/>
      <c r="B157" s="2"/>
      <c r="C157" s="2"/>
      <c r="D157" s="3"/>
      <c r="E157" s="2"/>
      <c r="F157" s="2"/>
      <c r="G157" s="4"/>
      <c r="H157" s="4"/>
      <c r="I157" s="4"/>
      <c r="J157" s="2"/>
    </row>
    <row r="158" spans="1:10" ht="14.25" x14ac:dyDescent="0.2">
      <c r="A158" s="2"/>
      <c r="B158" s="2"/>
      <c r="C158" s="2"/>
      <c r="D158" s="3"/>
      <c r="E158" s="2"/>
      <c r="F158" s="2"/>
      <c r="G158" s="4"/>
      <c r="H158" s="4"/>
      <c r="I158" s="4"/>
      <c r="J158" s="2"/>
    </row>
    <row r="159" spans="1:10" ht="14.25" x14ac:dyDescent="0.2">
      <c r="A159" s="2"/>
      <c r="B159" s="2"/>
      <c r="C159" s="2"/>
      <c r="D159" s="3"/>
      <c r="E159" s="2"/>
      <c r="F159" s="2"/>
      <c r="G159" s="4"/>
      <c r="H159" s="4"/>
      <c r="I159" s="4"/>
      <c r="J159" s="2"/>
    </row>
    <row r="160" spans="1:10" ht="14.25" x14ac:dyDescent="0.2">
      <c r="A160" s="2"/>
      <c r="B160" s="2"/>
      <c r="C160" s="2"/>
      <c r="D160" s="3"/>
      <c r="E160" s="2"/>
      <c r="F160" s="2"/>
      <c r="G160" s="4"/>
      <c r="H160" s="4"/>
      <c r="I160" s="4"/>
      <c r="J160" s="2"/>
    </row>
    <row r="161" spans="1:10" ht="14.25" x14ac:dyDescent="0.2">
      <c r="A161" s="2"/>
      <c r="B161" s="2"/>
      <c r="C161" s="2"/>
      <c r="D161" s="3"/>
      <c r="E161" s="2"/>
      <c r="F161" s="2"/>
      <c r="G161" s="4"/>
      <c r="H161" s="4"/>
      <c r="I161" s="4"/>
      <c r="J161" s="2"/>
    </row>
    <row r="162" spans="1:10" ht="14.25" x14ac:dyDescent="0.2">
      <c r="A162" s="2"/>
      <c r="B162" s="2"/>
      <c r="C162" s="2"/>
      <c r="D162" s="3"/>
      <c r="E162" s="2"/>
      <c r="F162" s="2"/>
      <c r="G162" s="4"/>
      <c r="H162" s="4"/>
      <c r="I162" s="4"/>
      <c r="J162" s="2"/>
    </row>
    <row r="163" spans="1:10" ht="14.25" x14ac:dyDescent="0.2">
      <c r="A163" s="2"/>
      <c r="B163" s="2"/>
      <c r="C163" s="2"/>
      <c r="D163" s="3"/>
      <c r="E163" s="2"/>
      <c r="F163" s="2"/>
      <c r="G163" s="4"/>
      <c r="H163" s="4"/>
      <c r="I163" s="4"/>
      <c r="J163" s="2"/>
    </row>
    <row r="164" spans="1:10" ht="14.25" x14ac:dyDescent="0.2">
      <c r="A164" s="2"/>
      <c r="B164" s="2"/>
      <c r="C164" s="2"/>
      <c r="D164" s="3"/>
      <c r="E164" s="2"/>
      <c r="F164" s="2"/>
      <c r="G164" s="4"/>
      <c r="H164" s="4"/>
      <c r="I164" s="4"/>
      <c r="J164" s="2"/>
    </row>
    <row r="165" spans="1:10" ht="14.25" x14ac:dyDescent="0.2">
      <c r="A165" s="2"/>
      <c r="B165" s="2"/>
      <c r="C165" s="2"/>
      <c r="D165" s="3"/>
      <c r="E165" s="2"/>
      <c r="F165" s="2"/>
      <c r="G165" s="4"/>
      <c r="H165" s="4"/>
      <c r="I165" s="4"/>
      <c r="J165" s="2"/>
    </row>
    <row r="166" spans="1:10" ht="14.25" x14ac:dyDescent="0.2">
      <c r="A166" s="2"/>
      <c r="B166" s="2"/>
      <c r="C166" s="2"/>
      <c r="D166" s="3"/>
      <c r="E166" s="2"/>
      <c r="F166" s="2"/>
      <c r="G166" s="4"/>
      <c r="H166" s="4"/>
      <c r="I166" s="4"/>
      <c r="J166" s="2"/>
    </row>
    <row r="167" spans="1:10" ht="14.25" x14ac:dyDescent="0.2">
      <c r="A167" s="2"/>
      <c r="B167" s="2"/>
      <c r="C167" s="2"/>
      <c r="D167" s="3"/>
      <c r="E167" s="2"/>
      <c r="F167" s="2"/>
      <c r="G167" s="4"/>
      <c r="H167" s="4"/>
      <c r="I167" s="4"/>
      <c r="J167" s="2"/>
    </row>
    <row r="168" spans="1:10" ht="14.25" x14ac:dyDescent="0.2">
      <c r="A168" s="2"/>
      <c r="B168" s="2"/>
      <c r="C168" s="2"/>
      <c r="D168" s="3"/>
      <c r="E168" s="2"/>
      <c r="F168" s="2"/>
      <c r="G168" s="4"/>
      <c r="H168" s="4"/>
      <c r="I168" s="4"/>
      <c r="J168" s="2"/>
    </row>
    <row r="169" spans="1:10" ht="14.25" x14ac:dyDescent="0.2">
      <c r="A169" s="2"/>
      <c r="B169" s="2"/>
      <c r="C169" s="2"/>
      <c r="D169" s="3"/>
      <c r="E169" s="2"/>
      <c r="F169" s="2"/>
      <c r="G169" s="4"/>
      <c r="H169" s="4"/>
      <c r="I169" s="4"/>
      <c r="J169" s="2"/>
    </row>
    <row r="170" spans="1:10" ht="14.25" x14ac:dyDescent="0.2">
      <c r="A170" s="2"/>
      <c r="B170" s="2"/>
      <c r="C170" s="2"/>
      <c r="D170" s="3"/>
      <c r="E170" s="2"/>
      <c r="F170" s="2"/>
      <c r="G170" s="4"/>
      <c r="H170" s="4"/>
      <c r="I170" s="4"/>
      <c r="J170" s="2"/>
    </row>
    <row r="171" spans="1:10" ht="14.25" x14ac:dyDescent="0.2">
      <c r="A171" s="2"/>
      <c r="B171" s="2"/>
      <c r="C171" s="2"/>
      <c r="D171" s="3"/>
      <c r="E171" s="2"/>
      <c r="F171" s="2"/>
      <c r="G171" s="4"/>
      <c r="H171" s="4"/>
      <c r="I171" s="4"/>
      <c r="J171" s="2"/>
    </row>
    <row r="172" spans="1:10" ht="14.25" x14ac:dyDescent="0.2">
      <c r="A172" s="2"/>
      <c r="B172" s="2"/>
      <c r="C172" s="2"/>
      <c r="D172" s="3"/>
      <c r="E172" s="2"/>
      <c r="F172" s="2"/>
      <c r="G172" s="4"/>
      <c r="H172" s="4"/>
      <c r="I172" s="4"/>
      <c r="J172" s="2"/>
    </row>
    <row r="173" spans="1:10" ht="14.25" x14ac:dyDescent="0.2">
      <c r="A173" s="2"/>
      <c r="B173" s="2"/>
      <c r="C173" s="2"/>
      <c r="D173" s="3"/>
      <c r="E173" s="2"/>
      <c r="F173" s="2"/>
      <c r="G173" s="4"/>
      <c r="H173" s="4"/>
      <c r="I173" s="4"/>
      <c r="J173" s="2"/>
    </row>
    <row r="174" spans="1:10" ht="14.25" x14ac:dyDescent="0.2">
      <c r="A174" s="2"/>
      <c r="B174" s="2"/>
      <c r="C174" s="2"/>
      <c r="D174" s="3"/>
      <c r="E174" s="2"/>
      <c r="F174" s="2"/>
      <c r="G174" s="4"/>
      <c r="H174" s="4"/>
      <c r="I174" s="4"/>
      <c r="J174" s="2"/>
    </row>
    <row r="175" spans="1:10" ht="14.25" x14ac:dyDescent="0.2">
      <c r="A175" s="2"/>
      <c r="B175" s="2"/>
      <c r="C175" s="2"/>
      <c r="D175" s="3"/>
      <c r="E175" s="2"/>
      <c r="F175" s="2"/>
      <c r="G175" s="4"/>
      <c r="H175" s="4"/>
      <c r="I175" s="4"/>
      <c r="J175" s="2"/>
    </row>
    <row r="176" spans="1:10" ht="14.25" x14ac:dyDescent="0.2">
      <c r="A176" s="2"/>
      <c r="B176" s="2"/>
      <c r="C176" s="2"/>
      <c r="D176" s="3"/>
      <c r="E176" s="2"/>
      <c r="F176" s="2"/>
      <c r="G176" s="4"/>
      <c r="H176" s="4"/>
      <c r="I176" s="4"/>
      <c r="J176" s="2"/>
    </row>
    <row r="177" spans="1:10" ht="14.25" x14ac:dyDescent="0.2">
      <c r="A177" s="2"/>
      <c r="B177" s="2"/>
      <c r="C177" s="2"/>
      <c r="D177" s="3"/>
      <c r="E177" s="2"/>
      <c r="F177" s="2"/>
      <c r="G177" s="4"/>
      <c r="H177" s="4"/>
      <c r="I177" s="4"/>
      <c r="J177" s="2"/>
    </row>
    <row r="178" spans="1:10" ht="14.25" x14ac:dyDescent="0.2">
      <c r="A178" s="2"/>
      <c r="B178" s="2"/>
      <c r="C178" s="2"/>
      <c r="D178" s="3"/>
      <c r="E178" s="2"/>
      <c r="F178" s="2"/>
      <c r="G178" s="4"/>
      <c r="H178" s="4"/>
      <c r="I178" s="4"/>
      <c r="J178" s="2"/>
    </row>
    <row r="179" spans="1:10" ht="14.25" x14ac:dyDescent="0.2">
      <c r="A179" s="2"/>
      <c r="B179" s="2"/>
      <c r="C179" s="2"/>
      <c r="D179" s="3"/>
      <c r="E179" s="2"/>
      <c r="F179" s="2"/>
      <c r="G179" s="4"/>
      <c r="H179" s="4"/>
      <c r="I179" s="4"/>
      <c r="J179" s="2"/>
    </row>
    <row r="180" spans="1:10" ht="14.25" x14ac:dyDescent="0.2">
      <c r="A180" s="2"/>
      <c r="B180" s="2"/>
      <c r="C180" s="2"/>
      <c r="D180" s="3"/>
      <c r="E180" s="2"/>
      <c r="F180" s="2"/>
      <c r="G180" s="4"/>
      <c r="H180" s="4"/>
      <c r="I180" s="4"/>
      <c r="J180" s="2"/>
    </row>
    <row r="181" spans="1:10" ht="14.25" x14ac:dyDescent="0.2">
      <c r="A181" s="2"/>
      <c r="B181" s="2"/>
      <c r="C181" s="2"/>
      <c r="D181" s="3"/>
      <c r="E181" s="2"/>
      <c r="F181" s="2"/>
      <c r="G181" s="4"/>
      <c r="H181" s="4"/>
      <c r="I181" s="4"/>
      <c r="J181" s="2"/>
    </row>
    <row r="182" spans="1:10" ht="14.25" x14ac:dyDescent="0.2">
      <c r="A182" s="2"/>
      <c r="B182" s="2"/>
      <c r="C182" s="2"/>
      <c r="D182" s="3"/>
      <c r="E182" s="2"/>
      <c r="F182" s="2"/>
      <c r="G182" s="4"/>
      <c r="H182" s="4"/>
      <c r="I182" s="4"/>
      <c r="J182" s="2"/>
    </row>
    <row r="183" spans="1:10" ht="14.25" x14ac:dyDescent="0.2">
      <c r="A183" s="2"/>
      <c r="B183" s="2"/>
      <c r="C183" s="2"/>
      <c r="D183" s="3"/>
      <c r="E183" s="2"/>
      <c r="F183" s="2"/>
      <c r="G183" s="4"/>
      <c r="H183" s="4"/>
      <c r="I183" s="4"/>
      <c r="J183" s="2"/>
    </row>
    <row r="184" spans="1:10" ht="14.25" x14ac:dyDescent="0.2">
      <c r="A184" s="2"/>
      <c r="B184" s="2"/>
      <c r="C184" s="2"/>
      <c r="D184" s="3"/>
      <c r="E184" s="2"/>
      <c r="F184" s="2"/>
      <c r="G184" s="4"/>
      <c r="H184" s="4"/>
      <c r="I184" s="4"/>
      <c r="J184" s="2"/>
    </row>
    <row r="185" spans="1:10" ht="14.25" x14ac:dyDescent="0.2">
      <c r="A185" s="2"/>
      <c r="B185" s="2"/>
      <c r="C185" s="2"/>
      <c r="D185" s="3"/>
      <c r="E185" s="2"/>
      <c r="F185" s="2"/>
      <c r="G185" s="4"/>
      <c r="H185" s="4"/>
      <c r="I185" s="4"/>
      <c r="J185" s="2"/>
    </row>
    <row r="186" spans="1:10" ht="14.25" x14ac:dyDescent="0.2">
      <c r="A186" s="2"/>
      <c r="B186" s="2"/>
      <c r="C186" s="2"/>
      <c r="D186" s="3"/>
      <c r="E186" s="2"/>
      <c r="F186" s="2"/>
      <c r="G186" s="4"/>
      <c r="H186" s="4"/>
      <c r="I186" s="4"/>
      <c r="J186" s="2"/>
    </row>
    <row r="187" spans="1:10" ht="14.25" x14ac:dyDescent="0.2">
      <c r="A187" s="2"/>
      <c r="B187" s="2"/>
      <c r="C187" s="2"/>
      <c r="D187" s="3"/>
      <c r="E187" s="2"/>
      <c r="F187" s="2"/>
      <c r="G187" s="4"/>
      <c r="H187" s="4"/>
      <c r="I187" s="4"/>
      <c r="J187" s="2"/>
    </row>
    <row r="188" spans="1:10" ht="14.25" x14ac:dyDescent="0.2">
      <c r="A188" s="2"/>
      <c r="B188" s="2"/>
      <c r="C188" s="2"/>
      <c r="D188" s="3"/>
      <c r="E188" s="2"/>
      <c r="F188" s="2"/>
      <c r="G188" s="4"/>
      <c r="H188" s="4"/>
      <c r="I188" s="4"/>
      <c r="J188" s="2"/>
    </row>
    <row r="189" spans="1:10" ht="14.25" x14ac:dyDescent="0.2">
      <c r="A189" s="2"/>
      <c r="B189" s="2"/>
      <c r="C189" s="2"/>
      <c r="D189" s="3"/>
      <c r="E189" s="2"/>
      <c r="F189" s="2"/>
      <c r="G189" s="4"/>
      <c r="H189" s="4"/>
      <c r="I189" s="4"/>
      <c r="J189" s="2"/>
    </row>
    <row r="190" spans="1:10" ht="14.25" x14ac:dyDescent="0.2">
      <c r="A190" s="2"/>
      <c r="B190" s="2"/>
      <c r="C190" s="2"/>
      <c r="D190" s="3"/>
      <c r="E190" s="2"/>
      <c r="F190" s="2"/>
      <c r="G190" s="4"/>
      <c r="H190" s="4"/>
      <c r="I190" s="4"/>
      <c r="J190" s="2"/>
    </row>
    <row r="191" spans="1:10" ht="14.25" x14ac:dyDescent="0.2">
      <c r="A191" s="2"/>
      <c r="B191" s="2"/>
      <c r="C191" s="2"/>
      <c r="D191" s="3"/>
      <c r="E191" s="2"/>
      <c r="F191" s="2"/>
      <c r="G191" s="4"/>
      <c r="H191" s="4"/>
      <c r="I191" s="4"/>
      <c r="J191" s="2"/>
    </row>
    <row r="192" spans="1:10" ht="14.25" x14ac:dyDescent="0.2">
      <c r="A192" s="2"/>
      <c r="B192" s="2"/>
      <c r="C192" s="2"/>
      <c r="D192" s="3"/>
      <c r="E192" s="2"/>
      <c r="F192" s="2"/>
      <c r="G192" s="4"/>
      <c r="H192" s="4"/>
      <c r="I192" s="4"/>
      <c r="J192" s="2"/>
    </row>
    <row r="193" spans="1:10" ht="14.25" x14ac:dyDescent="0.2">
      <c r="A193" s="2"/>
      <c r="B193" s="2"/>
      <c r="C193" s="2"/>
      <c r="D193" s="3"/>
      <c r="E193" s="2"/>
      <c r="F193" s="2"/>
      <c r="G193" s="4"/>
      <c r="H193" s="4"/>
      <c r="I193" s="4"/>
      <c r="J193" s="2"/>
    </row>
    <row r="194" spans="1:10" ht="14.25" x14ac:dyDescent="0.2">
      <c r="A194" s="2"/>
      <c r="B194" s="2"/>
      <c r="C194" s="2"/>
      <c r="D194" s="3"/>
      <c r="E194" s="2"/>
      <c r="F194" s="2"/>
      <c r="G194" s="4"/>
      <c r="H194" s="4"/>
      <c r="I194" s="4"/>
      <c r="J194" s="2"/>
    </row>
    <row r="195" spans="1:10" ht="14.25" x14ac:dyDescent="0.2">
      <c r="A195" s="2"/>
      <c r="B195" s="2"/>
      <c r="C195" s="2"/>
      <c r="D195" s="3"/>
      <c r="E195" s="2"/>
      <c r="F195" s="2"/>
      <c r="G195" s="4"/>
      <c r="H195" s="4"/>
      <c r="I195" s="4"/>
      <c r="J195" s="2"/>
    </row>
    <row r="196" spans="1:10" ht="14.25" x14ac:dyDescent="0.2">
      <c r="A196" s="2"/>
      <c r="B196" s="2"/>
      <c r="C196" s="2"/>
      <c r="D196" s="3"/>
      <c r="E196" s="2"/>
      <c r="F196" s="2"/>
      <c r="G196" s="4"/>
      <c r="H196" s="4"/>
      <c r="I196" s="4"/>
      <c r="J196" s="2"/>
    </row>
    <row r="197" spans="1:10" ht="14.25" x14ac:dyDescent="0.2">
      <c r="A197" s="2"/>
      <c r="B197" s="2"/>
      <c r="C197" s="2"/>
      <c r="D197" s="3"/>
      <c r="E197" s="2"/>
      <c r="F197" s="2"/>
      <c r="G197" s="4"/>
      <c r="H197" s="4"/>
      <c r="I197" s="4"/>
      <c r="J197" s="2"/>
    </row>
    <row r="198" spans="1:10" ht="14.25" x14ac:dyDescent="0.2">
      <c r="A198" s="2"/>
      <c r="B198" s="2"/>
      <c r="C198" s="2"/>
      <c r="D198" s="3"/>
      <c r="E198" s="2"/>
      <c r="F198" s="2"/>
      <c r="G198" s="4"/>
      <c r="H198" s="4"/>
      <c r="I198" s="4"/>
      <c r="J198" s="2"/>
    </row>
    <row r="199" spans="1:10" ht="14.25" x14ac:dyDescent="0.2">
      <c r="A199" s="2"/>
      <c r="B199" s="2"/>
      <c r="C199" s="2"/>
      <c r="D199" s="3"/>
      <c r="E199" s="2"/>
      <c r="F199" s="2"/>
      <c r="G199" s="4"/>
      <c r="H199" s="4"/>
      <c r="I199" s="4"/>
      <c r="J199" s="2"/>
    </row>
    <row r="200" spans="1:10" ht="14.25" x14ac:dyDescent="0.2">
      <c r="A200" s="2"/>
      <c r="B200" s="2"/>
      <c r="C200" s="2"/>
      <c r="D200" s="3"/>
      <c r="E200" s="2"/>
      <c r="F200" s="2"/>
      <c r="G200" s="4"/>
      <c r="H200" s="4"/>
      <c r="I200" s="4"/>
      <c r="J200" s="2"/>
    </row>
    <row r="201" spans="1:10" ht="14.25" x14ac:dyDescent="0.2">
      <c r="A201" s="2"/>
      <c r="B201" s="2"/>
      <c r="C201" s="2"/>
      <c r="D201" s="3"/>
      <c r="E201" s="2"/>
      <c r="F201" s="2"/>
      <c r="G201" s="4"/>
      <c r="H201" s="4"/>
      <c r="I201" s="4"/>
      <c r="J201" s="2"/>
    </row>
    <row r="202" spans="1:10" ht="14.25" x14ac:dyDescent="0.2">
      <c r="A202" s="2"/>
      <c r="B202" s="2"/>
      <c r="C202" s="2"/>
      <c r="D202" s="3"/>
      <c r="E202" s="2"/>
      <c r="F202" s="2"/>
      <c r="G202" s="4"/>
      <c r="H202" s="4"/>
      <c r="I202" s="4"/>
      <c r="J202" s="2"/>
    </row>
    <row r="203" spans="1:10" ht="14.25" x14ac:dyDescent="0.2">
      <c r="A203" s="2"/>
      <c r="B203" s="2"/>
      <c r="C203" s="2"/>
      <c r="D203" s="3"/>
      <c r="E203" s="2"/>
      <c r="F203" s="2"/>
      <c r="G203" s="4"/>
      <c r="H203" s="4"/>
      <c r="I203" s="4"/>
      <c r="J203" s="2"/>
    </row>
    <row r="204" spans="1:10" ht="14.25" x14ac:dyDescent="0.2">
      <c r="A204" s="2"/>
      <c r="B204" s="2"/>
      <c r="C204" s="2"/>
      <c r="D204" s="3"/>
      <c r="E204" s="2"/>
      <c r="F204" s="2"/>
      <c r="G204" s="4"/>
      <c r="H204" s="4"/>
      <c r="I204" s="4"/>
      <c r="J204" s="2"/>
    </row>
    <row r="205" spans="1:10" ht="14.25" x14ac:dyDescent="0.2">
      <c r="A205" s="2"/>
      <c r="B205" s="2"/>
      <c r="C205" s="2"/>
      <c r="D205" s="3"/>
      <c r="E205" s="2"/>
      <c r="F205" s="2"/>
      <c r="G205" s="4"/>
      <c r="H205" s="4"/>
      <c r="I205" s="4"/>
      <c r="J205" s="2"/>
    </row>
    <row r="206" spans="1:10" ht="14.25" x14ac:dyDescent="0.2">
      <c r="A206" s="2"/>
      <c r="B206" s="2"/>
      <c r="C206" s="2"/>
      <c r="D206" s="3"/>
      <c r="E206" s="2"/>
      <c r="F206" s="2"/>
      <c r="G206" s="4"/>
      <c r="H206" s="4"/>
      <c r="I206" s="4"/>
      <c r="J206" s="2"/>
    </row>
    <row r="207" spans="1:10" ht="14.25" x14ac:dyDescent="0.2">
      <c r="A207" s="2"/>
      <c r="B207" s="2"/>
      <c r="C207" s="2"/>
      <c r="D207" s="3"/>
      <c r="E207" s="2"/>
      <c r="F207" s="2"/>
      <c r="G207" s="4"/>
      <c r="H207" s="4"/>
      <c r="I207" s="4"/>
      <c r="J207" s="2"/>
    </row>
    <row r="208" spans="1:10" ht="14.25" x14ac:dyDescent="0.2">
      <c r="A208" s="2"/>
      <c r="B208" s="2"/>
      <c r="C208" s="2"/>
      <c r="D208" s="3"/>
      <c r="E208" s="2"/>
      <c r="F208" s="2"/>
      <c r="G208" s="4"/>
      <c r="H208" s="4"/>
      <c r="I208" s="4"/>
      <c r="J208" s="2"/>
    </row>
    <row r="209" spans="1:10" ht="14.25" x14ac:dyDescent="0.2">
      <c r="A209" s="2"/>
      <c r="B209" s="2"/>
      <c r="C209" s="2"/>
      <c r="D209" s="3"/>
      <c r="E209" s="2"/>
      <c r="F209" s="2"/>
      <c r="G209" s="4"/>
      <c r="H209" s="4"/>
      <c r="I209" s="4"/>
      <c r="J209" s="2"/>
    </row>
    <row r="210" spans="1:10" ht="14.25" x14ac:dyDescent="0.2">
      <c r="A210" s="2"/>
      <c r="B210" s="2"/>
      <c r="C210" s="2"/>
      <c r="D210" s="3"/>
      <c r="E210" s="2"/>
      <c r="F210" s="2"/>
      <c r="G210" s="4"/>
      <c r="H210" s="4"/>
      <c r="I210" s="4"/>
      <c r="J210" s="2"/>
    </row>
    <row r="211" spans="1:10" ht="14.25" x14ac:dyDescent="0.2">
      <c r="A211" s="2"/>
      <c r="B211" s="2"/>
      <c r="C211" s="2"/>
      <c r="D211" s="3"/>
      <c r="E211" s="2"/>
      <c r="F211" s="2"/>
      <c r="G211" s="4"/>
      <c r="H211" s="4"/>
      <c r="I211" s="4"/>
      <c r="J211" s="2"/>
    </row>
    <row r="212" spans="1:10" ht="14.25" x14ac:dyDescent="0.2">
      <c r="A212" s="2"/>
      <c r="B212" s="2"/>
      <c r="C212" s="2"/>
      <c r="D212" s="3"/>
      <c r="E212" s="2"/>
      <c r="F212" s="2"/>
      <c r="G212" s="4"/>
      <c r="H212" s="4"/>
      <c r="I212" s="4"/>
      <c r="J212" s="2"/>
    </row>
    <row r="213" spans="1:10" ht="14.25" x14ac:dyDescent="0.2">
      <c r="A213" s="2"/>
      <c r="B213" s="2"/>
      <c r="C213" s="2"/>
      <c r="D213" s="3"/>
      <c r="E213" s="2"/>
      <c r="F213" s="2"/>
      <c r="G213" s="4"/>
      <c r="H213" s="4"/>
      <c r="I213" s="4"/>
      <c r="J213" s="2"/>
    </row>
    <row r="214" spans="1:10" ht="14.25" x14ac:dyDescent="0.2">
      <c r="A214" s="2"/>
      <c r="B214" s="2"/>
      <c r="C214" s="2"/>
      <c r="D214" s="3"/>
      <c r="E214" s="2"/>
      <c r="F214" s="2"/>
      <c r="G214" s="4"/>
      <c r="H214" s="4"/>
      <c r="I214" s="4"/>
      <c r="J214" s="2"/>
    </row>
    <row r="215" spans="1:10" ht="14.25" x14ac:dyDescent="0.2">
      <c r="A215" s="2"/>
      <c r="B215" s="2"/>
      <c r="C215" s="2"/>
      <c r="D215" s="3"/>
      <c r="E215" s="2"/>
      <c r="F215" s="2"/>
      <c r="G215" s="4"/>
      <c r="H215" s="4"/>
      <c r="I215" s="4"/>
      <c r="J215" s="2"/>
    </row>
    <row r="216" spans="1:10" ht="14.25" x14ac:dyDescent="0.2">
      <c r="A216" s="2"/>
      <c r="B216" s="2"/>
      <c r="C216" s="2"/>
      <c r="D216" s="3"/>
      <c r="E216" s="2"/>
      <c r="F216" s="2"/>
      <c r="G216" s="4"/>
      <c r="H216" s="4"/>
      <c r="I216" s="4"/>
      <c r="J216" s="2"/>
    </row>
    <row r="217" spans="1:10" ht="14.25" x14ac:dyDescent="0.2">
      <c r="A217" s="2"/>
      <c r="B217" s="2"/>
      <c r="C217" s="2"/>
      <c r="D217" s="3"/>
      <c r="E217" s="2"/>
      <c r="F217" s="2"/>
      <c r="G217" s="4"/>
      <c r="H217" s="4"/>
      <c r="I217" s="4"/>
      <c r="J217" s="2"/>
    </row>
    <row r="218" spans="1:10" ht="14.25" x14ac:dyDescent="0.2">
      <c r="A218" s="2"/>
      <c r="B218" s="2"/>
      <c r="C218" s="2"/>
      <c r="D218" s="3"/>
      <c r="E218" s="2"/>
      <c r="F218" s="2"/>
      <c r="G218" s="4"/>
      <c r="H218" s="4"/>
      <c r="I218" s="4"/>
      <c r="J218" s="2"/>
    </row>
    <row r="219" spans="1:10" ht="14.25" x14ac:dyDescent="0.2">
      <c r="A219" s="2"/>
      <c r="B219" s="2"/>
      <c r="C219" s="2"/>
      <c r="D219" s="3"/>
      <c r="E219" s="2"/>
      <c r="F219" s="2"/>
      <c r="G219" s="4"/>
      <c r="H219" s="4"/>
      <c r="I219" s="4"/>
      <c r="J219" s="2"/>
    </row>
    <row r="220" spans="1:10" ht="14.25" x14ac:dyDescent="0.2">
      <c r="A220" s="2"/>
      <c r="B220" s="2"/>
      <c r="C220" s="2"/>
      <c r="D220" s="3"/>
      <c r="E220" s="2"/>
      <c r="F220" s="2"/>
      <c r="G220" s="4"/>
      <c r="H220" s="4"/>
      <c r="I220" s="4"/>
      <c r="J220" s="2"/>
    </row>
    <row r="221" spans="1:10" ht="14.25" x14ac:dyDescent="0.2">
      <c r="A221" s="2"/>
      <c r="B221" s="2"/>
      <c r="C221" s="2"/>
      <c r="D221" s="3"/>
      <c r="E221" s="2"/>
      <c r="F221" s="2"/>
      <c r="G221" s="4"/>
      <c r="H221" s="4"/>
      <c r="I221" s="4"/>
      <c r="J221" s="2"/>
    </row>
    <row r="222" spans="1:10" ht="14.25" x14ac:dyDescent="0.2">
      <c r="A222" s="2"/>
      <c r="B222" s="2"/>
      <c r="C222" s="2"/>
      <c r="D222" s="3"/>
      <c r="E222" s="2"/>
      <c r="F222" s="2"/>
      <c r="G222" s="4"/>
      <c r="H222" s="4"/>
      <c r="I222" s="4"/>
      <c r="J222" s="2"/>
    </row>
    <row r="223" spans="1:10" ht="14.25" x14ac:dyDescent="0.2">
      <c r="A223" s="2"/>
      <c r="B223" s="2"/>
      <c r="C223" s="2"/>
      <c r="D223" s="3"/>
      <c r="E223" s="2"/>
      <c r="F223" s="2"/>
      <c r="G223" s="4"/>
      <c r="H223" s="4"/>
      <c r="I223" s="4"/>
      <c r="J223" s="2"/>
    </row>
    <row r="224" spans="1:10" ht="14.25" x14ac:dyDescent="0.2">
      <c r="A224" s="2"/>
      <c r="B224" s="2"/>
      <c r="C224" s="2"/>
      <c r="D224" s="3"/>
      <c r="E224" s="2"/>
      <c r="F224" s="2"/>
      <c r="G224" s="4"/>
      <c r="H224" s="4"/>
      <c r="I224" s="4"/>
      <c r="J224" s="2"/>
    </row>
    <row r="225" spans="1:10" ht="14.25" x14ac:dyDescent="0.2">
      <c r="A225" s="2"/>
      <c r="B225" s="2"/>
      <c r="C225" s="2"/>
      <c r="D225" s="3"/>
      <c r="E225" s="2"/>
      <c r="F225" s="2"/>
      <c r="G225" s="4"/>
      <c r="H225" s="4"/>
      <c r="I225" s="4"/>
      <c r="J225" s="2"/>
    </row>
    <row r="226" spans="1:10" ht="14.25" x14ac:dyDescent="0.2">
      <c r="A226" s="2"/>
      <c r="B226" s="2"/>
      <c r="C226" s="2"/>
      <c r="D226" s="3"/>
      <c r="E226" s="2"/>
      <c r="F226" s="2"/>
      <c r="G226" s="4"/>
      <c r="H226" s="4"/>
      <c r="I226" s="4"/>
      <c r="J226" s="2"/>
    </row>
    <row r="227" spans="1:10" ht="14.25" x14ac:dyDescent="0.2">
      <c r="A227" s="2"/>
      <c r="B227" s="2"/>
      <c r="C227" s="2"/>
      <c r="D227" s="3"/>
      <c r="E227" s="2"/>
      <c r="F227" s="2"/>
      <c r="G227" s="4"/>
      <c r="H227" s="4"/>
      <c r="I227" s="4"/>
      <c r="J227" s="2"/>
    </row>
    <row r="228" spans="1:10" ht="14.25" x14ac:dyDescent="0.2">
      <c r="A228" s="2"/>
      <c r="B228" s="2"/>
      <c r="C228" s="2"/>
      <c r="D228" s="3"/>
      <c r="E228" s="2"/>
      <c r="F228" s="2"/>
      <c r="G228" s="4"/>
      <c r="H228" s="4"/>
      <c r="I228" s="4"/>
      <c r="J228" s="2"/>
    </row>
    <row r="229" spans="1:10" ht="14.25" x14ac:dyDescent="0.2">
      <c r="A229" s="2"/>
      <c r="B229" s="2"/>
      <c r="C229" s="2"/>
      <c r="D229" s="3"/>
      <c r="E229" s="2"/>
      <c r="F229" s="2"/>
      <c r="G229" s="4"/>
      <c r="H229" s="4"/>
      <c r="I229" s="4"/>
      <c r="J229" s="2"/>
    </row>
    <row r="230" spans="1:10" ht="14.25" x14ac:dyDescent="0.2">
      <c r="A230" s="2"/>
      <c r="B230" s="2"/>
      <c r="C230" s="2"/>
      <c r="D230" s="3"/>
      <c r="E230" s="2"/>
      <c r="F230" s="2"/>
      <c r="G230" s="4"/>
      <c r="H230" s="4"/>
      <c r="I230" s="4"/>
      <c r="J230" s="2"/>
    </row>
    <row r="231" spans="1:10" ht="14.25" x14ac:dyDescent="0.2">
      <c r="A231" s="2"/>
      <c r="B231" s="2"/>
      <c r="C231" s="2"/>
      <c r="D231" s="3"/>
      <c r="E231" s="2"/>
      <c r="F231" s="2"/>
      <c r="G231" s="4"/>
      <c r="H231" s="4"/>
      <c r="I231" s="4"/>
      <c r="J231" s="2"/>
    </row>
    <row r="232" spans="1:10" ht="14.25" x14ac:dyDescent="0.2">
      <c r="A232" s="2"/>
      <c r="B232" s="2"/>
      <c r="C232" s="2"/>
      <c r="D232" s="3"/>
      <c r="E232" s="2"/>
      <c r="F232" s="2"/>
      <c r="G232" s="4"/>
      <c r="H232" s="4"/>
      <c r="I232" s="4"/>
      <c r="J232" s="2"/>
    </row>
    <row r="233" spans="1:10" ht="14.25" x14ac:dyDescent="0.2">
      <c r="A233" s="2"/>
      <c r="B233" s="2"/>
      <c r="C233" s="2"/>
      <c r="D233" s="3"/>
      <c r="E233" s="2"/>
      <c r="F233" s="2"/>
      <c r="G233" s="4"/>
      <c r="H233" s="4"/>
      <c r="I233" s="4"/>
      <c r="J233" s="2"/>
    </row>
    <row r="234" spans="1:10" ht="14.25" x14ac:dyDescent="0.2">
      <c r="A234" s="2"/>
      <c r="B234" s="2"/>
      <c r="C234" s="2"/>
      <c r="D234" s="3"/>
      <c r="E234" s="2"/>
      <c r="F234" s="2"/>
      <c r="G234" s="4"/>
      <c r="H234" s="4"/>
      <c r="I234" s="4"/>
      <c r="J234" s="2"/>
    </row>
    <row r="235" spans="1:10" ht="14.25" x14ac:dyDescent="0.2">
      <c r="A235" s="2"/>
      <c r="B235" s="2"/>
      <c r="C235" s="2"/>
      <c r="D235" s="3"/>
      <c r="E235" s="2"/>
      <c r="F235" s="2"/>
      <c r="G235" s="4"/>
      <c r="H235" s="4"/>
      <c r="I235" s="4"/>
      <c r="J235" s="2"/>
    </row>
    <row r="236" spans="1:10" ht="14.25" x14ac:dyDescent="0.2">
      <c r="A236" s="2"/>
      <c r="B236" s="2"/>
      <c r="C236" s="2"/>
      <c r="D236" s="3"/>
      <c r="E236" s="2"/>
      <c r="F236" s="2"/>
      <c r="G236" s="4"/>
      <c r="H236" s="4"/>
      <c r="I236" s="4"/>
      <c r="J236" s="2"/>
    </row>
    <row r="237" spans="1:10" ht="14.25" x14ac:dyDescent="0.2">
      <c r="A237" s="2"/>
      <c r="B237" s="2"/>
      <c r="C237" s="2"/>
      <c r="D237" s="3"/>
      <c r="E237" s="2"/>
      <c r="F237" s="2"/>
      <c r="G237" s="4"/>
      <c r="H237" s="4"/>
      <c r="I237" s="4"/>
      <c r="J237" s="2"/>
    </row>
    <row r="238" spans="1:10" ht="14.25" x14ac:dyDescent="0.2">
      <c r="A238" s="2"/>
      <c r="B238" s="2"/>
      <c r="C238" s="2"/>
      <c r="D238" s="3"/>
      <c r="E238" s="2"/>
      <c r="F238" s="2"/>
      <c r="G238" s="4"/>
      <c r="H238" s="4"/>
      <c r="I238" s="4"/>
      <c r="J238" s="2"/>
    </row>
    <row r="239" spans="1:10" ht="14.25" x14ac:dyDescent="0.2">
      <c r="A239" s="2"/>
      <c r="B239" s="2"/>
      <c r="C239" s="2"/>
      <c r="D239" s="3"/>
      <c r="E239" s="2"/>
      <c r="F239" s="2"/>
      <c r="G239" s="4"/>
      <c r="H239" s="4"/>
      <c r="I239" s="4"/>
      <c r="J239" s="2"/>
    </row>
    <row r="240" spans="1:10" ht="14.25" x14ac:dyDescent="0.2">
      <c r="A240" s="2"/>
      <c r="B240" s="2"/>
      <c r="C240" s="2"/>
      <c r="D240" s="3"/>
      <c r="E240" s="2"/>
      <c r="F240" s="2"/>
      <c r="G240" s="4"/>
      <c r="H240" s="4"/>
      <c r="I240" s="4"/>
      <c r="J240" s="2"/>
    </row>
    <row r="241" spans="1:10" ht="14.25" x14ac:dyDescent="0.2">
      <c r="A241" s="2"/>
      <c r="B241" s="2"/>
      <c r="C241" s="2"/>
      <c r="D241" s="3"/>
      <c r="E241" s="2"/>
      <c r="F241" s="2"/>
      <c r="G241" s="4"/>
      <c r="H241" s="4"/>
      <c r="I241" s="4"/>
      <c r="J241" s="2"/>
    </row>
    <row r="242" spans="1:10" ht="14.25" x14ac:dyDescent="0.2">
      <c r="A242" s="2"/>
      <c r="B242" s="2"/>
      <c r="C242" s="2"/>
      <c r="D242" s="3"/>
      <c r="E242" s="2"/>
      <c r="F242" s="2"/>
      <c r="G242" s="4"/>
      <c r="H242" s="4"/>
      <c r="I242" s="4"/>
      <c r="J242" s="2"/>
    </row>
    <row r="243" spans="1:10" ht="14.25" x14ac:dyDescent="0.2">
      <c r="A243" s="2"/>
      <c r="B243" s="2"/>
      <c r="C243" s="2"/>
      <c r="D243" s="3"/>
      <c r="E243" s="2"/>
      <c r="F243" s="2"/>
      <c r="G243" s="4"/>
      <c r="H243" s="4"/>
      <c r="I243" s="4"/>
      <c r="J243" s="2"/>
    </row>
    <row r="244" spans="1:10" ht="14.25" x14ac:dyDescent="0.2">
      <c r="A244" s="2"/>
      <c r="B244" s="2"/>
      <c r="C244" s="2"/>
      <c r="D244" s="3"/>
      <c r="E244" s="2"/>
      <c r="F244" s="2"/>
      <c r="G244" s="4"/>
      <c r="H244" s="4"/>
      <c r="I244" s="4"/>
      <c r="J244" s="2"/>
    </row>
    <row r="245" spans="1:10" ht="14.25" x14ac:dyDescent="0.2">
      <c r="A245" s="2"/>
      <c r="B245" s="2"/>
      <c r="C245" s="2"/>
      <c r="D245" s="3"/>
      <c r="E245" s="2"/>
      <c r="F245" s="2"/>
      <c r="G245" s="4"/>
      <c r="H245" s="4"/>
      <c r="I245" s="4"/>
      <c r="J245" s="2"/>
    </row>
    <row r="246" spans="1:10" ht="14.25" x14ac:dyDescent="0.2">
      <c r="A246" s="2"/>
      <c r="B246" s="2"/>
      <c r="C246" s="2"/>
      <c r="D246" s="3"/>
      <c r="E246" s="2"/>
      <c r="F246" s="2"/>
      <c r="G246" s="4"/>
      <c r="H246" s="4"/>
      <c r="I246" s="4"/>
      <c r="J246" s="2"/>
    </row>
    <row r="247" spans="1:10" ht="14.25" x14ac:dyDescent="0.2">
      <c r="A247" s="2"/>
      <c r="B247" s="2"/>
      <c r="C247" s="2"/>
      <c r="D247" s="3"/>
      <c r="E247" s="2"/>
      <c r="F247" s="2"/>
      <c r="G247" s="4"/>
      <c r="H247" s="4"/>
      <c r="I247" s="4"/>
      <c r="J247" s="2"/>
    </row>
    <row r="248" spans="1:10" ht="14.25" x14ac:dyDescent="0.2">
      <c r="A248" s="2"/>
      <c r="B248" s="2"/>
      <c r="C248" s="2"/>
      <c r="D248" s="3"/>
      <c r="E248" s="2"/>
      <c r="F248" s="2"/>
      <c r="G248" s="4"/>
      <c r="H248" s="4"/>
      <c r="I248" s="4"/>
      <c r="J248" s="2"/>
    </row>
    <row r="249" spans="1:10" ht="14.25" x14ac:dyDescent="0.2">
      <c r="A249" s="2"/>
      <c r="B249" s="2"/>
      <c r="C249" s="2"/>
      <c r="D249" s="3"/>
      <c r="E249" s="2"/>
      <c r="F249" s="2"/>
      <c r="G249" s="4"/>
      <c r="H249" s="4"/>
      <c r="I249" s="4"/>
      <c r="J249" s="2"/>
    </row>
    <row r="250" spans="1:10" ht="14.25" x14ac:dyDescent="0.2">
      <c r="A250" s="2"/>
      <c r="B250" s="2"/>
      <c r="C250" s="2"/>
      <c r="D250" s="3"/>
      <c r="E250" s="2"/>
      <c r="F250" s="2"/>
      <c r="G250" s="4"/>
      <c r="H250" s="4"/>
      <c r="I250" s="4"/>
      <c r="J250" s="2"/>
    </row>
    <row r="251" spans="1:10" ht="14.25" x14ac:dyDescent="0.2">
      <c r="A251" s="2"/>
      <c r="B251" s="2"/>
      <c r="C251" s="2"/>
      <c r="D251" s="3"/>
      <c r="E251" s="2"/>
      <c r="F251" s="2"/>
      <c r="G251" s="4"/>
      <c r="H251" s="4"/>
      <c r="I251" s="4"/>
      <c r="J251" s="2"/>
    </row>
    <row r="252" spans="1:10" ht="14.25" x14ac:dyDescent="0.2">
      <c r="A252" s="2"/>
      <c r="B252" s="2"/>
      <c r="C252" s="2"/>
      <c r="D252" s="3"/>
      <c r="E252" s="2"/>
      <c r="F252" s="2"/>
      <c r="G252" s="4"/>
      <c r="H252" s="4"/>
      <c r="I252" s="4"/>
      <c r="J252" s="2"/>
    </row>
    <row r="253" spans="1:10" ht="14.25" x14ac:dyDescent="0.2">
      <c r="A253" s="2"/>
      <c r="B253" s="2"/>
      <c r="C253" s="2"/>
      <c r="D253" s="3"/>
      <c r="E253" s="2"/>
      <c r="F253" s="2"/>
      <c r="G253" s="4"/>
      <c r="H253" s="4"/>
      <c r="I253" s="4"/>
      <c r="J253" s="2"/>
    </row>
    <row r="254" spans="1:10" ht="14.25" x14ac:dyDescent="0.2">
      <c r="A254" s="2"/>
      <c r="B254" s="2"/>
      <c r="C254" s="2"/>
      <c r="D254" s="3"/>
      <c r="E254" s="2"/>
      <c r="F254" s="2"/>
      <c r="G254" s="4"/>
      <c r="H254" s="4"/>
      <c r="I254" s="4"/>
      <c r="J254" s="2"/>
    </row>
    <row r="255" spans="1:10" ht="14.25" x14ac:dyDescent="0.2">
      <c r="A255" s="2"/>
      <c r="B255" s="2"/>
      <c r="C255" s="2"/>
      <c r="D255" s="3"/>
      <c r="E255" s="2"/>
      <c r="F255" s="2"/>
      <c r="G255" s="4"/>
      <c r="H255" s="4"/>
      <c r="I255" s="4"/>
      <c r="J255" s="2"/>
    </row>
    <row r="256" spans="1:10" ht="14.25" x14ac:dyDescent="0.2">
      <c r="A256" s="2"/>
      <c r="B256" s="2"/>
      <c r="C256" s="2"/>
      <c r="D256" s="3"/>
      <c r="E256" s="2"/>
      <c r="F256" s="2"/>
      <c r="G256" s="4"/>
      <c r="H256" s="4"/>
      <c r="I256" s="4"/>
      <c r="J256" s="2"/>
    </row>
    <row r="257" spans="1:10" ht="14.25" x14ac:dyDescent="0.2">
      <c r="A257" s="2"/>
      <c r="B257" s="2"/>
      <c r="C257" s="2"/>
      <c r="D257" s="3"/>
      <c r="E257" s="2"/>
      <c r="F257" s="2"/>
      <c r="G257" s="4"/>
      <c r="H257" s="4"/>
      <c r="I257" s="4"/>
      <c r="J257" s="2"/>
    </row>
    <row r="258" spans="1:10" ht="14.25" x14ac:dyDescent="0.2">
      <c r="A258" s="2"/>
      <c r="B258" s="2"/>
      <c r="C258" s="2"/>
      <c r="D258" s="3"/>
      <c r="E258" s="2"/>
      <c r="F258" s="2"/>
      <c r="G258" s="4"/>
      <c r="H258" s="4"/>
      <c r="I258" s="4"/>
      <c r="J258" s="2"/>
    </row>
    <row r="259" spans="1:10" ht="14.25" x14ac:dyDescent="0.2">
      <c r="A259" s="2"/>
      <c r="B259" s="2"/>
      <c r="C259" s="2"/>
      <c r="D259" s="3"/>
      <c r="E259" s="2"/>
      <c r="F259" s="2"/>
      <c r="G259" s="4"/>
      <c r="H259" s="4"/>
      <c r="I259" s="4"/>
      <c r="J259" s="2"/>
    </row>
    <row r="260" spans="1:10" ht="14.25" x14ac:dyDescent="0.2">
      <c r="A260" s="2"/>
      <c r="B260" s="2"/>
      <c r="C260" s="2"/>
      <c r="D260" s="3"/>
      <c r="E260" s="2"/>
      <c r="F260" s="2"/>
      <c r="G260" s="4"/>
      <c r="H260" s="4"/>
      <c r="I260" s="4"/>
      <c r="J260" s="2"/>
    </row>
    <row r="261" spans="1:10" ht="14.25" x14ac:dyDescent="0.2">
      <c r="A261" s="2"/>
      <c r="B261" s="2"/>
      <c r="C261" s="2"/>
      <c r="D261" s="3"/>
      <c r="E261" s="2"/>
      <c r="F261" s="2"/>
      <c r="G261" s="4"/>
      <c r="H261" s="4"/>
      <c r="I261" s="4"/>
      <c r="J261" s="2"/>
    </row>
    <row r="262" spans="1:10" ht="14.25" x14ac:dyDescent="0.2">
      <c r="A262" s="2"/>
      <c r="B262" s="2"/>
      <c r="C262" s="2"/>
      <c r="D262" s="3"/>
      <c r="E262" s="2"/>
      <c r="F262" s="2"/>
      <c r="G262" s="4"/>
      <c r="H262" s="4"/>
      <c r="I262" s="4"/>
      <c r="J262" s="2"/>
    </row>
    <row r="263" spans="1:10" ht="14.25" x14ac:dyDescent="0.2">
      <c r="A263" s="2"/>
      <c r="B263" s="2"/>
      <c r="C263" s="2"/>
      <c r="D263" s="3"/>
      <c r="E263" s="2"/>
      <c r="F263" s="2"/>
      <c r="G263" s="4"/>
      <c r="H263" s="4"/>
      <c r="I263" s="4"/>
      <c r="J263" s="2"/>
    </row>
    <row r="264" spans="1:10" ht="14.25" x14ac:dyDescent="0.2">
      <c r="A264" s="2"/>
      <c r="B264" s="2"/>
      <c r="C264" s="2"/>
      <c r="D264" s="3"/>
      <c r="E264" s="2"/>
      <c r="F264" s="2"/>
      <c r="G264" s="4"/>
      <c r="H264" s="4"/>
      <c r="I264" s="4"/>
      <c r="J264" s="2"/>
    </row>
    <row r="265" spans="1:10" ht="14.25" x14ac:dyDescent="0.2">
      <c r="A265" s="2"/>
      <c r="B265" s="2"/>
      <c r="C265" s="2"/>
      <c r="D265" s="3"/>
      <c r="E265" s="2"/>
      <c r="F265" s="2"/>
      <c r="G265" s="4"/>
      <c r="H265" s="4"/>
      <c r="I265" s="4"/>
      <c r="J265" s="2"/>
    </row>
    <row r="266" spans="1:10" ht="14.25" x14ac:dyDescent="0.2">
      <c r="A266" s="2"/>
      <c r="B266" s="2"/>
      <c r="C266" s="2"/>
      <c r="D266" s="3"/>
      <c r="E266" s="2"/>
      <c r="F266" s="2"/>
      <c r="G266" s="4"/>
      <c r="H266" s="4"/>
      <c r="I266" s="4"/>
      <c r="J266" s="2"/>
    </row>
    <row r="267" spans="1:10" ht="14.25" x14ac:dyDescent="0.2">
      <c r="A267" s="2"/>
      <c r="B267" s="2"/>
      <c r="C267" s="2"/>
      <c r="D267" s="3"/>
      <c r="E267" s="2"/>
      <c r="F267" s="2"/>
      <c r="G267" s="4"/>
      <c r="H267" s="4"/>
      <c r="I267" s="4"/>
      <c r="J267" s="2"/>
    </row>
    <row r="268" spans="1:10" ht="14.25" x14ac:dyDescent="0.2">
      <c r="A268" s="2"/>
      <c r="B268" s="2"/>
      <c r="C268" s="2"/>
      <c r="D268" s="3"/>
      <c r="E268" s="2"/>
      <c r="F268" s="2"/>
      <c r="G268" s="4"/>
      <c r="H268" s="4"/>
      <c r="I268" s="4"/>
      <c r="J268" s="2"/>
    </row>
    <row r="269" spans="1:10" ht="14.25" x14ac:dyDescent="0.2">
      <c r="A269" s="2"/>
      <c r="B269" s="2"/>
      <c r="C269" s="2"/>
      <c r="D269" s="3"/>
      <c r="E269" s="2"/>
      <c r="F269" s="2"/>
      <c r="G269" s="4"/>
      <c r="H269" s="4"/>
      <c r="I269" s="4"/>
      <c r="J269" s="2"/>
    </row>
    <row r="270" spans="1:10" ht="14.25" x14ac:dyDescent="0.2">
      <c r="A270" s="2"/>
      <c r="B270" s="2"/>
      <c r="C270" s="2"/>
      <c r="D270" s="3"/>
      <c r="E270" s="2"/>
      <c r="F270" s="2"/>
      <c r="G270" s="4"/>
      <c r="H270" s="4"/>
      <c r="I270" s="4"/>
      <c r="J270" s="2"/>
    </row>
    <row r="271" spans="1:10" ht="14.25" x14ac:dyDescent="0.2">
      <c r="A271" s="2"/>
      <c r="B271" s="2"/>
      <c r="C271" s="2"/>
      <c r="D271" s="3"/>
      <c r="E271" s="2"/>
      <c r="F271" s="2"/>
      <c r="G271" s="4"/>
      <c r="H271" s="4"/>
      <c r="I271" s="4"/>
      <c r="J271" s="2"/>
    </row>
    <row r="272" spans="1:10" ht="14.25" x14ac:dyDescent="0.2">
      <c r="A272" s="2"/>
      <c r="B272" s="2"/>
      <c r="C272" s="2"/>
      <c r="D272" s="3"/>
      <c r="E272" s="2"/>
      <c r="F272" s="2"/>
      <c r="G272" s="4"/>
      <c r="H272" s="4"/>
      <c r="I272" s="4"/>
      <c r="J272" s="2"/>
    </row>
    <row r="273" spans="1:10" ht="14.25" x14ac:dyDescent="0.2">
      <c r="A273" s="2"/>
      <c r="B273" s="2"/>
      <c r="C273" s="2"/>
      <c r="D273" s="3"/>
      <c r="E273" s="2"/>
      <c r="F273" s="2"/>
      <c r="G273" s="4"/>
      <c r="H273" s="4"/>
      <c r="I273" s="4"/>
      <c r="J273" s="2"/>
    </row>
    <row r="274" spans="1:10" ht="14.25" x14ac:dyDescent="0.2">
      <c r="A274" s="2"/>
      <c r="B274" s="2"/>
      <c r="C274" s="2"/>
      <c r="D274" s="3"/>
      <c r="E274" s="2"/>
      <c r="F274" s="2"/>
      <c r="G274" s="4"/>
      <c r="H274" s="4"/>
      <c r="I274" s="4"/>
      <c r="J274" s="2"/>
    </row>
    <row r="275" spans="1:10" ht="14.25" x14ac:dyDescent="0.2">
      <c r="A275" s="2"/>
      <c r="B275" s="2"/>
      <c r="C275" s="2"/>
      <c r="D275" s="3"/>
      <c r="E275" s="2"/>
      <c r="F275" s="2"/>
      <c r="G275" s="4"/>
      <c r="H275" s="4"/>
      <c r="I275" s="4"/>
      <c r="J275" s="2"/>
    </row>
    <row r="276" spans="1:10" ht="14.25" x14ac:dyDescent="0.2">
      <c r="A276" s="2"/>
      <c r="B276" s="2"/>
      <c r="C276" s="2"/>
      <c r="D276" s="3"/>
      <c r="E276" s="2"/>
      <c r="F276" s="2"/>
      <c r="G276" s="4"/>
      <c r="H276" s="4"/>
      <c r="I276" s="4"/>
      <c r="J276" s="2"/>
    </row>
    <row r="277" spans="1:10" ht="14.25" x14ac:dyDescent="0.2">
      <c r="A277" s="2"/>
      <c r="B277" s="2"/>
      <c r="C277" s="2"/>
      <c r="D277" s="3"/>
      <c r="E277" s="2"/>
      <c r="F277" s="2"/>
      <c r="G277" s="4"/>
      <c r="H277" s="4"/>
      <c r="I277" s="4"/>
      <c r="J277" s="2"/>
    </row>
    <row r="278" spans="1:10" ht="14.25" x14ac:dyDescent="0.2">
      <c r="A278" s="2"/>
      <c r="B278" s="2"/>
      <c r="C278" s="2"/>
      <c r="D278" s="3"/>
      <c r="E278" s="2"/>
      <c r="F278" s="2"/>
      <c r="G278" s="4"/>
      <c r="H278" s="4"/>
      <c r="I278" s="4"/>
      <c r="J278" s="2"/>
    </row>
    <row r="279" spans="1:10" ht="14.25" x14ac:dyDescent="0.2">
      <c r="A279" s="2"/>
      <c r="B279" s="2"/>
      <c r="C279" s="2"/>
      <c r="D279" s="3"/>
      <c r="E279" s="2"/>
      <c r="F279" s="2"/>
      <c r="G279" s="4"/>
      <c r="H279" s="4"/>
      <c r="I279" s="4"/>
      <c r="J279" s="2"/>
    </row>
    <row r="280" spans="1:10" ht="14.25" x14ac:dyDescent="0.2">
      <c r="A280" s="2"/>
      <c r="B280" s="2"/>
      <c r="C280" s="2"/>
      <c r="D280" s="3"/>
      <c r="E280" s="2"/>
      <c r="F280" s="2"/>
      <c r="G280" s="4"/>
      <c r="H280" s="4"/>
      <c r="I280" s="4"/>
      <c r="J280" s="2"/>
    </row>
    <row r="281" spans="1:10" ht="14.25" x14ac:dyDescent="0.2">
      <c r="A281" s="2"/>
      <c r="B281" s="2"/>
      <c r="C281" s="2"/>
      <c r="D281" s="3"/>
      <c r="E281" s="2"/>
      <c r="F281" s="2"/>
      <c r="G281" s="4"/>
      <c r="H281" s="4"/>
      <c r="I281" s="4"/>
      <c r="J281" s="2"/>
    </row>
    <row r="282" spans="1:10" ht="14.25" x14ac:dyDescent="0.2">
      <c r="A282" s="2"/>
      <c r="B282" s="2"/>
      <c r="C282" s="2"/>
      <c r="D282" s="3"/>
      <c r="E282" s="2"/>
      <c r="F282" s="2"/>
      <c r="G282" s="4"/>
      <c r="H282" s="4"/>
      <c r="I282" s="4"/>
      <c r="J282" s="2"/>
    </row>
    <row r="283" spans="1:10" ht="14.25" x14ac:dyDescent="0.2">
      <c r="A283" s="2"/>
      <c r="B283" s="2"/>
      <c r="C283" s="2"/>
      <c r="D283" s="3"/>
      <c r="E283" s="2"/>
      <c r="F283" s="2"/>
      <c r="G283" s="4"/>
      <c r="H283" s="4"/>
      <c r="I283" s="4"/>
      <c r="J283" s="2"/>
    </row>
    <row r="284" spans="1:10" ht="14.25" x14ac:dyDescent="0.2">
      <c r="A284" s="2"/>
      <c r="B284" s="2"/>
      <c r="C284" s="2"/>
      <c r="D284" s="3"/>
      <c r="E284" s="2"/>
      <c r="F284" s="2"/>
      <c r="G284" s="4"/>
      <c r="H284" s="4"/>
      <c r="I284" s="4"/>
      <c r="J284" s="2"/>
    </row>
    <row r="285" spans="1:10" ht="14.25" x14ac:dyDescent="0.2">
      <c r="A285" s="2"/>
      <c r="B285" s="2"/>
      <c r="C285" s="2"/>
      <c r="D285" s="3"/>
      <c r="E285" s="2"/>
      <c r="F285" s="2"/>
      <c r="G285" s="4"/>
      <c r="H285" s="4"/>
      <c r="I285" s="4"/>
      <c r="J285" s="2"/>
    </row>
    <row r="286" spans="1:10" ht="14.25" x14ac:dyDescent="0.2">
      <c r="A286" s="2"/>
      <c r="B286" s="2"/>
      <c r="C286" s="2"/>
      <c r="D286" s="3"/>
      <c r="E286" s="2"/>
      <c r="F286" s="2"/>
      <c r="G286" s="4"/>
      <c r="H286" s="4"/>
      <c r="I286" s="4"/>
      <c r="J286" s="2"/>
    </row>
    <row r="287" spans="1:10" ht="14.25" x14ac:dyDescent="0.2">
      <c r="A287" s="2"/>
      <c r="B287" s="2"/>
      <c r="C287" s="2"/>
      <c r="D287" s="3"/>
      <c r="E287" s="2"/>
      <c r="F287" s="2"/>
      <c r="G287" s="4"/>
      <c r="H287" s="4"/>
      <c r="I287" s="4"/>
      <c r="J287" s="2"/>
    </row>
    <row r="288" spans="1:10" ht="14.25" x14ac:dyDescent="0.2">
      <c r="A288" s="2"/>
      <c r="B288" s="2"/>
      <c r="C288" s="2"/>
      <c r="D288" s="3"/>
      <c r="E288" s="2"/>
      <c r="F288" s="2"/>
      <c r="G288" s="4"/>
      <c r="H288" s="4"/>
      <c r="I288" s="4"/>
      <c r="J288" s="2"/>
    </row>
    <row r="289" spans="1:10" ht="14.25" x14ac:dyDescent="0.2">
      <c r="A289" s="2"/>
      <c r="B289" s="2"/>
      <c r="C289" s="2"/>
      <c r="D289" s="3"/>
      <c r="E289" s="2"/>
      <c r="F289" s="2"/>
      <c r="G289" s="4"/>
      <c r="H289" s="4"/>
      <c r="I289" s="4"/>
      <c r="J289" s="2"/>
    </row>
    <row r="290" spans="1:10" ht="14.25" x14ac:dyDescent="0.2">
      <c r="A290" s="2"/>
      <c r="B290" s="2"/>
      <c r="C290" s="2"/>
      <c r="D290" s="3"/>
      <c r="E290" s="2"/>
      <c r="F290" s="2"/>
      <c r="G290" s="4"/>
      <c r="H290" s="4"/>
      <c r="I290" s="4"/>
      <c r="J290" s="2"/>
    </row>
    <row r="291" spans="1:10" ht="14.25" x14ac:dyDescent="0.2">
      <c r="A291" s="2"/>
      <c r="B291" s="2"/>
      <c r="C291" s="2"/>
      <c r="D291" s="3"/>
      <c r="E291" s="2"/>
      <c r="F291" s="2"/>
      <c r="G291" s="4"/>
      <c r="H291" s="4"/>
      <c r="I291" s="4"/>
      <c r="J291" s="2"/>
    </row>
    <row r="292" spans="1:10" ht="14.25" x14ac:dyDescent="0.2">
      <c r="A292" s="2"/>
      <c r="B292" s="2"/>
      <c r="C292" s="2"/>
      <c r="D292" s="3"/>
      <c r="E292" s="2"/>
      <c r="F292" s="2"/>
      <c r="G292" s="4"/>
      <c r="H292" s="4"/>
      <c r="I292" s="4"/>
      <c r="J292" s="2"/>
    </row>
    <row r="293" spans="1:10" ht="14.25" x14ac:dyDescent="0.2">
      <c r="A293" s="2"/>
      <c r="B293" s="2"/>
      <c r="C293" s="2"/>
      <c r="D293" s="3"/>
      <c r="E293" s="2"/>
      <c r="F293" s="2"/>
      <c r="G293" s="4"/>
      <c r="H293" s="4"/>
      <c r="I293" s="4"/>
      <c r="J293" s="2"/>
    </row>
    <row r="294" spans="1:10" ht="14.25" x14ac:dyDescent="0.2">
      <c r="A294" s="2"/>
      <c r="B294" s="2"/>
      <c r="C294" s="2"/>
      <c r="D294" s="3"/>
      <c r="E294" s="2"/>
      <c r="F294" s="2"/>
      <c r="G294" s="4"/>
      <c r="H294" s="4"/>
      <c r="I294" s="4"/>
      <c r="J294" s="2"/>
    </row>
    <row r="295" spans="1:10" ht="14.25" x14ac:dyDescent="0.2">
      <c r="A295" s="2"/>
      <c r="B295" s="2"/>
      <c r="C295" s="2"/>
      <c r="D295" s="3"/>
      <c r="E295" s="2"/>
      <c r="F295" s="2"/>
      <c r="G295" s="4"/>
      <c r="H295" s="4"/>
      <c r="I295" s="4"/>
      <c r="J295" s="2"/>
    </row>
    <row r="296" spans="1:10" ht="14.25" x14ac:dyDescent="0.2">
      <c r="A296" s="2"/>
      <c r="B296" s="2"/>
      <c r="C296" s="2"/>
      <c r="D296" s="3"/>
      <c r="E296" s="2"/>
      <c r="F296" s="2"/>
      <c r="G296" s="4"/>
      <c r="H296" s="4"/>
      <c r="I296" s="4"/>
      <c r="J296" s="2"/>
    </row>
    <row r="297" spans="1:10" ht="14.25" x14ac:dyDescent="0.2">
      <c r="A297" s="2"/>
      <c r="B297" s="2"/>
      <c r="C297" s="2"/>
      <c r="D297" s="3"/>
      <c r="E297" s="2"/>
      <c r="F297" s="2"/>
      <c r="G297" s="4"/>
      <c r="H297" s="4"/>
      <c r="I297" s="4"/>
      <c r="J297" s="2"/>
    </row>
    <row r="298" spans="1:10" ht="14.25" x14ac:dyDescent="0.2">
      <c r="A298" s="2"/>
      <c r="B298" s="2"/>
      <c r="C298" s="2"/>
      <c r="D298" s="3"/>
      <c r="E298" s="2"/>
      <c r="F298" s="2"/>
      <c r="G298" s="4"/>
      <c r="H298" s="4"/>
      <c r="I298" s="4"/>
      <c r="J298" s="2"/>
    </row>
    <row r="299" spans="1:10" ht="14.25" x14ac:dyDescent="0.2">
      <c r="A299" s="2"/>
      <c r="B299" s="2"/>
      <c r="C299" s="2"/>
      <c r="D299" s="3"/>
      <c r="E299" s="2"/>
      <c r="F299" s="2"/>
      <c r="G299" s="4"/>
      <c r="H299" s="4"/>
      <c r="I299" s="4"/>
      <c r="J299" s="2"/>
    </row>
    <row r="300" spans="1:10" ht="14.25" x14ac:dyDescent="0.2">
      <c r="A300" s="2"/>
      <c r="B300" s="2"/>
      <c r="C300" s="2"/>
      <c r="D300" s="3"/>
      <c r="E300" s="2"/>
      <c r="F300" s="2"/>
      <c r="G300" s="4"/>
      <c r="H300" s="4"/>
      <c r="I300" s="4"/>
      <c r="J300" s="2"/>
    </row>
    <row r="301" spans="1:10" ht="14.25" x14ac:dyDescent="0.2">
      <c r="A301" s="2"/>
      <c r="B301" s="2"/>
      <c r="C301" s="2"/>
      <c r="D301" s="3"/>
      <c r="E301" s="2"/>
      <c r="F301" s="2"/>
      <c r="G301" s="4"/>
      <c r="H301" s="4"/>
      <c r="I301" s="4"/>
      <c r="J301" s="2"/>
    </row>
    <row r="302" spans="1:10" ht="14.25" x14ac:dyDescent="0.2">
      <c r="A302" s="2"/>
      <c r="B302" s="2"/>
      <c r="C302" s="2"/>
      <c r="D302" s="3"/>
      <c r="E302" s="2"/>
      <c r="F302" s="2"/>
      <c r="G302" s="4"/>
      <c r="H302" s="4"/>
      <c r="I302" s="4"/>
      <c r="J302" s="2"/>
    </row>
    <row r="303" spans="1:10" ht="14.25" x14ac:dyDescent="0.2">
      <c r="A303" s="2"/>
      <c r="B303" s="2"/>
      <c r="C303" s="2"/>
      <c r="D303" s="3"/>
      <c r="E303" s="2"/>
      <c r="F303" s="2"/>
      <c r="G303" s="4"/>
      <c r="H303" s="4"/>
      <c r="I303" s="4"/>
      <c r="J303" s="2"/>
    </row>
    <row r="304" spans="1:10" ht="14.25" x14ac:dyDescent="0.2">
      <c r="A304" s="2"/>
      <c r="B304" s="2"/>
      <c r="C304" s="2"/>
      <c r="D304" s="3"/>
      <c r="E304" s="2"/>
      <c r="F304" s="2"/>
      <c r="G304" s="4"/>
      <c r="H304" s="4"/>
      <c r="I304" s="4"/>
      <c r="J304" s="2"/>
    </row>
    <row r="305" spans="1:10" ht="14.25" x14ac:dyDescent="0.2">
      <c r="A305" s="2"/>
      <c r="B305" s="2"/>
      <c r="C305" s="2"/>
      <c r="D305" s="3"/>
      <c r="E305" s="2"/>
      <c r="F305" s="2"/>
      <c r="G305" s="4"/>
      <c r="H305" s="4"/>
      <c r="I305" s="4"/>
      <c r="J305" s="2"/>
    </row>
    <row r="306" spans="1:10" ht="14.25" x14ac:dyDescent="0.2">
      <c r="A306" s="2"/>
      <c r="B306" s="2"/>
      <c r="C306" s="2"/>
      <c r="D306" s="3"/>
      <c r="E306" s="2"/>
      <c r="F306" s="2"/>
      <c r="G306" s="4"/>
      <c r="H306" s="4"/>
      <c r="I306" s="4"/>
      <c r="J306" s="2"/>
    </row>
    <row r="307" spans="1:10" ht="14.25" x14ac:dyDescent="0.2">
      <c r="A307" s="2"/>
      <c r="B307" s="2"/>
      <c r="C307" s="2"/>
      <c r="D307" s="3"/>
      <c r="E307" s="2"/>
      <c r="F307" s="2"/>
      <c r="G307" s="4"/>
      <c r="H307" s="4"/>
      <c r="I307" s="4"/>
      <c r="J307" s="2"/>
    </row>
    <row r="308" spans="1:10" ht="14.25" x14ac:dyDescent="0.2">
      <c r="A308" s="2"/>
      <c r="B308" s="2"/>
      <c r="C308" s="2"/>
      <c r="D308" s="3"/>
      <c r="E308" s="2"/>
      <c r="F308" s="2"/>
      <c r="G308" s="4"/>
      <c r="H308" s="4"/>
      <c r="I308" s="4"/>
      <c r="J308" s="2"/>
    </row>
    <row r="309" spans="1:10" ht="14.25" x14ac:dyDescent="0.2">
      <c r="A309" s="2"/>
      <c r="B309" s="2"/>
      <c r="C309" s="2"/>
      <c r="D309" s="3"/>
      <c r="E309" s="2"/>
      <c r="F309" s="2"/>
      <c r="G309" s="4"/>
      <c r="H309" s="4"/>
      <c r="I309" s="4"/>
      <c r="J309" s="2"/>
    </row>
    <row r="310" spans="1:10" ht="14.25" x14ac:dyDescent="0.2">
      <c r="A310" s="2"/>
      <c r="B310" s="2"/>
      <c r="C310" s="2"/>
      <c r="D310" s="3"/>
      <c r="E310" s="2"/>
      <c r="F310" s="2"/>
      <c r="G310" s="4"/>
      <c r="H310" s="4"/>
      <c r="I310" s="4"/>
      <c r="J310" s="2"/>
    </row>
    <row r="311" spans="1:10" ht="14.25" x14ac:dyDescent="0.2">
      <c r="A311" s="2"/>
      <c r="B311" s="2"/>
      <c r="C311" s="2"/>
      <c r="D311" s="3"/>
      <c r="E311" s="2"/>
      <c r="F311" s="2"/>
      <c r="G311" s="4"/>
      <c r="H311" s="4"/>
      <c r="I311" s="4"/>
      <c r="J311" s="2"/>
    </row>
    <row r="312" spans="1:10" ht="14.25" x14ac:dyDescent="0.2">
      <c r="A312" s="2"/>
      <c r="B312" s="2"/>
      <c r="C312" s="2"/>
      <c r="D312" s="3"/>
      <c r="E312" s="2"/>
      <c r="F312" s="2"/>
      <c r="G312" s="4"/>
      <c r="H312" s="4"/>
      <c r="I312" s="4"/>
      <c r="J312" s="2"/>
    </row>
    <row r="313" spans="1:10" ht="14.25" x14ac:dyDescent="0.2">
      <c r="A313" s="2"/>
      <c r="B313" s="2"/>
      <c r="C313" s="2"/>
      <c r="D313" s="3"/>
      <c r="E313" s="2"/>
      <c r="F313" s="2"/>
      <c r="G313" s="4"/>
      <c r="H313" s="4"/>
      <c r="I313" s="4"/>
      <c r="J313" s="2"/>
    </row>
    <row r="314" spans="1:10" ht="14.25" x14ac:dyDescent="0.2">
      <c r="A314" s="2"/>
      <c r="B314" s="2"/>
      <c r="C314" s="2"/>
      <c r="D314" s="3"/>
      <c r="E314" s="2"/>
      <c r="F314" s="2"/>
      <c r="G314" s="4"/>
      <c r="H314" s="4"/>
      <c r="I314" s="4"/>
      <c r="J314" s="2"/>
    </row>
    <row r="315" spans="1:10" ht="14.25" x14ac:dyDescent="0.2">
      <c r="A315" s="2"/>
      <c r="B315" s="2"/>
      <c r="C315" s="2"/>
      <c r="D315" s="3"/>
      <c r="E315" s="2"/>
      <c r="F315" s="2"/>
      <c r="G315" s="4"/>
      <c r="H315" s="4"/>
      <c r="I315" s="4"/>
      <c r="J315" s="2"/>
    </row>
    <row r="316" spans="1:10" ht="14.25" x14ac:dyDescent="0.2">
      <c r="A316" s="2"/>
      <c r="B316" s="2"/>
      <c r="C316" s="2"/>
      <c r="D316" s="3"/>
      <c r="E316" s="2"/>
      <c r="F316" s="2"/>
      <c r="G316" s="4"/>
      <c r="H316" s="4"/>
      <c r="I316" s="4"/>
      <c r="J316" s="2"/>
    </row>
    <row r="317" spans="1:10" ht="14.25" x14ac:dyDescent="0.2">
      <c r="A317" s="2"/>
      <c r="B317" s="2"/>
      <c r="C317" s="2"/>
      <c r="D317" s="3"/>
      <c r="E317" s="2"/>
      <c r="F317" s="2"/>
      <c r="G317" s="4"/>
      <c r="H317" s="4"/>
      <c r="I317" s="4"/>
      <c r="J317" s="2"/>
    </row>
    <row r="318" spans="1:10" ht="14.25" x14ac:dyDescent="0.2">
      <c r="A318" s="2"/>
      <c r="B318" s="2"/>
      <c r="C318" s="2"/>
      <c r="D318" s="3"/>
      <c r="E318" s="2"/>
      <c r="F318" s="2"/>
      <c r="G318" s="4"/>
      <c r="H318" s="4"/>
      <c r="I318" s="4"/>
      <c r="J318" s="2"/>
    </row>
    <row r="319" spans="1:10" ht="14.25" x14ac:dyDescent="0.2">
      <c r="A319" s="2"/>
      <c r="B319" s="2"/>
      <c r="C319" s="2"/>
      <c r="D319" s="3"/>
      <c r="E319" s="2"/>
      <c r="F319" s="2"/>
      <c r="G319" s="4"/>
      <c r="H319" s="4"/>
      <c r="I319" s="4"/>
      <c r="J319" s="2"/>
    </row>
    <row r="320" spans="1:10" ht="14.25" x14ac:dyDescent="0.2">
      <c r="A320" s="2"/>
      <c r="B320" s="2"/>
      <c r="C320" s="2"/>
      <c r="D320" s="3"/>
      <c r="E320" s="2"/>
      <c r="F320" s="2"/>
      <c r="G320" s="4"/>
      <c r="H320" s="4"/>
      <c r="I320" s="4"/>
      <c r="J320" s="2"/>
    </row>
    <row r="321" spans="1:10" ht="14.25" x14ac:dyDescent="0.2">
      <c r="A321" s="2"/>
      <c r="B321" s="2"/>
      <c r="C321" s="2"/>
      <c r="D321" s="3"/>
      <c r="E321" s="2"/>
      <c r="F321" s="2"/>
      <c r="G321" s="4"/>
      <c r="H321" s="4"/>
      <c r="I321" s="4"/>
      <c r="J321" s="2"/>
    </row>
    <row r="322" spans="1:10" ht="14.25" x14ac:dyDescent="0.2">
      <c r="A322" s="2"/>
      <c r="B322" s="2"/>
      <c r="C322" s="2"/>
      <c r="D322" s="3"/>
      <c r="E322" s="2"/>
      <c r="F322" s="2"/>
      <c r="G322" s="4"/>
      <c r="H322" s="4"/>
      <c r="I322" s="4"/>
      <c r="J322" s="2"/>
    </row>
    <row r="323" spans="1:10" ht="14.25" x14ac:dyDescent="0.2">
      <c r="A323" s="2"/>
      <c r="B323" s="2"/>
      <c r="C323" s="2"/>
      <c r="D323" s="3"/>
      <c r="E323" s="2"/>
      <c r="F323" s="2"/>
      <c r="G323" s="4"/>
      <c r="H323" s="4"/>
      <c r="I323" s="4"/>
      <c r="J323" s="2"/>
    </row>
    <row r="324" spans="1:10" ht="14.25" x14ac:dyDescent="0.2">
      <c r="A324" s="2"/>
      <c r="B324" s="2"/>
      <c r="C324" s="2"/>
      <c r="D324" s="3"/>
      <c r="E324" s="2"/>
      <c r="F324" s="2"/>
      <c r="G324" s="4"/>
      <c r="H324" s="4"/>
      <c r="I324" s="4"/>
      <c r="J324" s="2"/>
    </row>
    <row r="325" spans="1:10" ht="14.25" x14ac:dyDescent="0.2">
      <c r="A325" s="2"/>
      <c r="B325" s="2"/>
      <c r="C325" s="2"/>
      <c r="D325" s="3"/>
      <c r="E325" s="2"/>
      <c r="F325" s="2"/>
      <c r="G325" s="4"/>
      <c r="H325" s="4"/>
      <c r="I325" s="4"/>
      <c r="J325" s="2"/>
    </row>
    <row r="326" spans="1:10" ht="14.25" x14ac:dyDescent="0.2">
      <c r="A326" s="2"/>
      <c r="B326" s="2"/>
      <c r="C326" s="2"/>
      <c r="D326" s="3"/>
      <c r="E326" s="2"/>
      <c r="F326" s="2"/>
      <c r="G326" s="4"/>
      <c r="H326" s="4"/>
      <c r="I326" s="4"/>
      <c r="J326" s="2"/>
    </row>
    <row r="327" spans="1:10" ht="14.25" x14ac:dyDescent="0.2">
      <c r="A327" s="2"/>
      <c r="B327" s="2"/>
      <c r="C327" s="2"/>
      <c r="D327" s="3"/>
      <c r="E327" s="2"/>
      <c r="F327" s="2"/>
      <c r="G327" s="4"/>
      <c r="H327" s="4"/>
      <c r="I327" s="4"/>
      <c r="J327" s="2"/>
    </row>
    <row r="328" spans="1:10" ht="14.25" x14ac:dyDescent="0.2">
      <c r="A328" s="2"/>
      <c r="B328" s="2"/>
      <c r="C328" s="2"/>
      <c r="D328" s="3"/>
      <c r="E328" s="2"/>
      <c r="F328" s="2"/>
      <c r="G328" s="4"/>
      <c r="H328" s="4"/>
      <c r="I328" s="4"/>
      <c r="J328" s="2"/>
    </row>
    <row r="329" spans="1:10" ht="14.25" x14ac:dyDescent="0.2">
      <c r="A329" s="2"/>
      <c r="B329" s="2"/>
      <c r="C329" s="2"/>
      <c r="D329" s="3"/>
      <c r="E329" s="2"/>
      <c r="F329" s="2"/>
      <c r="G329" s="4"/>
      <c r="H329" s="4"/>
      <c r="I329" s="4"/>
      <c r="J329" s="2"/>
    </row>
    <row r="330" spans="1:10" ht="14.25" x14ac:dyDescent="0.2">
      <c r="A330" s="2"/>
      <c r="B330" s="2"/>
      <c r="C330" s="2"/>
      <c r="D330" s="3"/>
      <c r="E330" s="2"/>
      <c r="F330" s="2"/>
      <c r="G330" s="4"/>
      <c r="H330" s="4"/>
      <c r="I330" s="4"/>
      <c r="J330" s="2"/>
    </row>
    <row r="331" spans="1:10" ht="14.25" x14ac:dyDescent="0.2">
      <c r="A331" s="2"/>
      <c r="B331" s="2"/>
      <c r="C331" s="2"/>
      <c r="D331" s="3"/>
      <c r="E331" s="2"/>
      <c r="F331" s="2"/>
      <c r="G331" s="4"/>
      <c r="H331" s="4"/>
      <c r="I331" s="4"/>
      <c r="J331" s="2"/>
    </row>
    <row r="332" spans="1:10" ht="14.25" x14ac:dyDescent="0.2">
      <c r="A332" s="2"/>
      <c r="B332" s="2"/>
      <c r="C332" s="2"/>
      <c r="D332" s="3"/>
      <c r="E332" s="2"/>
      <c r="F332" s="2"/>
      <c r="G332" s="4"/>
      <c r="H332" s="4"/>
      <c r="I332" s="4"/>
      <c r="J332" s="2"/>
    </row>
    <row r="333" spans="1:10" ht="14.25" x14ac:dyDescent="0.2">
      <c r="A333" s="2"/>
      <c r="B333" s="2"/>
      <c r="C333" s="2"/>
      <c r="D333" s="3"/>
      <c r="E333" s="2"/>
      <c r="F333" s="2"/>
      <c r="G333" s="4"/>
      <c r="H333" s="4"/>
      <c r="I333" s="4"/>
      <c r="J333" s="2"/>
    </row>
    <row r="334" spans="1:10" ht="14.25" x14ac:dyDescent="0.2">
      <c r="A334" s="2"/>
      <c r="B334" s="2"/>
      <c r="C334" s="2"/>
      <c r="D334" s="3"/>
      <c r="E334" s="2"/>
      <c r="F334" s="2"/>
      <c r="G334" s="4"/>
      <c r="H334" s="4"/>
      <c r="I334" s="4"/>
      <c r="J334" s="2"/>
    </row>
    <row r="335" spans="1:10" ht="14.25" x14ac:dyDescent="0.2">
      <c r="A335" s="2"/>
      <c r="B335" s="2"/>
      <c r="C335" s="2"/>
      <c r="D335" s="3"/>
      <c r="E335" s="2"/>
      <c r="F335" s="2"/>
      <c r="G335" s="4"/>
      <c r="H335" s="4"/>
      <c r="I335" s="4"/>
      <c r="J335" s="2"/>
    </row>
    <row r="336" spans="1:10" ht="14.25" x14ac:dyDescent="0.2">
      <c r="A336" s="2"/>
      <c r="B336" s="2"/>
      <c r="C336" s="2"/>
      <c r="D336" s="3"/>
      <c r="E336" s="2"/>
      <c r="F336" s="2"/>
      <c r="G336" s="4"/>
      <c r="H336" s="4"/>
      <c r="I336" s="4"/>
      <c r="J336" s="2"/>
    </row>
    <row r="337" spans="1:10" ht="14.25" x14ac:dyDescent="0.2">
      <c r="A337" s="2"/>
      <c r="B337" s="2"/>
      <c r="C337" s="2"/>
      <c r="D337" s="3"/>
      <c r="E337" s="2"/>
      <c r="F337" s="2"/>
      <c r="G337" s="4"/>
      <c r="H337" s="4"/>
      <c r="I337" s="4"/>
      <c r="J337" s="2"/>
    </row>
    <row r="338" spans="1:10" ht="14.25" x14ac:dyDescent="0.2">
      <c r="A338" s="2"/>
      <c r="B338" s="2"/>
      <c r="C338" s="2"/>
      <c r="D338" s="3"/>
      <c r="E338" s="2"/>
      <c r="F338" s="2"/>
      <c r="G338" s="4"/>
      <c r="H338" s="4"/>
      <c r="I338" s="4"/>
      <c r="J338" s="2"/>
    </row>
    <row r="339" spans="1:10" ht="14.25" x14ac:dyDescent="0.2">
      <c r="A339" s="2"/>
      <c r="B339" s="2"/>
      <c r="C339" s="2"/>
      <c r="D339" s="3"/>
      <c r="E339" s="2"/>
      <c r="F339" s="2"/>
      <c r="G339" s="4"/>
      <c r="H339" s="4"/>
      <c r="I339" s="4"/>
      <c r="J339" s="2"/>
    </row>
    <row r="340" spans="1:10" ht="14.25" x14ac:dyDescent="0.2">
      <c r="A340" s="2"/>
      <c r="B340" s="2"/>
      <c r="C340" s="2"/>
      <c r="D340" s="3"/>
      <c r="E340" s="2"/>
      <c r="F340" s="2"/>
      <c r="G340" s="4"/>
      <c r="H340" s="4"/>
      <c r="I340" s="4"/>
      <c r="J340" s="2"/>
    </row>
    <row r="341" spans="1:10" ht="14.25" x14ac:dyDescent="0.2">
      <c r="A341" s="2"/>
      <c r="B341" s="2"/>
      <c r="C341" s="2"/>
      <c r="D341" s="3"/>
      <c r="E341" s="2"/>
      <c r="F341" s="2"/>
      <c r="G341" s="4"/>
      <c r="H341" s="4"/>
      <c r="I341" s="4"/>
      <c r="J341" s="2"/>
    </row>
    <row r="342" spans="1:10" ht="14.25" x14ac:dyDescent="0.2">
      <c r="A342" s="2"/>
      <c r="B342" s="2"/>
      <c r="C342" s="2"/>
      <c r="D342" s="3"/>
      <c r="E342" s="2"/>
      <c r="F342" s="2"/>
      <c r="G342" s="4"/>
      <c r="H342" s="4"/>
      <c r="I342" s="4"/>
      <c r="J342" s="2"/>
    </row>
    <row r="343" spans="1:10" ht="14.25" x14ac:dyDescent="0.2">
      <c r="A343" s="2"/>
      <c r="B343" s="2"/>
      <c r="C343" s="2"/>
      <c r="D343" s="3"/>
      <c r="E343" s="2"/>
      <c r="F343" s="2"/>
      <c r="G343" s="4"/>
      <c r="H343" s="4"/>
      <c r="I343" s="4"/>
      <c r="J343" s="2"/>
    </row>
    <row r="344" spans="1:10" ht="14.25" x14ac:dyDescent="0.2">
      <c r="A344" s="2"/>
      <c r="B344" s="2"/>
      <c r="C344" s="2"/>
      <c r="D344" s="3"/>
      <c r="E344" s="2"/>
      <c r="F344" s="2"/>
      <c r="G344" s="4"/>
      <c r="H344" s="4"/>
      <c r="I344" s="4"/>
      <c r="J344" s="2"/>
    </row>
    <row r="345" spans="1:10" ht="14.25" x14ac:dyDescent="0.2">
      <c r="A345" s="2"/>
      <c r="B345" s="2"/>
      <c r="C345" s="2"/>
      <c r="D345" s="3"/>
      <c r="E345" s="2"/>
      <c r="F345" s="2"/>
      <c r="G345" s="4"/>
      <c r="H345" s="4"/>
      <c r="I345" s="4"/>
      <c r="J345" s="2"/>
    </row>
    <row r="346" spans="1:10" ht="14.25" x14ac:dyDescent="0.2">
      <c r="A346" s="2"/>
      <c r="B346" s="2"/>
      <c r="C346" s="2"/>
      <c r="D346" s="3"/>
      <c r="E346" s="2"/>
      <c r="F346" s="2"/>
      <c r="G346" s="4"/>
      <c r="H346" s="4"/>
      <c r="I346" s="4"/>
      <c r="J346" s="2"/>
    </row>
    <row r="347" spans="1:10" ht="14.25" x14ac:dyDescent="0.2">
      <c r="A347" s="2"/>
      <c r="B347" s="2"/>
      <c r="C347" s="2"/>
      <c r="D347" s="3"/>
      <c r="E347" s="2"/>
      <c r="F347" s="2"/>
      <c r="G347" s="4"/>
      <c r="H347" s="4"/>
      <c r="I347" s="4"/>
      <c r="J347" s="2"/>
    </row>
    <row r="348" spans="1:10" ht="14.25" x14ac:dyDescent="0.2">
      <c r="A348" s="2"/>
      <c r="B348" s="2"/>
      <c r="C348" s="2"/>
      <c r="D348" s="3"/>
      <c r="E348" s="2"/>
      <c r="F348" s="2"/>
      <c r="G348" s="4"/>
      <c r="H348" s="4"/>
      <c r="I348" s="4"/>
      <c r="J348" s="2"/>
    </row>
    <row r="349" spans="1:10" ht="14.25" x14ac:dyDescent="0.2">
      <c r="A349" s="2"/>
      <c r="B349" s="2"/>
      <c r="C349" s="2"/>
      <c r="D349" s="3"/>
      <c r="E349" s="2"/>
      <c r="F349" s="2"/>
      <c r="G349" s="4"/>
      <c r="H349" s="4"/>
      <c r="I349" s="4"/>
      <c r="J349" s="2"/>
    </row>
    <row r="350" spans="1:10" ht="14.25" x14ac:dyDescent="0.2">
      <c r="A350" s="2"/>
      <c r="B350" s="2"/>
      <c r="C350" s="2"/>
      <c r="D350" s="3"/>
      <c r="E350" s="2"/>
      <c r="F350" s="2"/>
      <c r="G350" s="4"/>
      <c r="H350" s="4"/>
      <c r="I350" s="4"/>
      <c r="J350" s="2"/>
    </row>
    <row r="351" spans="1:10" ht="14.25" x14ac:dyDescent="0.2">
      <c r="A351" s="2"/>
      <c r="B351" s="2"/>
      <c r="C351" s="2"/>
      <c r="D351" s="3"/>
      <c r="E351" s="2"/>
      <c r="F351" s="2"/>
      <c r="G351" s="4"/>
      <c r="H351" s="4"/>
      <c r="I351" s="4"/>
      <c r="J351" s="2"/>
    </row>
    <row r="352" spans="1:10" ht="14.25" x14ac:dyDescent="0.2">
      <c r="A352" s="2"/>
      <c r="B352" s="2"/>
      <c r="C352" s="2"/>
      <c r="D352" s="3"/>
      <c r="E352" s="2"/>
      <c r="F352" s="2"/>
      <c r="G352" s="4"/>
      <c r="H352" s="4"/>
      <c r="I352" s="4"/>
      <c r="J352" s="2"/>
    </row>
    <row r="353" spans="1:10" ht="14.25" x14ac:dyDescent="0.2">
      <c r="A353" s="2"/>
      <c r="B353" s="2"/>
      <c r="C353" s="2"/>
      <c r="D353" s="3"/>
      <c r="E353" s="2"/>
      <c r="F353" s="2"/>
      <c r="G353" s="4"/>
      <c r="H353" s="4"/>
      <c r="I353" s="4"/>
      <c r="J353" s="2"/>
    </row>
    <row r="354" spans="1:10" ht="14.25" x14ac:dyDescent="0.2">
      <c r="A354" s="2"/>
      <c r="B354" s="2"/>
      <c r="C354" s="2"/>
      <c r="D354" s="3"/>
      <c r="E354" s="2"/>
      <c r="F354" s="2"/>
      <c r="G354" s="4"/>
      <c r="H354" s="4"/>
      <c r="I354" s="4"/>
      <c r="J354" s="2"/>
    </row>
    <row r="355" spans="1:10" ht="14.25" x14ac:dyDescent="0.2">
      <c r="A355" s="2"/>
      <c r="B355" s="2"/>
      <c r="C355" s="2"/>
      <c r="D355" s="3"/>
      <c r="E355" s="2"/>
      <c r="F355" s="2"/>
      <c r="G355" s="4"/>
      <c r="H355" s="4"/>
      <c r="I355" s="4"/>
      <c r="J355" s="2"/>
    </row>
    <row r="356" spans="1:10" ht="14.25" x14ac:dyDescent="0.2">
      <c r="A356" s="2"/>
      <c r="B356" s="2"/>
      <c r="C356" s="2"/>
      <c r="D356" s="3"/>
      <c r="E356" s="2"/>
      <c r="F356" s="2"/>
      <c r="G356" s="4"/>
      <c r="H356" s="4"/>
      <c r="I356" s="4"/>
      <c r="J356" s="2"/>
    </row>
    <row r="357" spans="1:10" ht="14.25" x14ac:dyDescent="0.2">
      <c r="A357" s="2"/>
      <c r="B357" s="2"/>
      <c r="C357" s="2"/>
      <c r="D357" s="3"/>
      <c r="E357" s="2"/>
      <c r="F357" s="2"/>
      <c r="G357" s="4"/>
      <c r="H357" s="4"/>
      <c r="I357" s="4"/>
      <c r="J357" s="2"/>
    </row>
    <row r="358" spans="1:10" ht="14.25" x14ac:dyDescent="0.2">
      <c r="A358" s="2"/>
      <c r="B358" s="2"/>
      <c r="C358" s="2"/>
      <c r="D358" s="3"/>
      <c r="E358" s="2"/>
      <c r="F358" s="2"/>
      <c r="G358" s="4"/>
      <c r="H358" s="4"/>
      <c r="I358" s="4"/>
      <c r="J358" s="2"/>
    </row>
    <row r="359" spans="1:10" ht="14.25" x14ac:dyDescent="0.2">
      <c r="A359" s="2"/>
      <c r="B359" s="2"/>
      <c r="C359" s="2"/>
      <c r="D359" s="3"/>
      <c r="E359" s="2"/>
      <c r="F359" s="2"/>
      <c r="G359" s="4"/>
      <c r="H359" s="4"/>
      <c r="I359" s="4"/>
      <c r="J359" s="2"/>
    </row>
    <row r="360" spans="1:10" ht="14.25" x14ac:dyDescent="0.2">
      <c r="A360" s="2"/>
      <c r="B360" s="2"/>
      <c r="C360" s="2"/>
      <c r="D360" s="3"/>
      <c r="E360" s="2"/>
      <c r="F360" s="2"/>
      <c r="G360" s="4"/>
      <c r="H360" s="4"/>
      <c r="I360" s="4"/>
      <c r="J360" s="2"/>
    </row>
    <row r="361" spans="1:10" ht="14.25" x14ac:dyDescent="0.2">
      <c r="A361" s="2"/>
      <c r="B361" s="2"/>
      <c r="C361" s="2"/>
      <c r="D361" s="3"/>
      <c r="E361" s="2"/>
      <c r="F361" s="2"/>
      <c r="G361" s="4"/>
      <c r="H361" s="4"/>
      <c r="I361" s="4"/>
      <c r="J361" s="2"/>
    </row>
    <row r="362" spans="1:10" ht="14.25" x14ac:dyDescent="0.2">
      <c r="A362" s="2"/>
      <c r="B362" s="2"/>
      <c r="C362" s="2"/>
      <c r="D362" s="3"/>
      <c r="E362" s="2"/>
      <c r="F362" s="2"/>
      <c r="G362" s="4"/>
      <c r="H362" s="4"/>
      <c r="I362" s="4"/>
      <c r="J362" s="2"/>
    </row>
    <row r="363" spans="1:10" ht="14.25" x14ac:dyDescent="0.2">
      <c r="A363" s="2"/>
      <c r="B363" s="2"/>
      <c r="C363" s="2"/>
      <c r="D363" s="3"/>
      <c r="E363" s="2"/>
      <c r="F363" s="2"/>
      <c r="G363" s="4"/>
      <c r="H363" s="4"/>
      <c r="I363" s="4"/>
      <c r="J363" s="2"/>
    </row>
    <row r="364" spans="1:10" ht="14.25" x14ac:dyDescent="0.2">
      <c r="A364" s="2"/>
      <c r="B364" s="2"/>
      <c r="C364" s="2"/>
      <c r="D364" s="3"/>
      <c r="E364" s="2"/>
      <c r="F364" s="2"/>
      <c r="G364" s="4"/>
      <c r="H364" s="4"/>
      <c r="I364" s="4"/>
      <c r="J364" s="2"/>
    </row>
    <row r="365" spans="1:10" ht="14.25" x14ac:dyDescent="0.2">
      <c r="A365" s="2"/>
      <c r="B365" s="2"/>
      <c r="C365" s="2"/>
      <c r="D365" s="3"/>
      <c r="E365" s="2"/>
      <c r="F365" s="2"/>
      <c r="G365" s="4"/>
      <c r="H365" s="4"/>
      <c r="I365" s="4"/>
      <c r="J365" s="2"/>
    </row>
    <row r="366" spans="1:10" ht="14.25" x14ac:dyDescent="0.2">
      <c r="A366" s="2"/>
      <c r="B366" s="2"/>
      <c r="C366" s="2"/>
      <c r="D366" s="3"/>
      <c r="E366" s="2"/>
      <c r="F366" s="2"/>
      <c r="G366" s="4"/>
      <c r="H366" s="4"/>
      <c r="I366" s="4"/>
      <c r="J366" s="2"/>
    </row>
    <row r="367" spans="1:10" ht="14.25" x14ac:dyDescent="0.2">
      <c r="A367" s="2"/>
      <c r="B367" s="2"/>
      <c r="C367" s="2"/>
      <c r="D367" s="3"/>
      <c r="E367" s="2"/>
      <c r="F367" s="2"/>
      <c r="G367" s="4"/>
      <c r="H367" s="4"/>
      <c r="I367" s="4"/>
      <c r="J367" s="2"/>
    </row>
    <row r="368" spans="1:10" ht="14.25" x14ac:dyDescent="0.2">
      <c r="A368" s="2"/>
      <c r="B368" s="2"/>
      <c r="C368" s="2"/>
      <c r="D368" s="3"/>
      <c r="E368" s="2"/>
      <c r="F368" s="2"/>
      <c r="G368" s="4"/>
      <c r="H368" s="4"/>
      <c r="I368" s="4"/>
      <c r="J368" s="2"/>
    </row>
    <row r="369" spans="1:10" ht="14.25" x14ac:dyDescent="0.2">
      <c r="A369" s="2"/>
      <c r="B369" s="2"/>
      <c r="C369" s="2"/>
      <c r="D369" s="3"/>
      <c r="E369" s="2"/>
      <c r="F369" s="2"/>
      <c r="G369" s="4"/>
      <c r="H369" s="4"/>
      <c r="I369" s="4"/>
      <c r="J369" s="2"/>
    </row>
    <row r="370" spans="1:10" ht="14.25" x14ac:dyDescent="0.2">
      <c r="A370" s="2"/>
      <c r="B370" s="2"/>
      <c r="C370" s="2"/>
      <c r="D370" s="3"/>
      <c r="E370" s="2"/>
      <c r="F370" s="2"/>
      <c r="G370" s="4"/>
      <c r="H370" s="4"/>
      <c r="I370" s="4"/>
      <c r="J370" s="2"/>
    </row>
    <row r="371" spans="1:10" ht="14.25" x14ac:dyDescent="0.2">
      <c r="A371" s="2"/>
      <c r="B371" s="2"/>
      <c r="C371" s="2"/>
      <c r="D371" s="3"/>
      <c r="E371" s="2"/>
      <c r="F371" s="2"/>
      <c r="G371" s="4"/>
      <c r="H371" s="4"/>
      <c r="I371" s="4"/>
      <c r="J371" s="2"/>
    </row>
    <row r="372" spans="1:10" ht="14.25" x14ac:dyDescent="0.2">
      <c r="A372" s="2"/>
      <c r="B372" s="2"/>
      <c r="C372" s="2"/>
      <c r="D372" s="3"/>
      <c r="E372" s="2"/>
      <c r="F372" s="2"/>
      <c r="G372" s="4"/>
      <c r="H372" s="4"/>
      <c r="I372" s="4"/>
      <c r="J372" s="2"/>
    </row>
    <row r="373" spans="1:10" ht="14.25" x14ac:dyDescent="0.2">
      <c r="A373" s="2"/>
      <c r="B373" s="2"/>
      <c r="C373" s="2"/>
      <c r="D373" s="3"/>
      <c r="E373" s="2"/>
      <c r="F373" s="2"/>
      <c r="G373" s="4"/>
      <c r="H373" s="4"/>
      <c r="I373" s="4"/>
      <c r="J373" s="2"/>
    </row>
    <row r="374" spans="1:10" ht="14.25" x14ac:dyDescent="0.2">
      <c r="A374" s="2"/>
      <c r="B374" s="2"/>
      <c r="C374" s="2"/>
      <c r="D374" s="3"/>
      <c r="E374" s="2"/>
      <c r="F374" s="2"/>
      <c r="G374" s="4"/>
      <c r="H374" s="4"/>
      <c r="I374" s="4"/>
      <c r="J374" s="2"/>
    </row>
    <row r="375" spans="1:10" ht="14.25" x14ac:dyDescent="0.2">
      <c r="A375" s="2"/>
      <c r="B375" s="2"/>
      <c r="C375" s="2"/>
      <c r="D375" s="3"/>
      <c r="E375" s="2"/>
      <c r="F375" s="2"/>
      <c r="G375" s="4"/>
      <c r="H375" s="4"/>
      <c r="I375" s="4"/>
      <c r="J375" s="2"/>
    </row>
    <row r="376" spans="1:10" ht="14.25" x14ac:dyDescent="0.2">
      <c r="A376" s="2"/>
      <c r="B376" s="2"/>
      <c r="C376" s="2"/>
      <c r="D376" s="3"/>
      <c r="E376" s="2"/>
      <c r="F376" s="2"/>
      <c r="G376" s="4"/>
      <c r="H376" s="4"/>
      <c r="I376" s="4"/>
      <c r="J376" s="2"/>
    </row>
    <row r="377" spans="1:10" ht="14.25" x14ac:dyDescent="0.2">
      <c r="A377" s="2"/>
      <c r="B377" s="2"/>
      <c r="C377" s="2"/>
      <c r="D377" s="3"/>
      <c r="E377" s="2"/>
      <c r="F377" s="2"/>
      <c r="G377" s="4"/>
      <c r="H377" s="4"/>
      <c r="I377" s="4"/>
      <c r="J377" s="2"/>
    </row>
    <row r="378" spans="1:10" ht="14.25" x14ac:dyDescent="0.2">
      <c r="A378" s="2"/>
      <c r="B378" s="2"/>
      <c r="C378" s="2"/>
      <c r="D378" s="3"/>
      <c r="E378" s="2"/>
      <c r="F378" s="2"/>
      <c r="G378" s="4"/>
      <c r="H378" s="4"/>
      <c r="I378" s="4"/>
      <c r="J378" s="2"/>
    </row>
    <row r="379" spans="1:10" ht="14.25" x14ac:dyDescent="0.2">
      <c r="A379" s="2"/>
      <c r="B379" s="2"/>
      <c r="C379" s="2"/>
      <c r="D379" s="3"/>
      <c r="E379" s="2"/>
      <c r="F379" s="2"/>
      <c r="G379" s="4"/>
      <c r="H379" s="4"/>
      <c r="I379" s="4"/>
      <c r="J379" s="2"/>
    </row>
    <row r="380" spans="1:10" ht="14.25" x14ac:dyDescent="0.2">
      <c r="A380" s="2"/>
      <c r="B380" s="2"/>
      <c r="C380" s="2"/>
      <c r="D380" s="3"/>
      <c r="E380" s="2"/>
      <c r="F380" s="2"/>
      <c r="G380" s="4"/>
      <c r="H380" s="4"/>
      <c r="I380" s="4"/>
      <c r="J380" s="2"/>
    </row>
    <row r="381" spans="1:10" ht="14.25" x14ac:dyDescent="0.2">
      <c r="A381" s="2"/>
      <c r="B381" s="2"/>
      <c r="C381" s="2"/>
      <c r="D381" s="3"/>
      <c r="E381" s="2"/>
      <c r="F381" s="2"/>
      <c r="G381" s="4"/>
      <c r="H381" s="4"/>
      <c r="I381" s="4"/>
      <c r="J381" s="2"/>
    </row>
    <row r="382" spans="1:10" ht="14.25" x14ac:dyDescent="0.2">
      <c r="A382" s="2"/>
      <c r="B382" s="2"/>
      <c r="C382" s="2"/>
      <c r="D382" s="3"/>
      <c r="E382" s="2"/>
      <c r="F382" s="2"/>
      <c r="G382" s="4"/>
      <c r="H382" s="4"/>
      <c r="I382" s="4"/>
      <c r="J382" s="2"/>
    </row>
    <row r="383" spans="1:10" ht="14.25" x14ac:dyDescent="0.2">
      <c r="A383" s="2"/>
      <c r="B383" s="2"/>
      <c r="C383" s="2"/>
      <c r="D383" s="3"/>
      <c r="E383" s="2"/>
      <c r="F383" s="2"/>
      <c r="G383" s="4"/>
      <c r="H383" s="4"/>
      <c r="I383" s="4"/>
      <c r="J383" s="2"/>
    </row>
    <row r="384" spans="1:10" ht="14.25" x14ac:dyDescent="0.2">
      <c r="A384" s="2"/>
      <c r="B384" s="2"/>
      <c r="C384" s="2"/>
      <c r="D384" s="3"/>
      <c r="E384" s="2"/>
      <c r="F384" s="2"/>
      <c r="G384" s="4"/>
      <c r="H384" s="4"/>
      <c r="I384" s="4"/>
      <c r="J384" s="2"/>
    </row>
    <row r="385" spans="1:10" ht="14.25" x14ac:dyDescent="0.2">
      <c r="A385" s="2"/>
      <c r="B385" s="2"/>
      <c r="C385" s="2"/>
      <c r="D385" s="3"/>
      <c r="E385" s="2"/>
      <c r="F385" s="2"/>
      <c r="G385" s="4"/>
      <c r="H385" s="4"/>
      <c r="I385" s="4"/>
      <c r="J385" s="2"/>
    </row>
    <row r="386" spans="1:10" ht="14.25" x14ac:dyDescent="0.2">
      <c r="A386" s="2"/>
      <c r="B386" s="2"/>
      <c r="C386" s="2"/>
      <c r="D386" s="3"/>
      <c r="E386" s="2"/>
      <c r="F386" s="2"/>
      <c r="G386" s="4"/>
      <c r="H386" s="4"/>
      <c r="I386" s="4"/>
      <c r="J386" s="2"/>
    </row>
    <row r="387" spans="1:10" ht="14.25" x14ac:dyDescent="0.2">
      <c r="A387" s="2"/>
      <c r="B387" s="2"/>
      <c r="C387" s="2"/>
      <c r="D387" s="3"/>
      <c r="E387" s="2"/>
      <c r="F387" s="2"/>
      <c r="G387" s="4"/>
      <c r="H387" s="4"/>
      <c r="I387" s="4"/>
      <c r="J387" s="2"/>
    </row>
    <row r="388" spans="1:10" ht="14.25" x14ac:dyDescent="0.2">
      <c r="A388" s="2"/>
      <c r="B388" s="2"/>
      <c r="C388" s="2"/>
      <c r="D388" s="3"/>
      <c r="E388" s="2"/>
      <c r="F388" s="2"/>
      <c r="G388" s="4"/>
      <c r="H388" s="4"/>
      <c r="I388" s="4"/>
      <c r="J388" s="2"/>
    </row>
    <row r="389" spans="1:10" ht="14.25" x14ac:dyDescent="0.2">
      <c r="A389" s="2"/>
      <c r="B389" s="2"/>
      <c r="C389" s="2"/>
      <c r="D389" s="3"/>
      <c r="E389" s="2"/>
      <c r="F389" s="2"/>
      <c r="G389" s="4"/>
      <c r="H389" s="4"/>
      <c r="I389" s="4"/>
      <c r="J389" s="2"/>
    </row>
    <row r="390" spans="1:10" ht="14.25" x14ac:dyDescent="0.2">
      <c r="A390" s="2"/>
      <c r="B390" s="2"/>
      <c r="C390" s="2"/>
      <c r="D390" s="3"/>
      <c r="E390" s="2"/>
      <c r="F390" s="2"/>
      <c r="G390" s="4"/>
      <c r="H390" s="4"/>
      <c r="I390" s="4"/>
      <c r="J390" s="2"/>
    </row>
    <row r="391" spans="1:10" ht="14.25" x14ac:dyDescent="0.2">
      <c r="A391" s="2"/>
      <c r="B391" s="2"/>
      <c r="C391" s="2"/>
      <c r="D391" s="3"/>
      <c r="E391" s="2"/>
      <c r="F391" s="2"/>
      <c r="G391" s="4"/>
      <c r="H391" s="4"/>
      <c r="I391" s="4"/>
      <c r="J391" s="2"/>
    </row>
    <row r="392" spans="1:10" ht="14.25" x14ac:dyDescent="0.2">
      <c r="A392" s="2"/>
      <c r="B392" s="2"/>
      <c r="C392" s="2"/>
      <c r="D392" s="3"/>
      <c r="E392" s="2"/>
      <c r="F392" s="2"/>
      <c r="G392" s="4"/>
      <c r="H392" s="4"/>
      <c r="I392" s="4"/>
      <c r="J392" s="2"/>
    </row>
    <row r="393" spans="1:10" ht="14.25" x14ac:dyDescent="0.2">
      <c r="A393" s="2"/>
      <c r="B393" s="2"/>
      <c r="C393" s="2"/>
      <c r="D393" s="3"/>
      <c r="E393" s="2"/>
      <c r="F393" s="2"/>
      <c r="G393" s="4"/>
      <c r="H393" s="4"/>
      <c r="I393" s="4"/>
      <c r="J393" s="2"/>
    </row>
    <row r="394" spans="1:10" ht="14.25" x14ac:dyDescent="0.2">
      <c r="A394" s="2"/>
      <c r="B394" s="2"/>
      <c r="C394" s="2"/>
      <c r="D394" s="3"/>
      <c r="E394" s="2"/>
      <c r="F394" s="2"/>
      <c r="G394" s="4"/>
      <c r="H394" s="4"/>
      <c r="I394" s="4"/>
      <c r="J394" s="2"/>
    </row>
    <row r="395" spans="1:10" ht="14.25" x14ac:dyDescent="0.2">
      <c r="A395" s="2"/>
      <c r="B395" s="2"/>
      <c r="C395" s="2"/>
      <c r="D395" s="3"/>
      <c r="E395" s="2"/>
      <c r="F395" s="2"/>
      <c r="G395" s="4"/>
      <c r="H395" s="4"/>
      <c r="I395" s="4"/>
      <c r="J395" s="2"/>
    </row>
    <row r="396" spans="1:10" ht="14.25" x14ac:dyDescent="0.2">
      <c r="A396" s="2"/>
      <c r="B396" s="2"/>
      <c r="C396" s="2"/>
      <c r="D396" s="3"/>
      <c r="E396" s="2"/>
      <c r="F396" s="2"/>
      <c r="G396" s="4"/>
      <c r="H396" s="4"/>
      <c r="I396" s="4"/>
      <c r="J396" s="2"/>
    </row>
    <row r="397" spans="1:10" ht="14.25" x14ac:dyDescent="0.2">
      <c r="A397" s="2"/>
      <c r="B397" s="2"/>
      <c r="C397" s="2"/>
      <c r="D397" s="3"/>
      <c r="E397" s="2"/>
      <c r="F397" s="2"/>
      <c r="G397" s="4"/>
      <c r="H397" s="4"/>
      <c r="I397" s="4"/>
      <c r="J397" s="2"/>
    </row>
    <row r="398" spans="1:10" ht="14.25" x14ac:dyDescent="0.2">
      <c r="A398" s="2"/>
      <c r="B398" s="2"/>
      <c r="C398" s="2"/>
      <c r="D398" s="3"/>
      <c r="E398" s="2"/>
      <c r="F398" s="2"/>
      <c r="G398" s="4"/>
      <c r="H398" s="4"/>
      <c r="I398" s="4"/>
      <c r="J398" s="2"/>
    </row>
    <row r="399" spans="1:10" ht="14.25" x14ac:dyDescent="0.2">
      <c r="A399" s="2"/>
      <c r="B399" s="2"/>
      <c r="C399" s="2"/>
      <c r="D399" s="3"/>
      <c r="E399" s="2"/>
      <c r="F399" s="2"/>
      <c r="G399" s="4"/>
      <c r="H399" s="4"/>
      <c r="I399" s="4"/>
      <c r="J399" s="2"/>
    </row>
    <row r="400" spans="1:10" ht="14.25" x14ac:dyDescent="0.2">
      <c r="A400" s="2"/>
      <c r="B400" s="2"/>
      <c r="C400" s="2"/>
      <c r="D400" s="3"/>
      <c r="E400" s="2"/>
      <c r="F400" s="2"/>
      <c r="G400" s="4"/>
      <c r="H400" s="4"/>
      <c r="I400" s="4"/>
      <c r="J400" s="2"/>
    </row>
    <row r="401" spans="1:10" ht="14.25" x14ac:dyDescent="0.2">
      <c r="A401" s="2"/>
      <c r="B401" s="2"/>
      <c r="C401" s="2"/>
      <c r="D401" s="3"/>
      <c r="E401" s="2"/>
      <c r="F401" s="2"/>
      <c r="G401" s="4"/>
      <c r="H401" s="4"/>
      <c r="I401" s="4"/>
      <c r="J401" s="2"/>
    </row>
    <row r="402" spans="1:10" ht="14.25" x14ac:dyDescent="0.2">
      <c r="A402" s="2"/>
      <c r="B402" s="2"/>
      <c r="C402" s="2"/>
      <c r="D402" s="3"/>
      <c r="E402" s="2"/>
      <c r="F402" s="2"/>
      <c r="G402" s="4"/>
      <c r="H402" s="4"/>
      <c r="I402" s="4"/>
      <c r="J402" s="2"/>
    </row>
    <row r="403" spans="1:10" ht="14.25" x14ac:dyDescent="0.2">
      <c r="A403" s="2"/>
      <c r="B403" s="2"/>
      <c r="C403" s="2"/>
      <c r="D403" s="3"/>
      <c r="E403" s="2"/>
      <c r="F403" s="2"/>
      <c r="G403" s="4"/>
      <c r="H403" s="4"/>
      <c r="I403" s="4"/>
      <c r="J403" s="2"/>
    </row>
    <row r="404" spans="1:10" ht="14.25" x14ac:dyDescent="0.2">
      <c r="A404" s="2"/>
      <c r="B404" s="2"/>
      <c r="C404" s="2"/>
      <c r="D404" s="3"/>
      <c r="E404" s="2"/>
      <c r="F404" s="2"/>
      <c r="G404" s="4"/>
      <c r="H404" s="4"/>
      <c r="I404" s="4"/>
      <c r="J404" s="2"/>
    </row>
    <row r="405" spans="1:10" ht="14.25" x14ac:dyDescent="0.2">
      <c r="A405" s="2"/>
      <c r="B405" s="2"/>
      <c r="C405" s="2"/>
      <c r="D405" s="3"/>
      <c r="E405" s="2"/>
      <c r="F405" s="2"/>
      <c r="G405" s="4"/>
      <c r="H405" s="4"/>
      <c r="I405" s="4"/>
      <c r="J405" s="2"/>
    </row>
    <row r="406" spans="1:10" ht="14.25" x14ac:dyDescent="0.2">
      <c r="A406" s="2"/>
      <c r="B406" s="2"/>
      <c r="C406" s="2"/>
      <c r="D406" s="3"/>
      <c r="E406" s="2"/>
      <c r="F406" s="2"/>
      <c r="G406" s="4"/>
      <c r="H406" s="4"/>
      <c r="I406" s="4"/>
      <c r="J406" s="2"/>
    </row>
    <row r="407" spans="1:10" ht="14.25" x14ac:dyDescent="0.2">
      <c r="A407" s="2"/>
      <c r="B407" s="2"/>
      <c r="C407" s="2"/>
      <c r="D407" s="3"/>
      <c r="E407" s="2"/>
      <c r="F407" s="2"/>
      <c r="G407" s="4"/>
      <c r="H407" s="4"/>
      <c r="I407" s="4"/>
      <c r="J407" s="2"/>
    </row>
    <row r="408" spans="1:10" ht="14.25" x14ac:dyDescent="0.2">
      <c r="A408" s="2"/>
      <c r="B408" s="2"/>
      <c r="C408" s="2"/>
      <c r="D408" s="3"/>
      <c r="E408" s="2"/>
      <c r="F408" s="2"/>
      <c r="G408" s="4"/>
      <c r="H408" s="4"/>
      <c r="I408" s="4"/>
      <c r="J408" s="2"/>
    </row>
    <row r="409" spans="1:10" ht="14.25" x14ac:dyDescent="0.2">
      <c r="A409" s="2"/>
      <c r="B409" s="2"/>
      <c r="C409" s="2"/>
      <c r="D409" s="3"/>
      <c r="E409" s="2"/>
      <c r="F409" s="2"/>
      <c r="G409" s="4"/>
      <c r="H409" s="4"/>
      <c r="I409" s="4"/>
      <c r="J409" s="2"/>
    </row>
    <row r="410" spans="1:10" ht="14.25" x14ac:dyDescent="0.2">
      <c r="A410" s="2"/>
      <c r="B410" s="2"/>
      <c r="C410" s="2"/>
      <c r="D410" s="3"/>
      <c r="E410" s="2"/>
      <c r="F410" s="2"/>
      <c r="G410" s="4"/>
      <c r="H410" s="4"/>
      <c r="I410" s="4"/>
      <c r="J410" s="2"/>
    </row>
    <row r="411" spans="1:10" ht="14.25" x14ac:dyDescent="0.2">
      <c r="A411" s="2"/>
      <c r="B411" s="2"/>
      <c r="C411" s="2"/>
      <c r="D411" s="3"/>
      <c r="E411" s="2"/>
      <c r="F411" s="2"/>
      <c r="G411" s="4"/>
      <c r="H411" s="4"/>
      <c r="I411" s="4"/>
      <c r="J411" s="2"/>
    </row>
    <row r="412" spans="1:10" ht="14.25" x14ac:dyDescent="0.2">
      <c r="A412" s="2"/>
      <c r="B412" s="2"/>
      <c r="C412" s="2"/>
      <c r="D412" s="3"/>
      <c r="E412" s="2"/>
      <c r="F412" s="2"/>
      <c r="G412" s="4"/>
      <c r="H412" s="4"/>
      <c r="I412" s="4"/>
      <c r="J412" s="2"/>
    </row>
    <row r="413" spans="1:10" ht="14.25" x14ac:dyDescent="0.2">
      <c r="A413" s="2"/>
      <c r="B413" s="2"/>
      <c r="C413" s="2"/>
      <c r="D413" s="3"/>
      <c r="E413" s="2"/>
      <c r="F413" s="2"/>
      <c r="G413" s="4"/>
      <c r="H413" s="4"/>
      <c r="I413" s="4"/>
      <c r="J413" s="2"/>
    </row>
    <row r="414" spans="1:10" ht="14.25" x14ac:dyDescent="0.2">
      <c r="A414" s="2"/>
      <c r="B414" s="2"/>
      <c r="C414" s="2"/>
      <c r="D414" s="3"/>
      <c r="E414" s="2"/>
      <c r="F414" s="2"/>
      <c r="G414" s="4"/>
      <c r="H414" s="4"/>
      <c r="I414" s="4"/>
      <c r="J414" s="2"/>
    </row>
    <row r="415" spans="1:10" ht="14.25" x14ac:dyDescent="0.2">
      <c r="A415" s="2"/>
      <c r="B415" s="2"/>
      <c r="C415" s="2"/>
      <c r="D415" s="3"/>
      <c r="E415" s="2"/>
      <c r="F415" s="2"/>
      <c r="G415" s="4"/>
      <c r="H415" s="4"/>
      <c r="I415" s="4"/>
      <c r="J415" s="2"/>
    </row>
    <row r="416" spans="1:10" ht="14.25" x14ac:dyDescent="0.2">
      <c r="A416" s="2"/>
      <c r="B416" s="2"/>
      <c r="C416" s="2"/>
      <c r="D416" s="3"/>
      <c r="E416" s="2"/>
      <c r="F416" s="2"/>
      <c r="G416" s="4"/>
      <c r="H416" s="4"/>
      <c r="I416" s="4"/>
      <c r="J416" s="2"/>
    </row>
    <row r="417" spans="1:10" ht="14.25" x14ac:dyDescent="0.2">
      <c r="A417" s="2"/>
      <c r="B417" s="2"/>
      <c r="C417" s="2"/>
      <c r="D417" s="3"/>
      <c r="E417" s="2"/>
      <c r="F417" s="2"/>
      <c r="G417" s="4"/>
      <c r="H417" s="4"/>
      <c r="I417" s="4"/>
      <c r="J417" s="2"/>
    </row>
    <row r="418" spans="1:10" ht="14.25" x14ac:dyDescent="0.2">
      <c r="A418" s="2"/>
      <c r="B418" s="2"/>
      <c r="C418" s="2"/>
      <c r="D418" s="3"/>
      <c r="E418" s="2"/>
      <c r="F418" s="2"/>
      <c r="G418" s="4"/>
      <c r="H418" s="4"/>
      <c r="I418" s="4"/>
      <c r="J418" s="2"/>
    </row>
    <row r="419" spans="1:10" ht="14.25" x14ac:dyDescent="0.2">
      <c r="A419" s="2"/>
      <c r="B419" s="2"/>
      <c r="C419" s="2"/>
      <c r="D419" s="3"/>
      <c r="E419" s="2"/>
      <c r="F419" s="2"/>
      <c r="G419" s="4"/>
      <c r="H419" s="4"/>
      <c r="I419" s="4"/>
      <c r="J419" s="2"/>
    </row>
    <row r="420" spans="1:10" ht="14.25" x14ac:dyDescent="0.2">
      <c r="A420" s="2"/>
      <c r="B420" s="2"/>
      <c r="C420" s="2"/>
      <c r="D420" s="3"/>
      <c r="E420" s="2"/>
      <c r="F420" s="2"/>
      <c r="G420" s="4"/>
      <c r="H420" s="4"/>
      <c r="I420" s="4"/>
      <c r="J420" s="2"/>
    </row>
    <row r="421" spans="1:10" ht="14.25" x14ac:dyDescent="0.2">
      <c r="A421" s="2"/>
      <c r="B421" s="2"/>
      <c r="C421" s="2"/>
      <c r="D421" s="3"/>
      <c r="E421" s="2"/>
      <c r="F421" s="2"/>
      <c r="G421" s="4"/>
      <c r="H421" s="4"/>
      <c r="I421" s="4"/>
      <c r="J421" s="2"/>
    </row>
    <row r="422" spans="1:10" ht="14.25" x14ac:dyDescent="0.2">
      <c r="A422" s="2"/>
      <c r="B422" s="2"/>
      <c r="C422" s="2"/>
      <c r="D422" s="3"/>
      <c r="E422" s="2"/>
      <c r="F422" s="2"/>
      <c r="G422" s="4"/>
      <c r="H422" s="4"/>
      <c r="I422" s="4"/>
      <c r="J422" s="2"/>
    </row>
    <row r="423" spans="1:10" ht="14.25" x14ac:dyDescent="0.2">
      <c r="A423" s="2"/>
      <c r="B423" s="2"/>
      <c r="C423" s="2"/>
      <c r="D423" s="3"/>
      <c r="E423" s="2"/>
      <c r="F423" s="2"/>
      <c r="G423" s="4"/>
      <c r="H423" s="4"/>
      <c r="I423" s="4"/>
      <c r="J423" s="2"/>
    </row>
    <row r="424" spans="1:10" ht="14.25" x14ac:dyDescent="0.2">
      <c r="A424" s="2"/>
      <c r="B424" s="2"/>
      <c r="C424" s="2"/>
      <c r="D424" s="3"/>
      <c r="E424" s="2"/>
      <c r="F424" s="2"/>
      <c r="G424" s="4"/>
      <c r="H424" s="4"/>
      <c r="I424" s="4"/>
      <c r="J424" s="2"/>
    </row>
    <row r="425" spans="1:10" ht="14.25" x14ac:dyDescent="0.2">
      <c r="A425" s="2"/>
      <c r="B425" s="2"/>
      <c r="C425" s="2"/>
      <c r="D425" s="3"/>
      <c r="E425" s="2"/>
      <c r="F425" s="2"/>
      <c r="G425" s="4"/>
      <c r="H425" s="4"/>
      <c r="I425" s="4"/>
      <c r="J425" s="2"/>
    </row>
    <row r="426" spans="1:10" ht="14.25" x14ac:dyDescent="0.2">
      <c r="A426" s="2"/>
      <c r="B426" s="2"/>
      <c r="C426" s="2"/>
      <c r="D426" s="3"/>
      <c r="E426" s="2"/>
      <c r="F426" s="2"/>
      <c r="G426" s="4"/>
      <c r="H426" s="4"/>
      <c r="I426" s="4"/>
      <c r="J426" s="2"/>
    </row>
    <row r="427" spans="1:10" ht="14.25" x14ac:dyDescent="0.2">
      <c r="A427" s="2"/>
      <c r="B427" s="2"/>
      <c r="C427" s="2"/>
      <c r="D427" s="3"/>
      <c r="E427" s="2"/>
      <c r="F427" s="2"/>
      <c r="G427" s="4"/>
      <c r="H427" s="4"/>
      <c r="I427" s="4"/>
      <c r="J427" s="2"/>
    </row>
    <row r="428" spans="1:10" ht="14.25" x14ac:dyDescent="0.2">
      <c r="A428" s="2"/>
      <c r="B428" s="2"/>
      <c r="C428" s="2"/>
      <c r="D428" s="3"/>
      <c r="E428" s="2"/>
      <c r="F428" s="2"/>
      <c r="G428" s="4"/>
      <c r="H428" s="4"/>
      <c r="I428" s="4"/>
      <c r="J428" s="2"/>
    </row>
    <row r="429" spans="1:10" ht="14.25" x14ac:dyDescent="0.2">
      <c r="A429" s="2"/>
      <c r="B429" s="2"/>
      <c r="C429" s="2"/>
      <c r="D429" s="3"/>
      <c r="E429" s="2"/>
      <c r="F429" s="2"/>
      <c r="G429" s="4"/>
      <c r="H429" s="4"/>
      <c r="I429" s="4"/>
      <c r="J429" s="2"/>
    </row>
    <row r="430" spans="1:10" ht="14.25" x14ac:dyDescent="0.2">
      <c r="A430" s="2"/>
      <c r="B430" s="2"/>
      <c r="C430" s="2"/>
      <c r="D430" s="3"/>
      <c r="E430" s="2"/>
      <c r="F430" s="2"/>
      <c r="G430" s="4"/>
      <c r="H430" s="4"/>
      <c r="I430" s="4"/>
      <c r="J430" s="2"/>
    </row>
    <row r="431" spans="1:10" ht="14.25" x14ac:dyDescent="0.2">
      <c r="A431" s="2"/>
      <c r="B431" s="2"/>
      <c r="C431" s="2"/>
      <c r="D431" s="3"/>
      <c r="E431" s="2"/>
      <c r="F431" s="2"/>
      <c r="G431" s="4"/>
      <c r="H431" s="4"/>
      <c r="I431" s="4"/>
      <c r="J431" s="2"/>
    </row>
    <row r="432" spans="1:10" ht="14.25" x14ac:dyDescent="0.2">
      <c r="A432" s="2"/>
      <c r="B432" s="2"/>
      <c r="C432" s="2"/>
      <c r="D432" s="3"/>
      <c r="E432" s="2"/>
      <c r="F432" s="2"/>
      <c r="G432" s="4"/>
      <c r="H432" s="4"/>
      <c r="I432" s="4"/>
      <c r="J432" s="2"/>
    </row>
    <row r="433" spans="1:10" ht="14.25" x14ac:dyDescent="0.2">
      <c r="A433" s="2"/>
      <c r="B433" s="2"/>
      <c r="C433" s="2"/>
      <c r="D433" s="3"/>
      <c r="E433" s="2"/>
      <c r="F433" s="2"/>
      <c r="G433" s="4"/>
      <c r="H433" s="4"/>
      <c r="I433" s="4"/>
      <c r="J433" s="2"/>
    </row>
    <row r="434" spans="1:10" ht="14.25" x14ac:dyDescent="0.2">
      <c r="A434" s="2"/>
      <c r="B434" s="2"/>
      <c r="C434" s="2"/>
      <c r="D434" s="3"/>
      <c r="E434" s="2"/>
      <c r="F434" s="2"/>
      <c r="G434" s="4"/>
      <c r="H434" s="4"/>
      <c r="I434" s="4"/>
      <c r="J434" s="2"/>
    </row>
    <row r="435" spans="1:10" ht="14.25" x14ac:dyDescent="0.2">
      <c r="A435" s="2"/>
      <c r="B435" s="2"/>
      <c r="C435" s="2"/>
      <c r="D435" s="3"/>
      <c r="E435" s="2"/>
      <c r="F435" s="2"/>
      <c r="G435" s="4"/>
      <c r="H435" s="4"/>
      <c r="I435" s="4"/>
      <c r="J435" s="2"/>
    </row>
    <row r="436" spans="1:10" ht="14.25" x14ac:dyDescent="0.2">
      <c r="A436" s="2"/>
      <c r="B436" s="2"/>
      <c r="C436" s="2"/>
      <c r="D436" s="3"/>
      <c r="E436" s="2"/>
      <c r="F436" s="2"/>
      <c r="G436" s="4"/>
      <c r="H436" s="4"/>
      <c r="I436" s="4"/>
      <c r="J436" s="2"/>
    </row>
    <row r="437" spans="1:10" ht="14.25" x14ac:dyDescent="0.2">
      <c r="A437" s="2"/>
      <c r="B437" s="2"/>
      <c r="C437" s="2"/>
      <c r="D437" s="3"/>
      <c r="E437" s="2"/>
      <c r="F437" s="2"/>
      <c r="G437" s="4"/>
      <c r="H437" s="4"/>
      <c r="I437" s="4"/>
      <c r="J437" s="2"/>
    </row>
    <row r="438" spans="1:10" ht="14.25" x14ac:dyDescent="0.2">
      <c r="A438" s="2"/>
      <c r="B438" s="2"/>
      <c r="C438" s="2"/>
      <c r="D438" s="3"/>
      <c r="E438" s="2"/>
      <c r="F438" s="2"/>
      <c r="G438" s="4"/>
      <c r="H438" s="4"/>
      <c r="I438" s="4"/>
      <c r="J438" s="2"/>
    </row>
    <row r="439" spans="1:10" ht="14.25" x14ac:dyDescent="0.2">
      <c r="A439" s="2"/>
      <c r="B439" s="2"/>
      <c r="C439" s="2"/>
      <c r="D439" s="3"/>
      <c r="E439" s="2"/>
      <c r="F439" s="2"/>
      <c r="G439" s="4"/>
      <c r="H439" s="4"/>
      <c r="I439" s="4"/>
      <c r="J439" s="2"/>
    </row>
    <row r="440" spans="1:10" ht="14.25" x14ac:dyDescent="0.2">
      <c r="A440" s="2"/>
      <c r="B440" s="2"/>
      <c r="C440" s="2"/>
      <c r="D440" s="3"/>
      <c r="E440" s="2"/>
      <c r="F440" s="2"/>
      <c r="G440" s="4"/>
      <c r="H440" s="4"/>
      <c r="I440" s="4"/>
      <c r="J440" s="2"/>
    </row>
    <row r="441" spans="1:10" ht="14.25" x14ac:dyDescent="0.2">
      <c r="A441" s="2"/>
      <c r="B441" s="2"/>
      <c r="C441" s="2"/>
      <c r="D441" s="3"/>
      <c r="E441" s="2"/>
      <c r="F441" s="2"/>
      <c r="G441" s="4"/>
      <c r="H441" s="4"/>
      <c r="I441" s="4"/>
      <c r="J441" s="2"/>
    </row>
    <row r="442" spans="1:10" ht="14.25" x14ac:dyDescent="0.2">
      <c r="A442" s="2"/>
      <c r="B442" s="2"/>
      <c r="C442" s="2"/>
      <c r="D442" s="3"/>
      <c r="E442" s="2"/>
      <c r="F442" s="2"/>
      <c r="G442" s="4"/>
      <c r="H442" s="4"/>
      <c r="I442" s="4"/>
      <c r="J442" s="2"/>
    </row>
    <row r="443" spans="1:10" ht="14.25" x14ac:dyDescent="0.2">
      <c r="A443" s="2"/>
      <c r="B443" s="2"/>
      <c r="C443" s="2"/>
      <c r="D443" s="3"/>
      <c r="E443" s="2"/>
      <c r="F443" s="2"/>
      <c r="G443" s="4"/>
      <c r="H443" s="4"/>
      <c r="I443" s="4"/>
      <c r="J443" s="2"/>
    </row>
    <row r="444" spans="1:10" ht="14.25" x14ac:dyDescent="0.2">
      <c r="A444" s="2"/>
      <c r="B444" s="2"/>
      <c r="C444" s="2"/>
      <c r="D444" s="3"/>
      <c r="E444" s="2"/>
      <c r="F444" s="2"/>
      <c r="G444" s="4"/>
      <c r="H444" s="4"/>
      <c r="I444" s="4"/>
      <c r="J444" s="2"/>
    </row>
    <row r="445" spans="1:10" ht="14.25" x14ac:dyDescent="0.2">
      <c r="A445" s="2"/>
      <c r="B445" s="2"/>
      <c r="C445" s="2"/>
      <c r="D445" s="3"/>
      <c r="E445" s="2"/>
      <c r="F445" s="2"/>
      <c r="G445" s="4"/>
      <c r="H445" s="4"/>
      <c r="I445" s="4"/>
      <c r="J445" s="2"/>
    </row>
    <row r="446" spans="1:10" ht="14.25" x14ac:dyDescent="0.2">
      <c r="A446" s="2"/>
      <c r="B446" s="2"/>
      <c r="C446" s="2"/>
      <c r="D446" s="3"/>
      <c r="E446" s="2"/>
      <c r="F446" s="2"/>
      <c r="G446" s="4"/>
      <c r="H446" s="4"/>
      <c r="I446" s="4"/>
      <c r="J446" s="2"/>
    </row>
    <row r="447" spans="1:10" ht="14.25" x14ac:dyDescent="0.2">
      <c r="A447" s="2"/>
      <c r="B447" s="2"/>
      <c r="C447" s="2"/>
      <c r="D447" s="3"/>
      <c r="E447" s="2"/>
      <c r="F447" s="2"/>
      <c r="G447" s="4"/>
      <c r="H447" s="4"/>
      <c r="I447" s="4"/>
      <c r="J447" s="2"/>
    </row>
    <row r="448" spans="1:10" ht="14.25" x14ac:dyDescent="0.2">
      <c r="A448" s="2"/>
      <c r="B448" s="2"/>
      <c r="C448" s="2"/>
      <c r="D448" s="3"/>
      <c r="E448" s="2"/>
      <c r="F448" s="2"/>
      <c r="G448" s="4"/>
      <c r="H448" s="4"/>
      <c r="I448" s="4"/>
      <c r="J448" s="2"/>
    </row>
    <row r="449" spans="1:10" ht="14.25" x14ac:dyDescent="0.2">
      <c r="A449" s="2"/>
      <c r="B449" s="2"/>
      <c r="C449" s="2"/>
      <c r="D449" s="3"/>
      <c r="E449" s="2"/>
      <c r="F449" s="2"/>
      <c r="G449" s="4"/>
      <c r="H449" s="4"/>
      <c r="I449" s="4"/>
      <c r="J449" s="2"/>
    </row>
    <row r="450" spans="1:10" ht="14.25" x14ac:dyDescent="0.2">
      <c r="A450" s="2"/>
      <c r="B450" s="2"/>
      <c r="C450" s="2"/>
      <c r="D450" s="3"/>
      <c r="E450" s="2"/>
      <c r="F450" s="2"/>
      <c r="G450" s="4"/>
      <c r="H450" s="4"/>
      <c r="I450" s="4"/>
      <c r="J450" s="2"/>
    </row>
    <row r="451" spans="1:10" ht="14.25" x14ac:dyDescent="0.2">
      <c r="A451" s="2"/>
      <c r="B451" s="2"/>
      <c r="C451" s="2"/>
      <c r="D451" s="3"/>
      <c r="E451" s="2"/>
      <c r="F451" s="2"/>
      <c r="G451" s="4"/>
      <c r="H451" s="4"/>
      <c r="I451" s="4"/>
      <c r="J451" s="2"/>
    </row>
    <row r="452" spans="1:10" ht="14.25" x14ac:dyDescent="0.2">
      <c r="A452" s="2"/>
      <c r="B452" s="2"/>
      <c r="C452" s="2"/>
      <c r="D452" s="3"/>
      <c r="E452" s="2"/>
      <c r="F452" s="2"/>
      <c r="G452" s="4"/>
      <c r="H452" s="4"/>
      <c r="I452" s="4"/>
      <c r="J452" s="2"/>
    </row>
    <row r="453" spans="1:10" ht="14.25" x14ac:dyDescent="0.2">
      <c r="A453" s="2"/>
      <c r="B453" s="2"/>
      <c r="C453" s="2"/>
      <c r="D453" s="3"/>
      <c r="E453" s="2"/>
      <c r="F453" s="2"/>
      <c r="G453" s="4"/>
      <c r="H453" s="4"/>
      <c r="I453" s="4"/>
      <c r="J453" s="2"/>
    </row>
    <row r="454" spans="1:10" ht="14.25" x14ac:dyDescent="0.2">
      <c r="A454" s="2"/>
      <c r="B454" s="2"/>
      <c r="C454" s="2"/>
      <c r="D454" s="3"/>
      <c r="E454" s="2"/>
      <c r="F454" s="2"/>
      <c r="G454" s="4"/>
      <c r="H454" s="4"/>
      <c r="I454" s="4"/>
      <c r="J454" s="2"/>
    </row>
    <row r="455" spans="1:10" ht="14.25" x14ac:dyDescent="0.2">
      <c r="A455" s="2"/>
      <c r="B455" s="2"/>
      <c r="C455" s="2"/>
      <c r="D455" s="3"/>
      <c r="E455" s="2"/>
      <c r="F455" s="2"/>
      <c r="G455" s="4"/>
      <c r="H455" s="4"/>
      <c r="I455" s="4"/>
      <c r="J455" s="2"/>
    </row>
    <row r="456" spans="1:10" ht="14.25" x14ac:dyDescent="0.2">
      <c r="A456" s="2"/>
      <c r="B456" s="2"/>
      <c r="C456" s="2"/>
      <c r="D456" s="3"/>
      <c r="E456" s="2"/>
      <c r="F456" s="2"/>
      <c r="G456" s="4"/>
      <c r="H456" s="4"/>
      <c r="I456" s="4"/>
      <c r="J456" s="2"/>
    </row>
    <row r="457" spans="1:10" ht="14.25" x14ac:dyDescent="0.2">
      <c r="A457" s="2"/>
      <c r="B457" s="2"/>
      <c r="C457" s="2"/>
      <c r="D457" s="3"/>
      <c r="E457" s="2"/>
      <c r="F457" s="2"/>
      <c r="G457" s="4"/>
      <c r="H457" s="4"/>
      <c r="I457" s="4"/>
      <c r="J457" s="2"/>
    </row>
    <row r="458" spans="1:10" ht="14.25" x14ac:dyDescent="0.2">
      <c r="A458" s="2"/>
      <c r="B458" s="2"/>
      <c r="C458" s="2"/>
      <c r="D458" s="3"/>
      <c r="E458" s="2"/>
      <c r="F458" s="2"/>
      <c r="G458" s="4"/>
      <c r="H458" s="4"/>
      <c r="I458" s="4"/>
      <c r="J458" s="2"/>
    </row>
    <row r="459" spans="1:10" ht="14.25" x14ac:dyDescent="0.2">
      <c r="A459" s="2"/>
      <c r="B459" s="2"/>
      <c r="C459" s="2"/>
      <c r="D459" s="3"/>
      <c r="E459" s="2"/>
      <c r="F459" s="2"/>
      <c r="G459" s="4"/>
      <c r="H459" s="4"/>
      <c r="I459" s="4"/>
      <c r="J459" s="2"/>
    </row>
    <row r="460" spans="1:10" ht="14.25" x14ac:dyDescent="0.2">
      <c r="A460" s="2"/>
      <c r="B460" s="2"/>
      <c r="C460" s="2"/>
      <c r="D460" s="3"/>
      <c r="E460" s="2"/>
      <c r="F460" s="2"/>
      <c r="G460" s="4"/>
      <c r="H460" s="4"/>
      <c r="I460" s="4"/>
      <c r="J460" s="2"/>
    </row>
    <row r="461" spans="1:10" ht="14.25" x14ac:dyDescent="0.2">
      <c r="A461" s="2"/>
      <c r="B461" s="2"/>
      <c r="C461" s="2"/>
      <c r="D461" s="3"/>
      <c r="E461" s="2"/>
      <c r="F461" s="2"/>
      <c r="G461" s="4"/>
      <c r="H461" s="4"/>
      <c r="I461" s="4"/>
      <c r="J461" s="2"/>
    </row>
    <row r="462" spans="1:10" ht="14.25" x14ac:dyDescent="0.2">
      <c r="A462" s="2"/>
      <c r="B462" s="2"/>
      <c r="C462" s="2"/>
      <c r="D462" s="3"/>
      <c r="E462" s="2"/>
      <c r="F462" s="2"/>
      <c r="G462" s="4"/>
      <c r="H462" s="4"/>
      <c r="I462" s="4"/>
      <c r="J462" s="2"/>
    </row>
    <row r="463" spans="1:10" ht="14.25" x14ac:dyDescent="0.2">
      <c r="A463" s="2"/>
      <c r="B463" s="2"/>
      <c r="C463" s="2"/>
      <c r="D463" s="3"/>
      <c r="E463" s="2"/>
      <c r="F463" s="2"/>
      <c r="G463" s="4"/>
      <c r="H463" s="4"/>
      <c r="I463" s="4"/>
      <c r="J463" s="2"/>
    </row>
    <row r="464" spans="1:10" ht="14.25" x14ac:dyDescent="0.2">
      <c r="A464" s="2"/>
      <c r="B464" s="2"/>
      <c r="C464" s="2"/>
      <c r="D464" s="3"/>
      <c r="E464" s="2"/>
      <c r="F464" s="2"/>
      <c r="G464" s="4"/>
      <c r="H464" s="4"/>
      <c r="I464" s="4"/>
      <c r="J464" s="2"/>
    </row>
    <row r="465" spans="1:10" ht="14.25" x14ac:dyDescent="0.2">
      <c r="A465" s="2"/>
      <c r="B465" s="2"/>
      <c r="C465" s="2"/>
      <c r="D465" s="3"/>
      <c r="E465" s="2"/>
      <c r="F465" s="2"/>
      <c r="G465" s="4"/>
      <c r="H465" s="4"/>
      <c r="I465" s="4"/>
      <c r="J465" s="2"/>
    </row>
    <row r="466" spans="1:10" ht="14.25" x14ac:dyDescent="0.2">
      <c r="A466" s="2"/>
      <c r="B466" s="2"/>
      <c r="C466" s="2"/>
      <c r="D466" s="3"/>
      <c r="E466" s="2"/>
      <c r="F466" s="2"/>
      <c r="G466" s="4"/>
      <c r="H466" s="4"/>
      <c r="I466" s="4"/>
      <c r="J466" s="2"/>
    </row>
    <row r="467" spans="1:10" ht="14.25" x14ac:dyDescent="0.2">
      <c r="A467" s="2"/>
      <c r="B467" s="2"/>
      <c r="C467" s="2"/>
      <c r="D467" s="3"/>
      <c r="E467" s="2"/>
      <c r="F467" s="2"/>
      <c r="G467" s="4"/>
      <c r="H467" s="4"/>
      <c r="I467" s="4"/>
      <c r="J467" s="2"/>
    </row>
    <row r="468" spans="1:10" ht="14.25" x14ac:dyDescent="0.2">
      <c r="A468" s="2"/>
      <c r="B468" s="2"/>
      <c r="C468" s="2"/>
      <c r="D468" s="3"/>
      <c r="E468" s="2"/>
      <c r="F468" s="2"/>
      <c r="G468" s="4"/>
      <c r="H468" s="4"/>
      <c r="I468" s="4"/>
      <c r="J468" s="2"/>
    </row>
    <row r="469" spans="1:10" ht="14.25" x14ac:dyDescent="0.2">
      <c r="A469" s="2"/>
      <c r="B469" s="2"/>
      <c r="C469" s="2"/>
      <c r="D469" s="3"/>
      <c r="E469" s="2"/>
      <c r="F469" s="2"/>
      <c r="G469" s="4"/>
      <c r="H469" s="4"/>
      <c r="I469" s="4"/>
      <c r="J469" s="2"/>
    </row>
    <row r="470" spans="1:10" ht="14.25" x14ac:dyDescent="0.2">
      <c r="A470" s="2"/>
      <c r="B470" s="2"/>
      <c r="C470" s="2"/>
      <c r="D470" s="3"/>
      <c r="E470" s="2"/>
      <c r="F470" s="2"/>
      <c r="G470" s="4"/>
      <c r="H470" s="4"/>
      <c r="I470" s="4"/>
      <c r="J470" s="2"/>
    </row>
    <row r="471" spans="1:10" ht="14.25" x14ac:dyDescent="0.2">
      <c r="A471" s="2"/>
      <c r="B471" s="2"/>
      <c r="C471" s="2"/>
      <c r="D471" s="3"/>
      <c r="E471" s="2"/>
      <c r="F471" s="2"/>
      <c r="G471" s="4"/>
      <c r="H471" s="4"/>
      <c r="I471" s="4"/>
      <c r="J471" s="2"/>
    </row>
    <row r="472" spans="1:10" ht="14.25" x14ac:dyDescent="0.2">
      <c r="A472" s="2"/>
      <c r="B472" s="2"/>
      <c r="C472" s="2"/>
      <c r="D472" s="3"/>
      <c r="E472" s="2"/>
      <c r="F472" s="2"/>
      <c r="G472" s="4"/>
      <c r="H472" s="4"/>
      <c r="I472" s="4"/>
      <c r="J472" s="2"/>
    </row>
    <row r="473" spans="1:10" ht="14.25" x14ac:dyDescent="0.2">
      <c r="A473" s="2"/>
      <c r="B473" s="2"/>
      <c r="C473" s="2"/>
      <c r="D473" s="3"/>
      <c r="E473" s="2"/>
      <c r="F473" s="2"/>
      <c r="G473" s="4"/>
      <c r="H473" s="4"/>
      <c r="I473" s="4"/>
      <c r="J473" s="2"/>
    </row>
    <row r="474" spans="1:10" ht="14.25" x14ac:dyDescent="0.2">
      <c r="A474" s="2"/>
      <c r="B474" s="2"/>
      <c r="C474" s="2"/>
      <c r="D474" s="3"/>
      <c r="E474" s="2"/>
      <c r="F474" s="2"/>
      <c r="G474" s="4"/>
      <c r="H474" s="4"/>
      <c r="I474" s="4"/>
      <c r="J474" s="2"/>
    </row>
    <row r="475" spans="1:10" ht="14.25" x14ac:dyDescent="0.2">
      <c r="A475" s="2"/>
      <c r="B475" s="2"/>
      <c r="C475" s="2"/>
      <c r="D475" s="3"/>
      <c r="E475" s="2"/>
      <c r="F475" s="2"/>
      <c r="G475" s="4"/>
      <c r="H475" s="4"/>
      <c r="I475" s="4"/>
      <c r="J475" s="2"/>
    </row>
    <row r="476" spans="1:10" ht="14.25" x14ac:dyDescent="0.2">
      <c r="A476" s="2"/>
      <c r="B476" s="2"/>
      <c r="C476" s="2"/>
      <c r="D476" s="3"/>
      <c r="E476" s="2"/>
      <c r="F476" s="2"/>
      <c r="G476" s="4"/>
      <c r="H476" s="4"/>
      <c r="I476" s="4"/>
      <c r="J476" s="2"/>
    </row>
    <row r="477" spans="1:10" ht="14.25" x14ac:dyDescent="0.2">
      <c r="A477" s="2"/>
      <c r="B477" s="2"/>
      <c r="C477" s="2"/>
      <c r="D477" s="3"/>
      <c r="E477" s="2"/>
      <c r="F477" s="2"/>
      <c r="G477" s="4"/>
      <c r="H477" s="4"/>
      <c r="I477" s="4"/>
      <c r="J477" s="2"/>
    </row>
    <row r="478" spans="1:10" ht="14.25" x14ac:dyDescent="0.2">
      <c r="A478" s="2"/>
      <c r="B478" s="2"/>
      <c r="C478" s="2"/>
      <c r="D478" s="3"/>
      <c r="E478" s="2"/>
      <c r="F478" s="2"/>
      <c r="G478" s="4"/>
      <c r="H478" s="4"/>
      <c r="I478" s="4"/>
      <c r="J478" s="2"/>
    </row>
    <row r="479" spans="1:10" ht="14.25" x14ac:dyDescent="0.2">
      <c r="A479" s="2"/>
      <c r="B479" s="2"/>
      <c r="C479" s="2"/>
      <c r="D479" s="3"/>
      <c r="E479" s="2"/>
      <c r="F479" s="2"/>
      <c r="G479" s="4"/>
      <c r="H479" s="4"/>
      <c r="I479" s="4"/>
      <c r="J479" s="2"/>
    </row>
    <row r="480" spans="1:10" ht="14.25" x14ac:dyDescent="0.2">
      <c r="A480" s="2"/>
      <c r="B480" s="2"/>
      <c r="C480" s="2"/>
      <c r="D480" s="3"/>
      <c r="E480" s="2"/>
      <c r="F480" s="2"/>
      <c r="G480" s="4"/>
      <c r="H480" s="4"/>
      <c r="I480" s="4"/>
      <c r="J480" s="2"/>
    </row>
    <row r="481" spans="1:10" ht="14.25" x14ac:dyDescent="0.2">
      <c r="A481" s="2"/>
      <c r="B481" s="2"/>
      <c r="C481" s="2"/>
      <c r="D481" s="3"/>
      <c r="E481" s="2"/>
      <c r="F481" s="2"/>
      <c r="G481" s="4"/>
      <c r="H481" s="4"/>
      <c r="I481" s="4"/>
      <c r="J481" s="2"/>
    </row>
    <row r="482" spans="1:10" ht="14.25" x14ac:dyDescent="0.2">
      <c r="A482" s="2"/>
      <c r="B482" s="2"/>
      <c r="C482" s="2"/>
      <c r="D482" s="3"/>
      <c r="E482" s="2"/>
      <c r="F482" s="2"/>
      <c r="G482" s="4"/>
      <c r="H482" s="4"/>
      <c r="I482" s="4"/>
      <c r="J482" s="2"/>
    </row>
    <row r="483" spans="1:10" ht="14.25" x14ac:dyDescent="0.2">
      <c r="A483" s="2"/>
      <c r="B483" s="2"/>
      <c r="C483" s="2"/>
      <c r="D483" s="3"/>
      <c r="E483" s="2"/>
      <c r="F483" s="2"/>
      <c r="G483" s="4"/>
      <c r="H483" s="4"/>
      <c r="I483" s="4"/>
      <c r="J483" s="2"/>
    </row>
    <row r="484" spans="1:10" ht="14.25" x14ac:dyDescent="0.2">
      <c r="A484" s="2"/>
      <c r="B484" s="2"/>
      <c r="C484" s="2"/>
      <c r="D484" s="3"/>
      <c r="E484" s="2"/>
      <c r="F484" s="2"/>
      <c r="G484" s="4"/>
      <c r="H484" s="4"/>
      <c r="I484" s="4"/>
      <c r="J484" s="2"/>
    </row>
    <row r="485" spans="1:10" ht="14.25" x14ac:dyDescent="0.2">
      <c r="A485" s="2"/>
      <c r="B485" s="2"/>
      <c r="C485" s="2"/>
      <c r="D485" s="3"/>
      <c r="E485" s="2"/>
      <c r="F485" s="2"/>
      <c r="G485" s="4"/>
      <c r="H485" s="4"/>
      <c r="I485" s="4"/>
      <c r="J485" s="2"/>
    </row>
    <row r="486" spans="1:10" ht="14.25" x14ac:dyDescent="0.2">
      <c r="A486" s="2"/>
      <c r="B486" s="2"/>
      <c r="C486" s="2"/>
      <c r="D486" s="3"/>
      <c r="E486" s="2"/>
      <c r="F486" s="2"/>
      <c r="G486" s="4"/>
      <c r="H486" s="4"/>
      <c r="I486" s="4"/>
      <c r="J486" s="2"/>
    </row>
    <row r="487" spans="1:10" ht="14.25" x14ac:dyDescent="0.2">
      <c r="A487" s="2"/>
      <c r="B487" s="2"/>
      <c r="C487" s="2"/>
      <c r="D487" s="3"/>
      <c r="E487" s="2"/>
      <c r="F487" s="2"/>
      <c r="G487" s="4"/>
      <c r="H487" s="4"/>
      <c r="I487" s="4"/>
      <c r="J487" s="2"/>
    </row>
    <row r="488" spans="1:10" ht="14.25" x14ac:dyDescent="0.2">
      <c r="A488" s="2"/>
      <c r="B488" s="2"/>
      <c r="C488" s="2"/>
      <c r="D488" s="3"/>
      <c r="E488" s="2"/>
      <c r="F488" s="2"/>
      <c r="G488" s="4"/>
      <c r="H488" s="4"/>
      <c r="I488" s="4"/>
      <c r="J488" s="2"/>
    </row>
    <row r="489" spans="1:10" ht="14.25" x14ac:dyDescent="0.2">
      <c r="A489" s="2"/>
      <c r="B489" s="2"/>
      <c r="C489" s="2"/>
      <c r="D489" s="3"/>
      <c r="E489" s="2"/>
      <c r="F489" s="2"/>
      <c r="G489" s="4"/>
      <c r="H489" s="4"/>
      <c r="I489" s="4"/>
      <c r="J489" s="2"/>
    </row>
    <row r="490" spans="1:10" ht="14.25" x14ac:dyDescent="0.2">
      <c r="A490" s="2"/>
      <c r="B490" s="2"/>
      <c r="C490" s="2"/>
      <c r="D490" s="3"/>
      <c r="E490" s="2"/>
      <c r="F490" s="2"/>
      <c r="G490" s="4"/>
      <c r="H490" s="4"/>
      <c r="I490" s="4"/>
      <c r="J490" s="2"/>
    </row>
    <row r="491" spans="1:10" ht="14.25" x14ac:dyDescent="0.2">
      <c r="A491" s="2"/>
      <c r="B491" s="2"/>
      <c r="C491" s="2"/>
      <c r="D491" s="3"/>
      <c r="E491" s="2"/>
      <c r="F491" s="2"/>
      <c r="G491" s="4"/>
      <c r="H491" s="4"/>
      <c r="I491" s="4"/>
      <c r="J491" s="2"/>
    </row>
    <row r="492" spans="1:10" ht="14.25" x14ac:dyDescent="0.2">
      <c r="A492" s="2"/>
      <c r="B492" s="2"/>
      <c r="C492" s="2"/>
      <c r="D492" s="3"/>
      <c r="E492" s="2"/>
      <c r="F492" s="2"/>
      <c r="G492" s="4"/>
      <c r="H492" s="4"/>
      <c r="I492" s="4"/>
      <c r="J492" s="2"/>
    </row>
    <row r="493" spans="1:10" ht="14.25" x14ac:dyDescent="0.2">
      <c r="A493" s="2"/>
      <c r="B493" s="2"/>
      <c r="C493" s="2"/>
      <c r="D493" s="3"/>
      <c r="E493" s="2"/>
      <c r="F493" s="2"/>
      <c r="G493" s="4"/>
      <c r="H493" s="4"/>
      <c r="I493" s="4"/>
      <c r="J493" s="2"/>
    </row>
    <row r="494" spans="1:10" ht="14.25" x14ac:dyDescent="0.2">
      <c r="A494" s="2"/>
      <c r="B494" s="2"/>
      <c r="C494" s="2"/>
      <c r="D494" s="3"/>
      <c r="E494" s="2"/>
      <c r="F494" s="2"/>
      <c r="G494" s="4"/>
      <c r="H494" s="4"/>
      <c r="I494" s="4"/>
      <c r="J494" s="2"/>
    </row>
    <row r="495" spans="1:10" ht="14.25" x14ac:dyDescent="0.2">
      <c r="A495" s="2"/>
      <c r="B495" s="2"/>
      <c r="C495" s="2"/>
      <c r="D495" s="3"/>
      <c r="E495" s="2"/>
      <c r="F495" s="2"/>
      <c r="G495" s="4"/>
      <c r="H495" s="4"/>
      <c r="I495" s="4"/>
      <c r="J495" s="2"/>
    </row>
    <row r="496" spans="1:10" ht="14.25" x14ac:dyDescent="0.2">
      <c r="A496" s="2"/>
      <c r="B496" s="2"/>
      <c r="C496" s="2"/>
      <c r="D496" s="3"/>
      <c r="E496" s="2"/>
      <c r="F496" s="2"/>
      <c r="G496" s="4"/>
      <c r="H496" s="4"/>
      <c r="I496" s="4"/>
      <c r="J496" s="2"/>
    </row>
    <row r="497" spans="1:10" ht="14.25" x14ac:dyDescent="0.2">
      <c r="A497" s="2"/>
      <c r="B497" s="2"/>
      <c r="C497" s="2"/>
      <c r="D497" s="3"/>
      <c r="E497" s="2"/>
      <c r="F497" s="2"/>
      <c r="G497" s="4"/>
      <c r="H497" s="4"/>
      <c r="I497" s="4"/>
      <c r="J497" s="2"/>
    </row>
    <row r="498" spans="1:10" ht="14.25" x14ac:dyDescent="0.2">
      <c r="A498" s="2"/>
      <c r="B498" s="2"/>
      <c r="C498" s="2"/>
      <c r="D498" s="3"/>
      <c r="E498" s="2"/>
      <c r="F498" s="2"/>
      <c r="G498" s="4"/>
      <c r="H498" s="4"/>
      <c r="I498" s="4"/>
      <c r="J498" s="2"/>
    </row>
    <row r="499" spans="1:10" ht="14.25" x14ac:dyDescent="0.2">
      <c r="A499" s="2"/>
      <c r="B499" s="2"/>
      <c r="C499" s="2"/>
      <c r="D499" s="3"/>
      <c r="E499" s="2"/>
      <c r="F499" s="2"/>
      <c r="G499" s="4"/>
      <c r="H499" s="4"/>
      <c r="I499" s="4"/>
      <c r="J499" s="2"/>
    </row>
    <row r="500" spans="1:10" ht="14.25" x14ac:dyDescent="0.2">
      <c r="A500" s="2"/>
      <c r="B500" s="2"/>
      <c r="C500" s="2"/>
      <c r="D500" s="3"/>
      <c r="E500" s="2"/>
      <c r="F500" s="2"/>
      <c r="G500" s="4"/>
      <c r="H500" s="4"/>
      <c r="I500" s="4"/>
      <c r="J500" s="2"/>
    </row>
    <row r="501" spans="1:10" ht="14.25" x14ac:dyDescent="0.2">
      <c r="A501" s="2"/>
      <c r="B501" s="2"/>
      <c r="C501" s="2"/>
      <c r="D501" s="3"/>
      <c r="E501" s="2"/>
      <c r="F501" s="2"/>
      <c r="G501" s="4"/>
      <c r="H501" s="4"/>
      <c r="I501" s="4"/>
      <c r="J501" s="2"/>
    </row>
    <row r="502" spans="1:10" ht="14.25" x14ac:dyDescent="0.2">
      <c r="A502" s="2"/>
      <c r="B502" s="2"/>
      <c r="C502" s="2"/>
      <c r="D502" s="3"/>
      <c r="E502" s="2"/>
      <c r="F502" s="2"/>
      <c r="G502" s="4"/>
      <c r="H502" s="4"/>
      <c r="I502" s="4"/>
      <c r="J502" s="2"/>
    </row>
    <row r="503" spans="1:10" ht="14.25" x14ac:dyDescent="0.2">
      <c r="A503" s="2"/>
      <c r="B503" s="2"/>
      <c r="C503" s="2"/>
      <c r="D503" s="3"/>
      <c r="E503" s="2"/>
      <c r="F503" s="2"/>
      <c r="G503" s="4"/>
      <c r="H503" s="4"/>
      <c r="I503" s="4"/>
      <c r="J503" s="2"/>
    </row>
    <row r="504" spans="1:10" ht="14.25" x14ac:dyDescent="0.2">
      <c r="A504" s="2"/>
      <c r="B504" s="2"/>
      <c r="C504" s="2"/>
      <c r="D504" s="3"/>
      <c r="E504" s="2"/>
      <c r="F504" s="2"/>
      <c r="G504" s="4"/>
      <c r="H504" s="4"/>
      <c r="I504" s="4"/>
      <c r="J504" s="2"/>
    </row>
  </sheetData>
  <sheetProtection sheet="1" selectLockedCells="1" selectUnlockedCells="1"/>
  <autoFilter ref="A4:J504" xr:uid="{00000000-0009-0000-0000-000000000000}"/>
  <mergeCells count="2">
    <mergeCell ref="A1:J1"/>
    <mergeCell ref="A2:J2"/>
  </mergeCells>
  <pageMargins left="0.25" right="0.25" top="0.45" bottom="0.45" header="0.2" footer="0.2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04"/>
  <sheetViews>
    <sheetView showGridLines="0" rightToLeft="1" topLeftCell="L1" workbookViewId="0">
      <pane ySplit="4" topLeftCell="L5" activePane="bottomLeft" state="frozen"/>
      <selection activeCell="L1" sqref="L1"/>
      <selection pane="bottomLeft"/>
    </sheetView>
  </sheetViews>
  <sheetFormatPr defaultRowHeight="13.5" x14ac:dyDescent="0.15"/>
  <cols>
    <col min="1" max="1" width="13.97265625" customWidth="1"/>
    <col min="2" max="2" width="24.02734375" customWidth="1"/>
    <col min="3" max="3" width="12.01171875" customWidth="1"/>
    <col min="4" max="4" width="8.94921875" customWidth="1"/>
    <col min="5" max="5" width="12.01171875" customWidth="1"/>
    <col min="6" max="7" width="13.97265625" customWidth="1"/>
    <col min="8" max="11" width="18.01953125" customWidth="1"/>
    <col min="12" max="12" width="15.93359375" customWidth="1"/>
    <col min="13" max="14" width="18.01953125" customWidth="1"/>
  </cols>
  <sheetData>
    <row r="1" spans="1:14" ht="27.9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4.25" x14ac:dyDescent="0.2">
      <c r="A2" s="19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ht="27.75" x14ac:dyDescent="0.2">
      <c r="A4" s="1" t="s">
        <v>2</v>
      </c>
      <c r="B4" s="1" t="s">
        <v>3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</row>
    <row r="5" spans="1:14" ht="14.25" x14ac:dyDescent="0.15">
      <c r="A5" s="5" t="str">
        <f>IF('بيانات الموظفين'!A5="","",'بيانات الموظفين'!A5)</f>
        <v/>
      </c>
      <c r="B5" s="5" t="str">
        <f>IF(A5="","",'بيانات الموظفين'!B5)</f>
        <v/>
      </c>
      <c r="C5" s="6" t="s">
        <v>25</v>
      </c>
      <c r="D5" s="6">
        <v>2026</v>
      </c>
      <c r="E5" s="6">
        <v>30</v>
      </c>
      <c r="F5" s="7"/>
      <c r="G5" s="7"/>
      <c r="H5" s="8" t="str">
        <f>IF(A5="","",(('بيانات الموظفين'!G5+'بيانات الموظفين'!H5)/30)*MIN(30,MAX(0,E5))+F5+G5)</f>
        <v/>
      </c>
      <c r="I5" s="8" t="str">
        <f>IF(A5="","",MIN(16700,MAX(2700,'بيانات الموظفين'!I5))*11%)</f>
        <v/>
      </c>
      <c r="J5" s="8" t="str">
        <f>IF(A5="","",MAX(0,ROUNDDOWN(H5*12-I5*12-20000,-1)))</f>
        <v/>
      </c>
      <c r="K5" s="8" t="str">
        <f>IF(A5="","",MAX(0,(IF(J5&lt;=40000,0,IF(J5&lt;=60000,(J5-40000)*10%,IF(J5&lt;=70000,2000+(J5-60000)*15%,IF(J5&lt;=200000,3500+(J5-70000)*20%,IF(J5&lt;=400000,29500+(J5-200000)*22.5%,IF(J5&lt;=1000000,74500+(J5-400000)*25%,224500+(J5-1000000)*27.5%)))))))/12))</f>
        <v/>
      </c>
      <c r="L5" s="8" t="str">
        <f>IF(A5="","",IF('كشف التوقيع والملخص'!$B$3="نعم",MAX(0,H5-10000)*0.003,0))</f>
        <v/>
      </c>
      <c r="M5" s="8" t="str">
        <f>IF(A5="","",I5+K5+L5)</f>
        <v/>
      </c>
      <c r="N5" s="8" t="str">
        <f>IF(A5="","",H5-M5)</f>
        <v/>
      </c>
    </row>
    <row r="6" spans="1:14" ht="14.25" x14ac:dyDescent="0.15">
      <c r="A6" s="5" t="str">
        <f>IF('بيانات الموظفين'!A6="","",'بيانات الموظفين'!A6)</f>
        <v/>
      </c>
      <c r="B6" s="5" t="str">
        <f>IF(A6="","",'بيانات الموظفين'!B6)</f>
        <v/>
      </c>
      <c r="C6" s="6" t="s">
        <v>25</v>
      </c>
      <c r="D6" s="6">
        <v>2026</v>
      </c>
      <c r="E6" s="6">
        <v>30</v>
      </c>
      <c r="F6" s="7"/>
      <c r="G6" s="7"/>
      <c r="H6" s="8" t="str">
        <f>IF(A6="","",(('بيانات الموظفين'!G6+'بيانات الموظفين'!H6)/30)*MIN(30,MAX(0,E6))+F6+G6)</f>
        <v/>
      </c>
      <c r="I6" s="8" t="str">
        <f>IF(A6="","",MIN(16700,MAX(2700,'بيانات الموظفين'!I6))*11%)</f>
        <v/>
      </c>
      <c r="J6" s="8" t="str">
        <f>IF(A6="","",MAX(0,ROUNDDOWN(H6*12-I6*12-20000,-1)))</f>
        <v/>
      </c>
      <c r="K6" s="8" t="str">
        <f>IF(A6="","",MAX(0,(IF(J6&lt;=40000,0,IF(J6&lt;=60000,(J6-40000)*10%,IF(J6&lt;=70000,2000+(J6-60000)*15%,IF(J6&lt;=200000,3500+(J6-70000)*20%,IF(J6&lt;=400000,29500+(J6-200000)*22.5%,IF(J6&lt;=1000000,74500+(J6-400000)*25%,224500+(J6-1000000)*27.5%)))))))/12))</f>
        <v/>
      </c>
      <c r="L6" s="8" t="str">
        <f>IF(A6="","",IF('كشف التوقيع والملخص'!$B$3="نعم",MAX(0,H6-10000)*0.003,0))</f>
        <v/>
      </c>
      <c r="M6" s="8" t="str">
        <f>IF(A6="","",I6+K6+L6)</f>
        <v/>
      </c>
      <c r="N6" s="8" t="str">
        <f>IF(A6="","",H6-M6)</f>
        <v/>
      </c>
    </row>
    <row r="7" spans="1:14" ht="14.25" x14ac:dyDescent="0.15">
      <c r="A7" s="5" t="str">
        <f>IF('بيانات الموظفين'!A7="","",'بيانات الموظفين'!A7)</f>
        <v/>
      </c>
      <c r="B7" s="5" t="str">
        <f>IF(A7="","",'بيانات الموظفين'!B7)</f>
        <v/>
      </c>
      <c r="C7" s="6" t="s">
        <v>25</v>
      </c>
      <c r="D7" s="6">
        <v>2026</v>
      </c>
      <c r="E7" s="6">
        <v>30</v>
      </c>
      <c r="F7" s="7"/>
      <c r="G7" s="7"/>
      <c r="H7" s="8" t="str">
        <f>IF(A7="","",(('بيانات الموظفين'!G7+'بيانات الموظفين'!H7)/30)*MIN(30,MAX(0,E7))+F7+G7)</f>
        <v/>
      </c>
      <c r="I7" s="8" t="str">
        <f>IF(A7="","",MIN(16700,MAX(2700,'بيانات الموظفين'!I7))*11%)</f>
        <v/>
      </c>
      <c r="J7" s="8" t="str">
        <f>IF(A7="","",MAX(0,ROUNDDOWN(H7*12-I7*12-20000,-1)))</f>
        <v/>
      </c>
      <c r="K7" s="8" t="str">
        <f>IF(A7="","",MAX(0,(IF(J7&lt;=40000,0,IF(J7&lt;=60000,(J7-40000)*10%,IF(J7&lt;=70000,2000+(J7-60000)*15%,IF(J7&lt;=200000,3500+(J7-70000)*20%,IF(J7&lt;=400000,29500+(J7-200000)*22.5%,IF(J7&lt;=1000000,74500+(J7-400000)*25%,224500+(J7-1000000)*27.5%)))))))/12))</f>
        <v/>
      </c>
      <c r="L7" s="8" t="str">
        <f>IF(A7="","",IF('كشف التوقيع والملخص'!$B$3="نعم",MAX(0,H7-10000)*0.003,0))</f>
        <v/>
      </c>
      <c r="M7" s="8" t="str">
        <f>IF(A7="","",I7+K7+L7)</f>
        <v/>
      </c>
      <c r="N7" s="8" t="str">
        <f>IF(A7="","",H7-M7)</f>
        <v/>
      </c>
    </row>
    <row r="8" spans="1:14" ht="14.25" x14ac:dyDescent="0.15">
      <c r="A8" s="5" t="str">
        <f>IF('بيانات الموظفين'!A8="","",'بيانات الموظفين'!A8)</f>
        <v/>
      </c>
      <c r="B8" s="5" t="str">
        <f>IF(A8="","",'بيانات الموظفين'!B8)</f>
        <v/>
      </c>
      <c r="C8" s="6" t="s">
        <v>25</v>
      </c>
      <c r="D8" s="6">
        <v>2026</v>
      </c>
      <c r="E8" s="6">
        <v>30</v>
      </c>
      <c r="F8" s="7"/>
      <c r="G8" s="7"/>
      <c r="H8" s="8" t="str">
        <f>IF(A8="","",(('بيانات الموظفين'!G8+'بيانات الموظفين'!H8)/30)*MIN(30,MAX(0,E8))+F8+G8)</f>
        <v/>
      </c>
      <c r="I8" s="8" t="str">
        <f>IF(A8="","",MIN(16700,MAX(2700,'بيانات الموظفين'!I8))*11%)</f>
        <v/>
      </c>
      <c r="J8" s="8" t="str">
        <f>IF(A8="","",MAX(0,ROUNDDOWN(H8*12-I8*12-20000,-1)))</f>
        <v/>
      </c>
      <c r="K8" s="8" t="str">
        <f>IF(A8="","",MAX(0,(IF(J8&lt;=40000,0,IF(J8&lt;=60000,(J8-40000)*10%,IF(J8&lt;=70000,2000+(J8-60000)*15%,IF(J8&lt;=200000,3500+(J8-70000)*20%,IF(J8&lt;=400000,29500+(J8-200000)*22.5%,IF(J8&lt;=1000000,74500+(J8-400000)*25%,224500+(J8-1000000)*27.5%)))))))/12))</f>
        <v/>
      </c>
      <c r="L8" s="8" t="str">
        <f>IF(A8="","",IF('كشف التوقيع والملخص'!$B$3="نعم",MAX(0,H8-10000)*0.003,0))</f>
        <v/>
      </c>
      <c r="M8" s="8" t="str">
        <f>IF(A8="","",I8+K8+L8)</f>
        <v/>
      </c>
      <c r="N8" s="8" t="str">
        <f>IF(A8="","",H8-M8)</f>
        <v/>
      </c>
    </row>
    <row r="9" spans="1:14" ht="14.25" x14ac:dyDescent="0.15">
      <c r="A9" s="5" t="str">
        <f>IF('بيانات الموظفين'!A9="","",'بيانات الموظفين'!A9)</f>
        <v/>
      </c>
      <c r="B9" s="5" t="str">
        <f>IF(A9="","",'بيانات الموظفين'!B9)</f>
        <v/>
      </c>
      <c r="C9" s="6" t="s">
        <v>25</v>
      </c>
      <c r="D9" s="6">
        <v>2026</v>
      </c>
      <c r="E9" s="6">
        <v>30</v>
      </c>
      <c r="F9" s="7"/>
      <c r="G9" s="7"/>
      <c r="H9" s="8" t="str">
        <f>IF(A9="","",(('بيانات الموظفين'!G9+'بيانات الموظفين'!H9)/30)*MIN(30,MAX(0,E9))+F9+G9)</f>
        <v/>
      </c>
      <c r="I9" s="8" t="str">
        <f>IF(A9="","",MIN(16700,MAX(2700,'بيانات الموظفين'!I9))*11%)</f>
        <v/>
      </c>
      <c r="J9" s="8" t="str">
        <f>IF(A9="","",MAX(0,ROUNDDOWN(H9*12-I9*12-20000,-1)))</f>
        <v/>
      </c>
      <c r="K9" s="8" t="str">
        <f>IF(A9="","",MAX(0,(IF(J9&lt;=40000,0,IF(J9&lt;=60000,(J9-40000)*10%,IF(J9&lt;=70000,2000+(J9-60000)*15%,IF(J9&lt;=200000,3500+(J9-70000)*20%,IF(J9&lt;=400000,29500+(J9-200000)*22.5%,IF(J9&lt;=1000000,74500+(J9-400000)*25%,224500+(J9-1000000)*27.5%)))))))/12))</f>
        <v/>
      </c>
      <c r="L9" s="8" t="str">
        <f>IF(A9="","",IF('كشف التوقيع والملخص'!$B$3="نعم",MAX(0,H9-10000)*0.003,0))</f>
        <v/>
      </c>
      <c r="M9" s="8" t="str">
        <f>IF(A9="","",I9+K9+L9)</f>
        <v/>
      </c>
      <c r="N9" s="8" t="str">
        <f>IF(A9="","",H9-M9)</f>
        <v/>
      </c>
    </row>
    <row r="10" spans="1:14" ht="14.25" x14ac:dyDescent="0.15">
      <c r="A10" s="5" t="str">
        <f>IF('بيانات الموظفين'!A10="","",'بيانات الموظفين'!A10)</f>
        <v/>
      </c>
      <c r="B10" s="5" t="str">
        <f>IF(A10="","",'بيانات الموظفين'!B10)</f>
        <v/>
      </c>
      <c r="C10" s="6" t="s">
        <v>25</v>
      </c>
      <c r="D10" s="6">
        <v>2026</v>
      </c>
      <c r="E10" s="6">
        <v>30</v>
      </c>
      <c r="F10" s="7"/>
      <c r="G10" s="7"/>
      <c r="H10" s="8" t="str">
        <f>IF(A10="","",(('بيانات الموظفين'!G10+'بيانات الموظفين'!H10)/30)*MIN(30,MAX(0,E10))+F10+G10)</f>
        <v/>
      </c>
      <c r="I10" s="8" t="str">
        <f>IF(A10="","",MIN(16700,MAX(2700,'بيانات الموظفين'!I10))*11%)</f>
        <v/>
      </c>
      <c r="J10" s="8" t="str">
        <f>IF(A10="","",MAX(0,ROUNDDOWN(H10*12-I10*12-20000,-1)))</f>
        <v/>
      </c>
      <c r="K10" s="8" t="str">
        <f>IF(A10="","",MAX(0,(IF(J10&lt;=40000,0,IF(J10&lt;=60000,(J10-40000)*10%,IF(J10&lt;=70000,2000+(J10-60000)*15%,IF(J10&lt;=200000,3500+(J10-70000)*20%,IF(J10&lt;=400000,29500+(J10-200000)*22.5%,IF(J10&lt;=1000000,74500+(J10-400000)*25%,224500+(J10-1000000)*27.5%)))))))/12))</f>
        <v/>
      </c>
      <c r="L10" s="8" t="str">
        <f>IF(A10="","",IF('كشف التوقيع والملخص'!$B$3="نعم",MAX(0,H10-10000)*0.003,0))</f>
        <v/>
      </c>
      <c r="M10" s="8" t="str">
        <f>IF(A10="","",I10+K10+L10)</f>
        <v/>
      </c>
      <c r="N10" s="8" t="str">
        <f>IF(A10="","",H10-M10)</f>
        <v/>
      </c>
    </row>
    <row r="11" spans="1:14" ht="14.25" x14ac:dyDescent="0.15">
      <c r="A11" s="5" t="str">
        <f>IF('بيانات الموظفين'!A11="","",'بيانات الموظفين'!A11)</f>
        <v/>
      </c>
      <c r="B11" s="5" t="str">
        <f>IF(A11="","",'بيانات الموظفين'!B11)</f>
        <v/>
      </c>
      <c r="C11" s="6" t="s">
        <v>25</v>
      </c>
      <c r="D11" s="6">
        <v>2026</v>
      </c>
      <c r="E11" s="6">
        <v>30</v>
      </c>
      <c r="F11" s="7"/>
      <c r="G11" s="7"/>
      <c r="H11" s="8" t="str">
        <f>IF(A11="","",(('بيانات الموظفين'!G11+'بيانات الموظفين'!H11)/30)*MIN(30,MAX(0,E11))+F11+G11)</f>
        <v/>
      </c>
      <c r="I11" s="8" t="str">
        <f>IF(A11="","",MIN(16700,MAX(2700,'بيانات الموظفين'!I11))*11%)</f>
        <v/>
      </c>
      <c r="J11" s="8" t="str">
        <f>IF(A11="","",MAX(0,ROUNDDOWN(H11*12-I11*12-20000,-1)))</f>
        <v/>
      </c>
      <c r="K11" s="8" t="str">
        <f>IF(A11="","",MAX(0,(IF(J11&lt;=40000,0,IF(J11&lt;=60000,(J11-40000)*10%,IF(J11&lt;=70000,2000+(J11-60000)*15%,IF(J11&lt;=200000,3500+(J11-70000)*20%,IF(J11&lt;=400000,29500+(J11-200000)*22.5%,IF(J11&lt;=1000000,74500+(J11-400000)*25%,224500+(J11-1000000)*27.5%)))))))/12))</f>
        <v/>
      </c>
      <c r="L11" s="8" t="str">
        <f>IF(A11="","",IF('كشف التوقيع والملخص'!$B$3="نعم",MAX(0,H11-10000)*0.003,0))</f>
        <v/>
      </c>
      <c r="M11" s="8" t="str">
        <f>IF(A11="","",I11+K11+L11)</f>
        <v/>
      </c>
      <c r="N11" s="8" t="str">
        <f>IF(A11="","",H11-M11)</f>
        <v/>
      </c>
    </row>
    <row r="12" spans="1:14" ht="14.25" x14ac:dyDescent="0.15">
      <c r="A12" s="5" t="str">
        <f>IF('بيانات الموظفين'!A12="","",'بيانات الموظفين'!A12)</f>
        <v/>
      </c>
      <c r="B12" s="5" t="str">
        <f>IF(A12="","",'بيانات الموظفين'!B12)</f>
        <v/>
      </c>
      <c r="C12" s="6" t="s">
        <v>25</v>
      </c>
      <c r="D12" s="6">
        <v>2026</v>
      </c>
      <c r="E12" s="6">
        <v>30</v>
      </c>
      <c r="F12" s="7"/>
      <c r="G12" s="7"/>
      <c r="H12" s="8" t="str">
        <f>IF(A12="","",(('بيانات الموظفين'!G12+'بيانات الموظفين'!H12)/30)*MIN(30,MAX(0,E12))+F12+G12)</f>
        <v/>
      </c>
      <c r="I12" s="8" t="str">
        <f>IF(A12="","",MIN(16700,MAX(2700,'بيانات الموظفين'!I12))*11%)</f>
        <v/>
      </c>
      <c r="J12" s="8" t="str">
        <f>IF(A12="","",MAX(0,ROUNDDOWN(H12*12-I12*12-20000,-1)))</f>
        <v/>
      </c>
      <c r="K12" s="8" t="str">
        <f>IF(A12="","",MAX(0,(IF(J12&lt;=40000,0,IF(J12&lt;=60000,(J12-40000)*10%,IF(J12&lt;=70000,2000+(J12-60000)*15%,IF(J12&lt;=200000,3500+(J12-70000)*20%,IF(J12&lt;=400000,29500+(J12-200000)*22.5%,IF(J12&lt;=1000000,74500+(J12-400000)*25%,224500+(J12-1000000)*27.5%)))))))/12))</f>
        <v/>
      </c>
      <c r="L12" s="8" t="str">
        <f>IF(A12="","",IF('كشف التوقيع والملخص'!$B$3="نعم",MAX(0,H12-10000)*0.003,0))</f>
        <v/>
      </c>
      <c r="M12" s="8" t="str">
        <f>IF(A12="","",I12+K12+L12)</f>
        <v/>
      </c>
      <c r="N12" s="8" t="str">
        <f>IF(A12="","",H12-M12)</f>
        <v/>
      </c>
    </row>
    <row r="13" spans="1:14" ht="14.25" x14ac:dyDescent="0.15">
      <c r="A13" s="5" t="str">
        <f>IF('بيانات الموظفين'!A13="","",'بيانات الموظفين'!A13)</f>
        <v/>
      </c>
      <c r="B13" s="5" t="str">
        <f>IF(A13="","",'بيانات الموظفين'!B13)</f>
        <v/>
      </c>
      <c r="C13" s="6" t="s">
        <v>25</v>
      </c>
      <c r="D13" s="6">
        <v>2026</v>
      </c>
      <c r="E13" s="6">
        <v>30</v>
      </c>
      <c r="F13" s="7"/>
      <c r="G13" s="7"/>
      <c r="H13" s="8" t="str">
        <f>IF(A13="","",(('بيانات الموظفين'!G13+'بيانات الموظفين'!H13)/30)*MIN(30,MAX(0,E13))+F13+G13)</f>
        <v/>
      </c>
      <c r="I13" s="8" t="str">
        <f>IF(A13="","",MIN(16700,MAX(2700,'بيانات الموظفين'!I13))*11%)</f>
        <v/>
      </c>
      <c r="J13" s="8" t="str">
        <f>IF(A13="","",MAX(0,ROUNDDOWN(H13*12-I13*12-20000,-1)))</f>
        <v/>
      </c>
      <c r="K13" s="8" t="str">
        <f>IF(A13="","",MAX(0,(IF(J13&lt;=40000,0,IF(J13&lt;=60000,(J13-40000)*10%,IF(J13&lt;=70000,2000+(J13-60000)*15%,IF(J13&lt;=200000,3500+(J13-70000)*20%,IF(J13&lt;=400000,29500+(J13-200000)*22.5%,IF(J13&lt;=1000000,74500+(J13-400000)*25%,224500+(J13-1000000)*27.5%)))))))/12))</f>
        <v/>
      </c>
      <c r="L13" s="8" t="str">
        <f>IF(A13="","",IF('كشف التوقيع والملخص'!$B$3="نعم",MAX(0,H13-10000)*0.003,0))</f>
        <v/>
      </c>
      <c r="M13" s="8" t="str">
        <f>IF(A13="","",I13+K13+L13)</f>
        <v/>
      </c>
      <c r="N13" s="8" t="str">
        <f>IF(A13="","",H13-M13)</f>
        <v/>
      </c>
    </row>
    <row r="14" spans="1:14" ht="14.25" x14ac:dyDescent="0.15">
      <c r="A14" s="5" t="str">
        <f>IF('بيانات الموظفين'!A14="","",'بيانات الموظفين'!A14)</f>
        <v/>
      </c>
      <c r="B14" s="5" t="str">
        <f>IF(A14="","",'بيانات الموظفين'!B14)</f>
        <v/>
      </c>
      <c r="C14" s="6" t="s">
        <v>25</v>
      </c>
      <c r="D14" s="6">
        <v>2026</v>
      </c>
      <c r="E14" s="6">
        <v>30</v>
      </c>
      <c r="F14" s="7"/>
      <c r="G14" s="7"/>
      <c r="H14" s="8" t="str">
        <f>IF(A14="","",(('بيانات الموظفين'!G14+'بيانات الموظفين'!H14)/30)*MIN(30,MAX(0,E14))+F14+G14)</f>
        <v/>
      </c>
      <c r="I14" s="8" t="str">
        <f>IF(A14="","",MIN(16700,MAX(2700,'بيانات الموظفين'!I14))*11%)</f>
        <v/>
      </c>
      <c r="J14" s="8" t="str">
        <f>IF(A14="","",MAX(0,ROUNDDOWN(H14*12-I14*12-20000,-1)))</f>
        <v/>
      </c>
      <c r="K14" s="8" t="str">
        <f>IF(A14="","",MAX(0,(IF(J14&lt;=40000,0,IF(J14&lt;=60000,(J14-40000)*10%,IF(J14&lt;=70000,2000+(J14-60000)*15%,IF(J14&lt;=200000,3500+(J14-70000)*20%,IF(J14&lt;=400000,29500+(J14-200000)*22.5%,IF(J14&lt;=1000000,74500+(J14-400000)*25%,224500+(J14-1000000)*27.5%)))))))/12))</f>
        <v/>
      </c>
      <c r="L14" s="8" t="str">
        <f>IF(A14="","",IF('كشف التوقيع والملخص'!$B$3="نعم",MAX(0,H14-10000)*0.003,0))</f>
        <v/>
      </c>
      <c r="M14" s="8" t="str">
        <f>IF(A14="","",I14+K14+L14)</f>
        <v/>
      </c>
      <c r="N14" s="8" t="str">
        <f>IF(A14="","",H14-M14)</f>
        <v/>
      </c>
    </row>
    <row r="15" spans="1:14" ht="14.25" x14ac:dyDescent="0.15">
      <c r="A15" s="5" t="str">
        <f>IF('بيانات الموظفين'!A15="","",'بيانات الموظفين'!A15)</f>
        <v/>
      </c>
      <c r="B15" s="5" t="str">
        <f>IF(A15="","",'بيانات الموظفين'!B15)</f>
        <v/>
      </c>
      <c r="C15" s="6" t="s">
        <v>25</v>
      </c>
      <c r="D15" s="6">
        <v>2026</v>
      </c>
      <c r="E15" s="6">
        <v>30</v>
      </c>
      <c r="F15" s="7"/>
      <c r="G15" s="7"/>
      <c r="H15" s="8" t="str">
        <f>IF(A15="","",(('بيانات الموظفين'!G15+'بيانات الموظفين'!H15)/30)*MIN(30,MAX(0,E15))+F15+G15)</f>
        <v/>
      </c>
      <c r="I15" s="8" t="str">
        <f>IF(A15="","",MIN(16700,MAX(2700,'بيانات الموظفين'!I15))*11%)</f>
        <v/>
      </c>
      <c r="J15" s="8" t="str">
        <f>IF(A15="","",MAX(0,ROUNDDOWN(H15*12-I15*12-20000,-1)))</f>
        <v/>
      </c>
      <c r="K15" s="8" t="str">
        <f>IF(A15="","",MAX(0,(IF(J15&lt;=40000,0,IF(J15&lt;=60000,(J15-40000)*10%,IF(J15&lt;=70000,2000+(J15-60000)*15%,IF(J15&lt;=200000,3500+(J15-70000)*20%,IF(J15&lt;=400000,29500+(J15-200000)*22.5%,IF(J15&lt;=1000000,74500+(J15-400000)*25%,224500+(J15-1000000)*27.5%)))))))/12))</f>
        <v/>
      </c>
      <c r="L15" s="8" t="str">
        <f>IF(A15="","",IF('كشف التوقيع والملخص'!$B$3="نعم",MAX(0,H15-10000)*0.003,0))</f>
        <v/>
      </c>
      <c r="M15" s="8" t="str">
        <f>IF(A15="","",I15+K15+L15)</f>
        <v/>
      </c>
      <c r="N15" s="8" t="str">
        <f>IF(A15="","",H15-M15)</f>
        <v/>
      </c>
    </row>
    <row r="16" spans="1:14" ht="14.25" x14ac:dyDescent="0.15">
      <c r="A16" s="5" t="str">
        <f>IF('بيانات الموظفين'!A16="","",'بيانات الموظفين'!A16)</f>
        <v/>
      </c>
      <c r="B16" s="5" t="str">
        <f>IF(A16="","",'بيانات الموظفين'!B16)</f>
        <v/>
      </c>
      <c r="C16" s="6" t="s">
        <v>25</v>
      </c>
      <c r="D16" s="6">
        <v>2026</v>
      </c>
      <c r="E16" s="6">
        <v>30</v>
      </c>
      <c r="F16" s="7"/>
      <c r="G16" s="7"/>
      <c r="H16" s="8" t="str">
        <f>IF(A16="","",(('بيانات الموظفين'!G16+'بيانات الموظفين'!H16)/30)*MIN(30,MAX(0,E16))+F16+G16)</f>
        <v/>
      </c>
      <c r="I16" s="8" t="str">
        <f>IF(A16="","",MIN(16700,MAX(2700,'بيانات الموظفين'!I16))*11%)</f>
        <v/>
      </c>
      <c r="J16" s="8" t="str">
        <f>IF(A16="","",MAX(0,ROUNDDOWN(H16*12-I16*12-20000,-1)))</f>
        <v/>
      </c>
      <c r="K16" s="8" t="str">
        <f>IF(A16="","",MAX(0,(IF(J16&lt;=40000,0,IF(J16&lt;=60000,(J16-40000)*10%,IF(J16&lt;=70000,2000+(J16-60000)*15%,IF(J16&lt;=200000,3500+(J16-70000)*20%,IF(J16&lt;=400000,29500+(J16-200000)*22.5%,IF(J16&lt;=1000000,74500+(J16-400000)*25%,224500+(J16-1000000)*27.5%)))))))/12))</f>
        <v/>
      </c>
      <c r="L16" s="8" t="str">
        <f>IF(A16="","",IF('كشف التوقيع والملخص'!$B$3="نعم",MAX(0,H16-10000)*0.003,0))</f>
        <v/>
      </c>
      <c r="M16" s="8" t="str">
        <f>IF(A16="","",I16+K16+L16)</f>
        <v/>
      </c>
      <c r="N16" s="8" t="str">
        <f>IF(A16="","",H16-M16)</f>
        <v/>
      </c>
    </row>
    <row r="17" spans="1:14" ht="14.25" x14ac:dyDescent="0.15">
      <c r="A17" s="5" t="str">
        <f>IF('بيانات الموظفين'!A17="","",'بيانات الموظفين'!A17)</f>
        <v/>
      </c>
      <c r="B17" s="5" t="str">
        <f>IF(A17="","",'بيانات الموظفين'!B17)</f>
        <v/>
      </c>
      <c r="C17" s="6" t="s">
        <v>25</v>
      </c>
      <c r="D17" s="6">
        <v>2026</v>
      </c>
      <c r="E17" s="6">
        <v>30</v>
      </c>
      <c r="F17" s="7"/>
      <c r="G17" s="7"/>
      <c r="H17" s="8" t="str">
        <f>IF(A17="","",(('بيانات الموظفين'!G17+'بيانات الموظفين'!H17)/30)*MIN(30,MAX(0,E17))+F17+G17)</f>
        <v/>
      </c>
      <c r="I17" s="8" t="str">
        <f>IF(A17="","",MIN(16700,MAX(2700,'بيانات الموظفين'!I17))*11%)</f>
        <v/>
      </c>
      <c r="J17" s="8" t="str">
        <f>IF(A17="","",MAX(0,ROUNDDOWN(H17*12-I17*12-20000,-1)))</f>
        <v/>
      </c>
      <c r="K17" s="8" t="str">
        <f>IF(A17="","",MAX(0,(IF(J17&lt;=40000,0,IF(J17&lt;=60000,(J17-40000)*10%,IF(J17&lt;=70000,2000+(J17-60000)*15%,IF(J17&lt;=200000,3500+(J17-70000)*20%,IF(J17&lt;=400000,29500+(J17-200000)*22.5%,IF(J17&lt;=1000000,74500+(J17-400000)*25%,224500+(J17-1000000)*27.5%)))))))/12))</f>
        <v/>
      </c>
      <c r="L17" s="8" t="str">
        <f>IF(A17="","",IF('كشف التوقيع والملخص'!$B$3="نعم",MAX(0,H17-10000)*0.003,0))</f>
        <v/>
      </c>
      <c r="M17" s="8" t="str">
        <f>IF(A17="","",I17+K17+L17)</f>
        <v/>
      </c>
      <c r="N17" s="8" t="str">
        <f>IF(A17="","",H17-M17)</f>
        <v/>
      </c>
    </row>
    <row r="18" spans="1:14" ht="14.25" x14ac:dyDescent="0.15">
      <c r="A18" s="5" t="str">
        <f>IF('بيانات الموظفين'!A18="","",'بيانات الموظفين'!A18)</f>
        <v/>
      </c>
      <c r="B18" s="5" t="str">
        <f>IF(A18="","",'بيانات الموظفين'!B18)</f>
        <v/>
      </c>
      <c r="C18" s="6" t="s">
        <v>25</v>
      </c>
      <c r="D18" s="6">
        <v>2026</v>
      </c>
      <c r="E18" s="6">
        <v>30</v>
      </c>
      <c r="F18" s="7"/>
      <c r="G18" s="7"/>
      <c r="H18" s="8" t="str">
        <f>IF(A18="","",(('بيانات الموظفين'!G18+'بيانات الموظفين'!H18)/30)*MIN(30,MAX(0,E18))+F18+G18)</f>
        <v/>
      </c>
      <c r="I18" s="8" t="str">
        <f>IF(A18="","",MIN(16700,MAX(2700,'بيانات الموظفين'!I18))*11%)</f>
        <v/>
      </c>
      <c r="J18" s="8" t="str">
        <f>IF(A18="","",MAX(0,ROUNDDOWN(H18*12-I18*12-20000,-1)))</f>
        <v/>
      </c>
      <c r="K18" s="8" t="str">
        <f>IF(A18="","",MAX(0,(IF(J18&lt;=40000,0,IF(J18&lt;=60000,(J18-40000)*10%,IF(J18&lt;=70000,2000+(J18-60000)*15%,IF(J18&lt;=200000,3500+(J18-70000)*20%,IF(J18&lt;=400000,29500+(J18-200000)*22.5%,IF(J18&lt;=1000000,74500+(J18-400000)*25%,224500+(J18-1000000)*27.5%)))))))/12))</f>
        <v/>
      </c>
      <c r="L18" s="8" t="str">
        <f>IF(A18="","",IF('كشف التوقيع والملخص'!$B$3="نعم",MAX(0,H18-10000)*0.003,0))</f>
        <v/>
      </c>
      <c r="M18" s="8" t="str">
        <f>IF(A18="","",I18+K18+L18)</f>
        <v/>
      </c>
      <c r="N18" s="8" t="str">
        <f>IF(A18="","",H18-M18)</f>
        <v/>
      </c>
    </row>
    <row r="19" spans="1:14" ht="14.25" x14ac:dyDescent="0.15">
      <c r="A19" s="5" t="str">
        <f>IF('بيانات الموظفين'!A19="","",'بيانات الموظفين'!A19)</f>
        <v/>
      </c>
      <c r="B19" s="5" t="str">
        <f>IF(A19="","",'بيانات الموظفين'!B19)</f>
        <v/>
      </c>
      <c r="C19" s="6" t="s">
        <v>25</v>
      </c>
      <c r="D19" s="6">
        <v>2026</v>
      </c>
      <c r="E19" s="6">
        <v>30</v>
      </c>
      <c r="F19" s="7"/>
      <c r="G19" s="7"/>
      <c r="H19" s="8" t="str">
        <f>IF(A19="","",(('بيانات الموظفين'!G19+'بيانات الموظفين'!H19)/30)*MIN(30,MAX(0,E19))+F19+G19)</f>
        <v/>
      </c>
      <c r="I19" s="8" t="str">
        <f>IF(A19="","",MIN(16700,MAX(2700,'بيانات الموظفين'!I19))*11%)</f>
        <v/>
      </c>
      <c r="J19" s="8" t="str">
        <f>IF(A19="","",MAX(0,ROUNDDOWN(H19*12-I19*12-20000,-1)))</f>
        <v/>
      </c>
      <c r="K19" s="8" t="str">
        <f>IF(A19="","",MAX(0,(IF(J19&lt;=40000,0,IF(J19&lt;=60000,(J19-40000)*10%,IF(J19&lt;=70000,2000+(J19-60000)*15%,IF(J19&lt;=200000,3500+(J19-70000)*20%,IF(J19&lt;=400000,29500+(J19-200000)*22.5%,IF(J19&lt;=1000000,74500+(J19-400000)*25%,224500+(J19-1000000)*27.5%)))))))/12))</f>
        <v/>
      </c>
      <c r="L19" s="8" t="str">
        <f>IF(A19="","",IF('كشف التوقيع والملخص'!$B$3="نعم",MAX(0,H19-10000)*0.003,0))</f>
        <v/>
      </c>
      <c r="M19" s="8" t="str">
        <f>IF(A19="","",I19+K19+L19)</f>
        <v/>
      </c>
      <c r="N19" s="8" t="str">
        <f>IF(A19="","",H19-M19)</f>
        <v/>
      </c>
    </row>
    <row r="20" spans="1:14" ht="14.25" x14ac:dyDescent="0.15">
      <c r="A20" s="5" t="str">
        <f>IF('بيانات الموظفين'!A20="","",'بيانات الموظفين'!A20)</f>
        <v/>
      </c>
      <c r="B20" s="5" t="str">
        <f>IF(A20="","",'بيانات الموظفين'!B20)</f>
        <v/>
      </c>
      <c r="C20" s="6" t="s">
        <v>25</v>
      </c>
      <c r="D20" s="6">
        <v>2026</v>
      </c>
      <c r="E20" s="6">
        <v>30</v>
      </c>
      <c r="F20" s="7"/>
      <c r="G20" s="7"/>
      <c r="H20" s="8" t="str">
        <f>IF(A20="","",(('بيانات الموظفين'!G20+'بيانات الموظفين'!H20)/30)*MIN(30,MAX(0,E20))+F20+G20)</f>
        <v/>
      </c>
      <c r="I20" s="8" t="str">
        <f>IF(A20="","",MIN(16700,MAX(2700,'بيانات الموظفين'!I20))*11%)</f>
        <v/>
      </c>
      <c r="J20" s="8" t="str">
        <f>IF(A20="","",MAX(0,ROUNDDOWN(H20*12-I20*12-20000,-1)))</f>
        <v/>
      </c>
      <c r="K20" s="8" t="str">
        <f>IF(A20="","",MAX(0,(IF(J20&lt;=40000,0,IF(J20&lt;=60000,(J20-40000)*10%,IF(J20&lt;=70000,2000+(J20-60000)*15%,IF(J20&lt;=200000,3500+(J20-70000)*20%,IF(J20&lt;=400000,29500+(J20-200000)*22.5%,IF(J20&lt;=1000000,74500+(J20-400000)*25%,224500+(J20-1000000)*27.5%)))))))/12))</f>
        <v/>
      </c>
      <c r="L20" s="8" t="str">
        <f>IF(A20="","",IF('كشف التوقيع والملخص'!$B$3="نعم",MAX(0,H20-10000)*0.003,0))</f>
        <v/>
      </c>
      <c r="M20" s="8" t="str">
        <f>IF(A20="","",I20+K20+L20)</f>
        <v/>
      </c>
      <c r="N20" s="8" t="str">
        <f>IF(A20="","",H20-M20)</f>
        <v/>
      </c>
    </row>
    <row r="21" spans="1:14" ht="14.25" x14ac:dyDescent="0.15">
      <c r="A21" s="5" t="str">
        <f>IF('بيانات الموظفين'!A21="","",'بيانات الموظفين'!A21)</f>
        <v/>
      </c>
      <c r="B21" s="5" t="str">
        <f>IF(A21="","",'بيانات الموظفين'!B21)</f>
        <v/>
      </c>
      <c r="C21" s="6" t="s">
        <v>25</v>
      </c>
      <c r="D21" s="6">
        <v>2026</v>
      </c>
      <c r="E21" s="6">
        <v>30</v>
      </c>
      <c r="F21" s="7"/>
      <c r="G21" s="7"/>
      <c r="H21" s="8" t="str">
        <f>IF(A21="","",(('بيانات الموظفين'!G21+'بيانات الموظفين'!H21)/30)*MIN(30,MAX(0,E21))+F21+G21)</f>
        <v/>
      </c>
      <c r="I21" s="8" t="str">
        <f>IF(A21="","",MIN(16700,MAX(2700,'بيانات الموظفين'!I21))*11%)</f>
        <v/>
      </c>
      <c r="J21" s="8" t="str">
        <f>IF(A21="","",MAX(0,ROUNDDOWN(H21*12-I21*12-20000,-1)))</f>
        <v/>
      </c>
      <c r="K21" s="8" t="str">
        <f>IF(A21="","",MAX(0,(IF(J21&lt;=40000,0,IF(J21&lt;=60000,(J21-40000)*10%,IF(J21&lt;=70000,2000+(J21-60000)*15%,IF(J21&lt;=200000,3500+(J21-70000)*20%,IF(J21&lt;=400000,29500+(J21-200000)*22.5%,IF(J21&lt;=1000000,74500+(J21-400000)*25%,224500+(J21-1000000)*27.5%)))))))/12))</f>
        <v/>
      </c>
      <c r="L21" s="8" t="str">
        <f>IF(A21="","",IF('كشف التوقيع والملخص'!$B$3="نعم",MAX(0,H21-10000)*0.003,0))</f>
        <v/>
      </c>
      <c r="M21" s="8" t="str">
        <f>IF(A21="","",I21+K21+L21)</f>
        <v/>
      </c>
      <c r="N21" s="8" t="str">
        <f>IF(A21="","",H21-M21)</f>
        <v/>
      </c>
    </row>
    <row r="22" spans="1:14" ht="14.25" x14ac:dyDescent="0.15">
      <c r="A22" s="5" t="str">
        <f>IF('بيانات الموظفين'!A22="","",'بيانات الموظفين'!A22)</f>
        <v/>
      </c>
      <c r="B22" s="5" t="str">
        <f>IF(A22="","",'بيانات الموظفين'!B22)</f>
        <v/>
      </c>
      <c r="C22" s="6" t="s">
        <v>25</v>
      </c>
      <c r="D22" s="6">
        <v>2026</v>
      </c>
      <c r="E22" s="6">
        <v>30</v>
      </c>
      <c r="F22" s="7"/>
      <c r="G22" s="7"/>
      <c r="H22" s="8" t="str">
        <f>IF(A22="","",(('بيانات الموظفين'!G22+'بيانات الموظفين'!H22)/30)*MIN(30,MAX(0,E22))+F22+G22)</f>
        <v/>
      </c>
      <c r="I22" s="8" t="str">
        <f>IF(A22="","",MIN(16700,MAX(2700,'بيانات الموظفين'!I22))*11%)</f>
        <v/>
      </c>
      <c r="J22" s="8" t="str">
        <f>IF(A22="","",MAX(0,ROUNDDOWN(H22*12-I22*12-20000,-1)))</f>
        <v/>
      </c>
      <c r="K22" s="8" t="str">
        <f>IF(A22="","",MAX(0,(IF(J22&lt;=40000,0,IF(J22&lt;=60000,(J22-40000)*10%,IF(J22&lt;=70000,2000+(J22-60000)*15%,IF(J22&lt;=200000,3500+(J22-70000)*20%,IF(J22&lt;=400000,29500+(J22-200000)*22.5%,IF(J22&lt;=1000000,74500+(J22-400000)*25%,224500+(J22-1000000)*27.5%)))))))/12))</f>
        <v/>
      </c>
      <c r="L22" s="8" t="str">
        <f>IF(A22="","",IF('كشف التوقيع والملخص'!$B$3="نعم",MAX(0,H22-10000)*0.003,0))</f>
        <v/>
      </c>
      <c r="M22" s="8" t="str">
        <f>IF(A22="","",I22+K22+L22)</f>
        <v/>
      </c>
      <c r="N22" s="8" t="str">
        <f>IF(A22="","",H22-M22)</f>
        <v/>
      </c>
    </row>
    <row r="23" spans="1:14" ht="14.25" x14ac:dyDescent="0.15">
      <c r="A23" s="5" t="str">
        <f>IF('بيانات الموظفين'!A23="","",'بيانات الموظفين'!A23)</f>
        <v/>
      </c>
      <c r="B23" s="5" t="str">
        <f>IF(A23="","",'بيانات الموظفين'!B23)</f>
        <v/>
      </c>
      <c r="C23" s="6" t="s">
        <v>25</v>
      </c>
      <c r="D23" s="6">
        <v>2026</v>
      </c>
      <c r="E23" s="6">
        <v>30</v>
      </c>
      <c r="F23" s="7"/>
      <c r="G23" s="7"/>
      <c r="H23" s="8" t="str">
        <f>IF(A23="","",(('بيانات الموظفين'!G23+'بيانات الموظفين'!H23)/30)*MIN(30,MAX(0,E23))+F23+G23)</f>
        <v/>
      </c>
      <c r="I23" s="8" t="str">
        <f>IF(A23="","",MIN(16700,MAX(2700,'بيانات الموظفين'!I23))*11%)</f>
        <v/>
      </c>
      <c r="J23" s="8" t="str">
        <f>IF(A23="","",MAX(0,ROUNDDOWN(H23*12-I23*12-20000,-1)))</f>
        <v/>
      </c>
      <c r="K23" s="8" t="str">
        <f>IF(A23="","",MAX(0,(IF(J23&lt;=40000,0,IF(J23&lt;=60000,(J23-40000)*10%,IF(J23&lt;=70000,2000+(J23-60000)*15%,IF(J23&lt;=200000,3500+(J23-70000)*20%,IF(J23&lt;=400000,29500+(J23-200000)*22.5%,IF(J23&lt;=1000000,74500+(J23-400000)*25%,224500+(J23-1000000)*27.5%)))))))/12))</f>
        <v/>
      </c>
      <c r="L23" s="8" t="str">
        <f>IF(A23="","",IF('كشف التوقيع والملخص'!$B$3="نعم",MAX(0,H23-10000)*0.003,0))</f>
        <v/>
      </c>
      <c r="M23" s="8" t="str">
        <f>IF(A23="","",I23+K23+L23)</f>
        <v/>
      </c>
      <c r="N23" s="8" t="str">
        <f>IF(A23="","",H23-M23)</f>
        <v/>
      </c>
    </row>
    <row r="24" spans="1:14" ht="14.25" x14ac:dyDescent="0.15">
      <c r="A24" s="5" t="str">
        <f>IF('بيانات الموظفين'!A24="","",'بيانات الموظفين'!A24)</f>
        <v/>
      </c>
      <c r="B24" s="5" t="str">
        <f>IF(A24="","",'بيانات الموظفين'!B24)</f>
        <v/>
      </c>
      <c r="C24" s="6" t="s">
        <v>25</v>
      </c>
      <c r="D24" s="6">
        <v>2026</v>
      </c>
      <c r="E24" s="6">
        <v>30</v>
      </c>
      <c r="F24" s="7"/>
      <c r="G24" s="7"/>
      <c r="H24" s="8" t="str">
        <f>IF(A24="","",(('بيانات الموظفين'!G24+'بيانات الموظفين'!H24)/30)*MIN(30,MAX(0,E24))+F24+G24)</f>
        <v/>
      </c>
      <c r="I24" s="8" t="str">
        <f>IF(A24="","",MIN(16700,MAX(2700,'بيانات الموظفين'!I24))*11%)</f>
        <v/>
      </c>
      <c r="J24" s="8" t="str">
        <f>IF(A24="","",MAX(0,ROUNDDOWN(H24*12-I24*12-20000,-1)))</f>
        <v/>
      </c>
      <c r="K24" s="8" t="str">
        <f>IF(A24="","",MAX(0,(IF(J24&lt;=40000,0,IF(J24&lt;=60000,(J24-40000)*10%,IF(J24&lt;=70000,2000+(J24-60000)*15%,IF(J24&lt;=200000,3500+(J24-70000)*20%,IF(J24&lt;=400000,29500+(J24-200000)*22.5%,IF(J24&lt;=1000000,74500+(J24-400000)*25%,224500+(J24-1000000)*27.5%)))))))/12))</f>
        <v/>
      </c>
      <c r="L24" s="8" t="str">
        <f>IF(A24="","",IF('كشف التوقيع والملخص'!$B$3="نعم",MAX(0,H24-10000)*0.003,0))</f>
        <v/>
      </c>
      <c r="M24" s="8" t="str">
        <f>IF(A24="","",I24+K24+L24)</f>
        <v/>
      </c>
      <c r="N24" s="8" t="str">
        <f>IF(A24="","",H24-M24)</f>
        <v/>
      </c>
    </row>
    <row r="25" spans="1:14" ht="14.25" x14ac:dyDescent="0.15">
      <c r="A25" s="5" t="str">
        <f>IF('بيانات الموظفين'!A25="","",'بيانات الموظفين'!A25)</f>
        <v/>
      </c>
      <c r="B25" s="5" t="str">
        <f>IF(A25="","",'بيانات الموظفين'!B25)</f>
        <v/>
      </c>
      <c r="C25" s="6" t="s">
        <v>25</v>
      </c>
      <c r="D25" s="6">
        <v>2026</v>
      </c>
      <c r="E25" s="6">
        <v>30</v>
      </c>
      <c r="F25" s="7"/>
      <c r="G25" s="7"/>
      <c r="H25" s="8" t="str">
        <f>IF(A25="","",(('بيانات الموظفين'!G25+'بيانات الموظفين'!H25)/30)*MIN(30,MAX(0,E25))+F25+G25)</f>
        <v/>
      </c>
      <c r="I25" s="8" t="str">
        <f>IF(A25="","",MIN(16700,MAX(2700,'بيانات الموظفين'!I25))*11%)</f>
        <v/>
      </c>
      <c r="J25" s="8" t="str">
        <f>IF(A25="","",MAX(0,ROUNDDOWN(H25*12-I25*12-20000,-1)))</f>
        <v/>
      </c>
      <c r="K25" s="8" t="str">
        <f>IF(A25="","",MAX(0,(IF(J25&lt;=40000,0,IF(J25&lt;=60000,(J25-40000)*10%,IF(J25&lt;=70000,2000+(J25-60000)*15%,IF(J25&lt;=200000,3500+(J25-70000)*20%,IF(J25&lt;=400000,29500+(J25-200000)*22.5%,IF(J25&lt;=1000000,74500+(J25-400000)*25%,224500+(J25-1000000)*27.5%)))))))/12))</f>
        <v/>
      </c>
      <c r="L25" s="8" t="str">
        <f>IF(A25="","",IF('كشف التوقيع والملخص'!$B$3="نعم",MAX(0,H25-10000)*0.003,0))</f>
        <v/>
      </c>
      <c r="M25" s="8" t="str">
        <f>IF(A25="","",I25+K25+L25)</f>
        <v/>
      </c>
      <c r="N25" s="8" t="str">
        <f>IF(A25="","",H25-M25)</f>
        <v/>
      </c>
    </row>
    <row r="26" spans="1:14" ht="14.25" x14ac:dyDescent="0.15">
      <c r="A26" s="5" t="str">
        <f>IF('بيانات الموظفين'!A26="","",'بيانات الموظفين'!A26)</f>
        <v/>
      </c>
      <c r="B26" s="5" t="str">
        <f>IF(A26="","",'بيانات الموظفين'!B26)</f>
        <v/>
      </c>
      <c r="C26" s="6" t="s">
        <v>25</v>
      </c>
      <c r="D26" s="6">
        <v>2026</v>
      </c>
      <c r="E26" s="6">
        <v>30</v>
      </c>
      <c r="F26" s="7"/>
      <c r="G26" s="7"/>
      <c r="H26" s="8" t="str">
        <f>IF(A26="","",(('بيانات الموظفين'!G26+'بيانات الموظفين'!H26)/30)*MIN(30,MAX(0,E26))+F26+G26)</f>
        <v/>
      </c>
      <c r="I26" s="8" t="str">
        <f>IF(A26="","",MIN(16700,MAX(2700,'بيانات الموظفين'!I26))*11%)</f>
        <v/>
      </c>
      <c r="J26" s="8" t="str">
        <f>IF(A26="","",MAX(0,ROUNDDOWN(H26*12-I26*12-20000,-1)))</f>
        <v/>
      </c>
      <c r="K26" s="8" t="str">
        <f>IF(A26="","",MAX(0,(IF(J26&lt;=40000,0,IF(J26&lt;=60000,(J26-40000)*10%,IF(J26&lt;=70000,2000+(J26-60000)*15%,IF(J26&lt;=200000,3500+(J26-70000)*20%,IF(J26&lt;=400000,29500+(J26-200000)*22.5%,IF(J26&lt;=1000000,74500+(J26-400000)*25%,224500+(J26-1000000)*27.5%)))))))/12))</f>
        <v/>
      </c>
      <c r="L26" s="8" t="str">
        <f>IF(A26="","",IF('كشف التوقيع والملخص'!$B$3="نعم",MAX(0,H26-10000)*0.003,0))</f>
        <v/>
      </c>
      <c r="M26" s="8" t="str">
        <f>IF(A26="","",I26+K26+L26)</f>
        <v/>
      </c>
      <c r="N26" s="8" t="str">
        <f>IF(A26="","",H26-M26)</f>
        <v/>
      </c>
    </row>
    <row r="27" spans="1:14" ht="14.25" x14ac:dyDescent="0.15">
      <c r="A27" s="5" t="str">
        <f>IF('بيانات الموظفين'!A27="","",'بيانات الموظفين'!A27)</f>
        <v/>
      </c>
      <c r="B27" s="5" t="str">
        <f>IF(A27="","",'بيانات الموظفين'!B27)</f>
        <v/>
      </c>
      <c r="C27" s="6" t="s">
        <v>25</v>
      </c>
      <c r="D27" s="6">
        <v>2026</v>
      </c>
      <c r="E27" s="6">
        <v>30</v>
      </c>
      <c r="F27" s="7"/>
      <c r="G27" s="7"/>
      <c r="H27" s="8" t="str">
        <f>IF(A27="","",(('بيانات الموظفين'!G27+'بيانات الموظفين'!H27)/30)*MIN(30,MAX(0,E27))+F27+G27)</f>
        <v/>
      </c>
      <c r="I27" s="8" t="str">
        <f>IF(A27="","",MIN(16700,MAX(2700,'بيانات الموظفين'!I27))*11%)</f>
        <v/>
      </c>
      <c r="J27" s="8" t="str">
        <f>IF(A27="","",MAX(0,ROUNDDOWN(H27*12-I27*12-20000,-1)))</f>
        <v/>
      </c>
      <c r="K27" s="8" t="str">
        <f>IF(A27="","",MAX(0,(IF(J27&lt;=40000,0,IF(J27&lt;=60000,(J27-40000)*10%,IF(J27&lt;=70000,2000+(J27-60000)*15%,IF(J27&lt;=200000,3500+(J27-70000)*20%,IF(J27&lt;=400000,29500+(J27-200000)*22.5%,IF(J27&lt;=1000000,74500+(J27-400000)*25%,224500+(J27-1000000)*27.5%)))))))/12))</f>
        <v/>
      </c>
      <c r="L27" s="8" t="str">
        <f>IF(A27="","",IF('كشف التوقيع والملخص'!$B$3="نعم",MAX(0,H27-10000)*0.003,0))</f>
        <v/>
      </c>
      <c r="M27" s="8" t="str">
        <f>IF(A27="","",I27+K27+L27)</f>
        <v/>
      </c>
      <c r="N27" s="8" t="str">
        <f>IF(A27="","",H27-M27)</f>
        <v/>
      </c>
    </row>
    <row r="28" spans="1:14" ht="14.25" x14ac:dyDescent="0.15">
      <c r="A28" s="5" t="str">
        <f>IF('بيانات الموظفين'!A28="","",'بيانات الموظفين'!A28)</f>
        <v/>
      </c>
      <c r="B28" s="5" t="str">
        <f>IF(A28="","",'بيانات الموظفين'!B28)</f>
        <v/>
      </c>
      <c r="C28" s="6" t="s">
        <v>25</v>
      </c>
      <c r="D28" s="6">
        <v>2026</v>
      </c>
      <c r="E28" s="6">
        <v>30</v>
      </c>
      <c r="F28" s="7"/>
      <c r="G28" s="7"/>
      <c r="H28" s="8" t="str">
        <f>IF(A28="","",(('بيانات الموظفين'!G28+'بيانات الموظفين'!H28)/30)*MIN(30,MAX(0,E28))+F28+G28)</f>
        <v/>
      </c>
      <c r="I28" s="8" t="str">
        <f>IF(A28="","",MIN(16700,MAX(2700,'بيانات الموظفين'!I28))*11%)</f>
        <v/>
      </c>
      <c r="J28" s="8" t="str">
        <f>IF(A28="","",MAX(0,ROUNDDOWN(H28*12-I28*12-20000,-1)))</f>
        <v/>
      </c>
      <c r="K28" s="8" t="str">
        <f>IF(A28="","",MAX(0,(IF(J28&lt;=40000,0,IF(J28&lt;=60000,(J28-40000)*10%,IF(J28&lt;=70000,2000+(J28-60000)*15%,IF(J28&lt;=200000,3500+(J28-70000)*20%,IF(J28&lt;=400000,29500+(J28-200000)*22.5%,IF(J28&lt;=1000000,74500+(J28-400000)*25%,224500+(J28-1000000)*27.5%)))))))/12))</f>
        <v/>
      </c>
      <c r="L28" s="8" t="str">
        <f>IF(A28="","",IF('كشف التوقيع والملخص'!$B$3="نعم",MAX(0,H28-10000)*0.003,0))</f>
        <v/>
      </c>
      <c r="M28" s="8" t="str">
        <f>IF(A28="","",I28+K28+L28)</f>
        <v/>
      </c>
      <c r="N28" s="8" t="str">
        <f>IF(A28="","",H28-M28)</f>
        <v/>
      </c>
    </row>
    <row r="29" spans="1:14" ht="14.25" x14ac:dyDescent="0.15">
      <c r="A29" s="5" t="str">
        <f>IF('بيانات الموظفين'!A29="","",'بيانات الموظفين'!A29)</f>
        <v/>
      </c>
      <c r="B29" s="5" t="str">
        <f>IF(A29="","",'بيانات الموظفين'!B29)</f>
        <v/>
      </c>
      <c r="C29" s="6" t="s">
        <v>25</v>
      </c>
      <c r="D29" s="6">
        <v>2026</v>
      </c>
      <c r="E29" s="6">
        <v>30</v>
      </c>
      <c r="F29" s="7"/>
      <c r="G29" s="7"/>
      <c r="H29" s="8" t="str">
        <f>IF(A29="","",(('بيانات الموظفين'!G29+'بيانات الموظفين'!H29)/30)*MIN(30,MAX(0,E29))+F29+G29)</f>
        <v/>
      </c>
      <c r="I29" s="8" t="str">
        <f>IF(A29="","",MIN(16700,MAX(2700,'بيانات الموظفين'!I29))*11%)</f>
        <v/>
      </c>
      <c r="J29" s="8" t="str">
        <f>IF(A29="","",MAX(0,ROUNDDOWN(H29*12-I29*12-20000,-1)))</f>
        <v/>
      </c>
      <c r="K29" s="8" t="str">
        <f>IF(A29="","",MAX(0,(IF(J29&lt;=40000,0,IF(J29&lt;=60000,(J29-40000)*10%,IF(J29&lt;=70000,2000+(J29-60000)*15%,IF(J29&lt;=200000,3500+(J29-70000)*20%,IF(J29&lt;=400000,29500+(J29-200000)*22.5%,IF(J29&lt;=1000000,74500+(J29-400000)*25%,224500+(J29-1000000)*27.5%)))))))/12))</f>
        <v/>
      </c>
      <c r="L29" s="8" t="str">
        <f>IF(A29="","",IF('كشف التوقيع والملخص'!$B$3="نعم",MAX(0,H29-10000)*0.003,0))</f>
        <v/>
      </c>
      <c r="M29" s="8" t="str">
        <f>IF(A29="","",I29+K29+L29)</f>
        <v/>
      </c>
      <c r="N29" s="8" t="str">
        <f>IF(A29="","",H29-M29)</f>
        <v/>
      </c>
    </row>
    <row r="30" spans="1:14" ht="14.25" x14ac:dyDescent="0.15">
      <c r="A30" s="5" t="str">
        <f>IF('بيانات الموظفين'!A30="","",'بيانات الموظفين'!A30)</f>
        <v/>
      </c>
      <c r="B30" s="5" t="str">
        <f>IF(A30="","",'بيانات الموظفين'!B30)</f>
        <v/>
      </c>
      <c r="C30" s="6" t="s">
        <v>25</v>
      </c>
      <c r="D30" s="6">
        <v>2026</v>
      </c>
      <c r="E30" s="6">
        <v>30</v>
      </c>
      <c r="F30" s="7"/>
      <c r="G30" s="7"/>
      <c r="H30" s="8" t="str">
        <f>IF(A30="","",(('بيانات الموظفين'!G30+'بيانات الموظفين'!H30)/30)*MIN(30,MAX(0,E30))+F30+G30)</f>
        <v/>
      </c>
      <c r="I30" s="8" t="str">
        <f>IF(A30="","",MIN(16700,MAX(2700,'بيانات الموظفين'!I30))*11%)</f>
        <v/>
      </c>
      <c r="J30" s="8" t="str">
        <f>IF(A30="","",MAX(0,ROUNDDOWN(H30*12-I30*12-20000,-1)))</f>
        <v/>
      </c>
      <c r="K30" s="8" t="str">
        <f>IF(A30="","",MAX(0,(IF(J30&lt;=40000,0,IF(J30&lt;=60000,(J30-40000)*10%,IF(J30&lt;=70000,2000+(J30-60000)*15%,IF(J30&lt;=200000,3500+(J30-70000)*20%,IF(J30&lt;=400000,29500+(J30-200000)*22.5%,IF(J30&lt;=1000000,74500+(J30-400000)*25%,224500+(J30-1000000)*27.5%)))))))/12))</f>
        <v/>
      </c>
      <c r="L30" s="8" t="str">
        <f>IF(A30="","",IF('كشف التوقيع والملخص'!$B$3="نعم",MAX(0,H30-10000)*0.003,0))</f>
        <v/>
      </c>
      <c r="M30" s="8" t="str">
        <f>IF(A30="","",I30+K30+L30)</f>
        <v/>
      </c>
      <c r="N30" s="8" t="str">
        <f>IF(A30="","",H30-M30)</f>
        <v/>
      </c>
    </row>
    <row r="31" spans="1:14" ht="14.25" x14ac:dyDescent="0.15">
      <c r="A31" s="5" t="str">
        <f>IF('بيانات الموظفين'!A31="","",'بيانات الموظفين'!A31)</f>
        <v/>
      </c>
      <c r="B31" s="5" t="str">
        <f>IF(A31="","",'بيانات الموظفين'!B31)</f>
        <v/>
      </c>
      <c r="C31" s="6" t="s">
        <v>25</v>
      </c>
      <c r="D31" s="6">
        <v>2026</v>
      </c>
      <c r="E31" s="6">
        <v>30</v>
      </c>
      <c r="F31" s="7"/>
      <c r="G31" s="7"/>
      <c r="H31" s="8" t="str">
        <f>IF(A31="","",(('بيانات الموظفين'!G31+'بيانات الموظفين'!H31)/30)*MIN(30,MAX(0,E31))+F31+G31)</f>
        <v/>
      </c>
      <c r="I31" s="8" t="str">
        <f>IF(A31="","",MIN(16700,MAX(2700,'بيانات الموظفين'!I31))*11%)</f>
        <v/>
      </c>
      <c r="J31" s="8" t="str">
        <f>IF(A31="","",MAX(0,ROUNDDOWN(H31*12-I31*12-20000,-1)))</f>
        <v/>
      </c>
      <c r="K31" s="8" t="str">
        <f>IF(A31="","",MAX(0,(IF(J31&lt;=40000,0,IF(J31&lt;=60000,(J31-40000)*10%,IF(J31&lt;=70000,2000+(J31-60000)*15%,IF(J31&lt;=200000,3500+(J31-70000)*20%,IF(J31&lt;=400000,29500+(J31-200000)*22.5%,IF(J31&lt;=1000000,74500+(J31-400000)*25%,224500+(J31-1000000)*27.5%)))))))/12))</f>
        <v/>
      </c>
      <c r="L31" s="8" t="str">
        <f>IF(A31="","",IF('كشف التوقيع والملخص'!$B$3="نعم",MAX(0,H31-10000)*0.003,0))</f>
        <v/>
      </c>
      <c r="M31" s="8" t="str">
        <f>IF(A31="","",I31+K31+L31)</f>
        <v/>
      </c>
      <c r="N31" s="8" t="str">
        <f>IF(A31="","",H31-M31)</f>
        <v/>
      </c>
    </row>
    <row r="32" spans="1:14" ht="14.25" x14ac:dyDescent="0.15">
      <c r="A32" s="5" t="str">
        <f>IF('بيانات الموظفين'!A32="","",'بيانات الموظفين'!A32)</f>
        <v/>
      </c>
      <c r="B32" s="5" t="str">
        <f>IF(A32="","",'بيانات الموظفين'!B32)</f>
        <v/>
      </c>
      <c r="C32" s="6" t="s">
        <v>25</v>
      </c>
      <c r="D32" s="6">
        <v>2026</v>
      </c>
      <c r="E32" s="6">
        <v>30</v>
      </c>
      <c r="F32" s="7"/>
      <c r="G32" s="7"/>
      <c r="H32" s="8" t="str">
        <f>IF(A32="","",(('بيانات الموظفين'!G32+'بيانات الموظفين'!H32)/30)*MIN(30,MAX(0,E32))+F32+G32)</f>
        <v/>
      </c>
      <c r="I32" s="8" t="str">
        <f>IF(A32="","",MIN(16700,MAX(2700,'بيانات الموظفين'!I32))*11%)</f>
        <v/>
      </c>
      <c r="J32" s="8" t="str">
        <f>IF(A32="","",MAX(0,ROUNDDOWN(H32*12-I32*12-20000,-1)))</f>
        <v/>
      </c>
      <c r="K32" s="8" t="str">
        <f>IF(A32="","",MAX(0,(IF(J32&lt;=40000,0,IF(J32&lt;=60000,(J32-40000)*10%,IF(J32&lt;=70000,2000+(J32-60000)*15%,IF(J32&lt;=200000,3500+(J32-70000)*20%,IF(J32&lt;=400000,29500+(J32-200000)*22.5%,IF(J32&lt;=1000000,74500+(J32-400000)*25%,224500+(J32-1000000)*27.5%)))))))/12))</f>
        <v/>
      </c>
      <c r="L32" s="8" t="str">
        <f>IF(A32="","",IF('كشف التوقيع والملخص'!$B$3="نعم",MAX(0,H32-10000)*0.003,0))</f>
        <v/>
      </c>
      <c r="M32" s="8" t="str">
        <f>IF(A32="","",I32+K32+L32)</f>
        <v/>
      </c>
      <c r="N32" s="8" t="str">
        <f>IF(A32="","",H32-M32)</f>
        <v/>
      </c>
    </row>
    <row r="33" spans="1:14" ht="14.25" x14ac:dyDescent="0.15">
      <c r="A33" s="5" t="str">
        <f>IF('بيانات الموظفين'!A33="","",'بيانات الموظفين'!A33)</f>
        <v/>
      </c>
      <c r="B33" s="5" t="str">
        <f>IF(A33="","",'بيانات الموظفين'!B33)</f>
        <v/>
      </c>
      <c r="C33" s="6" t="s">
        <v>25</v>
      </c>
      <c r="D33" s="6">
        <v>2026</v>
      </c>
      <c r="E33" s="6">
        <v>30</v>
      </c>
      <c r="F33" s="7"/>
      <c r="G33" s="7"/>
      <c r="H33" s="8" t="str">
        <f>IF(A33="","",(('بيانات الموظفين'!G33+'بيانات الموظفين'!H33)/30)*MIN(30,MAX(0,E33))+F33+G33)</f>
        <v/>
      </c>
      <c r="I33" s="8" t="str">
        <f>IF(A33="","",MIN(16700,MAX(2700,'بيانات الموظفين'!I33))*11%)</f>
        <v/>
      </c>
      <c r="J33" s="8" t="str">
        <f>IF(A33="","",MAX(0,ROUNDDOWN(H33*12-I33*12-20000,-1)))</f>
        <v/>
      </c>
      <c r="K33" s="8" t="str">
        <f>IF(A33="","",MAX(0,(IF(J33&lt;=40000,0,IF(J33&lt;=60000,(J33-40000)*10%,IF(J33&lt;=70000,2000+(J33-60000)*15%,IF(J33&lt;=200000,3500+(J33-70000)*20%,IF(J33&lt;=400000,29500+(J33-200000)*22.5%,IF(J33&lt;=1000000,74500+(J33-400000)*25%,224500+(J33-1000000)*27.5%)))))))/12))</f>
        <v/>
      </c>
      <c r="L33" s="8" t="str">
        <f>IF(A33="","",IF('كشف التوقيع والملخص'!$B$3="نعم",MAX(0,H33-10000)*0.003,0))</f>
        <v/>
      </c>
      <c r="M33" s="8" t="str">
        <f>IF(A33="","",I33+K33+L33)</f>
        <v/>
      </c>
      <c r="N33" s="8" t="str">
        <f>IF(A33="","",H33-M33)</f>
        <v/>
      </c>
    </row>
    <row r="34" spans="1:14" ht="14.25" x14ac:dyDescent="0.15">
      <c r="A34" s="5" t="str">
        <f>IF('بيانات الموظفين'!A34="","",'بيانات الموظفين'!A34)</f>
        <v/>
      </c>
      <c r="B34" s="5" t="str">
        <f>IF(A34="","",'بيانات الموظفين'!B34)</f>
        <v/>
      </c>
      <c r="C34" s="6" t="s">
        <v>25</v>
      </c>
      <c r="D34" s="6">
        <v>2026</v>
      </c>
      <c r="E34" s="6">
        <v>30</v>
      </c>
      <c r="F34" s="7"/>
      <c r="G34" s="7"/>
      <c r="H34" s="8" t="str">
        <f>IF(A34="","",(('بيانات الموظفين'!G34+'بيانات الموظفين'!H34)/30)*MIN(30,MAX(0,E34))+F34+G34)</f>
        <v/>
      </c>
      <c r="I34" s="8" t="str">
        <f>IF(A34="","",MIN(16700,MAX(2700,'بيانات الموظفين'!I34))*11%)</f>
        <v/>
      </c>
      <c r="J34" s="8" t="str">
        <f>IF(A34="","",MAX(0,ROUNDDOWN(H34*12-I34*12-20000,-1)))</f>
        <v/>
      </c>
      <c r="K34" s="8" t="str">
        <f>IF(A34="","",MAX(0,(IF(J34&lt;=40000,0,IF(J34&lt;=60000,(J34-40000)*10%,IF(J34&lt;=70000,2000+(J34-60000)*15%,IF(J34&lt;=200000,3500+(J34-70000)*20%,IF(J34&lt;=400000,29500+(J34-200000)*22.5%,IF(J34&lt;=1000000,74500+(J34-400000)*25%,224500+(J34-1000000)*27.5%)))))))/12))</f>
        <v/>
      </c>
      <c r="L34" s="8" t="str">
        <f>IF(A34="","",IF('كشف التوقيع والملخص'!$B$3="نعم",MAX(0,H34-10000)*0.003,0))</f>
        <v/>
      </c>
      <c r="M34" s="8" t="str">
        <f>IF(A34="","",I34+K34+L34)</f>
        <v/>
      </c>
      <c r="N34" s="8" t="str">
        <f>IF(A34="","",H34-M34)</f>
        <v/>
      </c>
    </row>
    <row r="35" spans="1:14" ht="14.25" x14ac:dyDescent="0.15">
      <c r="A35" s="5" t="str">
        <f>IF('بيانات الموظفين'!A35="","",'بيانات الموظفين'!A35)</f>
        <v/>
      </c>
      <c r="B35" s="5" t="str">
        <f>IF(A35="","",'بيانات الموظفين'!B35)</f>
        <v/>
      </c>
      <c r="C35" s="6" t="s">
        <v>25</v>
      </c>
      <c r="D35" s="6">
        <v>2026</v>
      </c>
      <c r="E35" s="6">
        <v>30</v>
      </c>
      <c r="F35" s="7"/>
      <c r="G35" s="7"/>
      <c r="H35" s="8" t="str">
        <f>IF(A35="","",(('بيانات الموظفين'!G35+'بيانات الموظفين'!H35)/30)*MIN(30,MAX(0,E35))+F35+G35)</f>
        <v/>
      </c>
      <c r="I35" s="8" t="str">
        <f>IF(A35="","",MIN(16700,MAX(2700,'بيانات الموظفين'!I35))*11%)</f>
        <v/>
      </c>
      <c r="J35" s="8" t="str">
        <f>IF(A35="","",MAX(0,ROUNDDOWN(H35*12-I35*12-20000,-1)))</f>
        <v/>
      </c>
      <c r="K35" s="8" t="str">
        <f>IF(A35="","",MAX(0,(IF(J35&lt;=40000,0,IF(J35&lt;=60000,(J35-40000)*10%,IF(J35&lt;=70000,2000+(J35-60000)*15%,IF(J35&lt;=200000,3500+(J35-70000)*20%,IF(J35&lt;=400000,29500+(J35-200000)*22.5%,IF(J35&lt;=1000000,74500+(J35-400000)*25%,224500+(J35-1000000)*27.5%)))))))/12))</f>
        <v/>
      </c>
      <c r="L35" s="8" t="str">
        <f>IF(A35="","",IF('كشف التوقيع والملخص'!$B$3="نعم",MAX(0,H35-10000)*0.003,0))</f>
        <v/>
      </c>
      <c r="M35" s="8" t="str">
        <f>IF(A35="","",I35+K35+L35)</f>
        <v/>
      </c>
      <c r="N35" s="8" t="str">
        <f>IF(A35="","",H35-M35)</f>
        <v/>
      </c>
    </row>
    <row r="36" spans="1:14" ht="14.25" x14ac:dyDescent="0.15">
      <c r="A36" s="5" t="str">
        <f>IF('بيانات الموظفين'!A36="","",'بيانات الموظفين'!A36)</f>
        <v/>
      </c>
      <c r="B36" s="5" t="str">
        <f>IF(A36="","",'بيانات الموظفين'!B36)</f>
        <v/>
      </c>
      <c r="C36" s="6" t="s">
        <v>25</v>
      </c>
      <c r="D36" s="6">
        <v>2026</v>
      </c>
      <c r="E36" s="6">
        <v>30</v>
      </c>
      <c r="F36" s="7"/>
      <c r="G36" s="7"/>
      <c r="H36" s="8" t="str">
        <f>IF(A36="","",(('بيانات الموظفين'!G36+'بيانات الموظفين'!H36)/30)*MIN(30,MAX(0,E36))+F36+G36)</f>
        <v/>
      </c>
      <c r="I36" s="8" t="str">
        <f>IF(A36="","",MIN(16700,MAX(2700,'بيانات الموظفين'!I36))*11%)</f>
        <v/>
      </c>
      <c r="J36" s="8" t="str">
        <f>IF(A36="","",MAX(0,ROUNDDOWN(H36*12-I36*12-20000,-1)))</f>
        <v/>
      </c>
      <c r="K36" s="8" t="str">
        <f>IF(A36="","",MAX(0,(IF(J36&lt;=40000,0,IF(J36&lt;=60000,(J36-40000)*10%,IF(J36&lt;=70000,2000+(J36-60000)*15%,IF(J36&lt;=200000,3500+(J36-70000)*20%,IF(J36&lt;=400000,29500+(J36-200000)*22.5%,IF(J36&lt;=1000000,74500+(J36-400000)*25%,224500+(J36-1000000)*27.5%)))))))/12))</f>
        <v/>
      </c>
      <c r="L36" s="8" t="str">
        <f>IF(A36="","",IF('كشف التوقيع والملخص'!$B$3="نعم",MAX(0,H36-10000)*0.003,0))</f>
        <v/>
      </c>
      <c r="M36" s="8" t="str">
        <f>IF(A36="","",I36+K36+L36)</f>
        <v/>
      </c>
      <c r="N36" s="8" t="str">
        <f>IF(A36="","",H36-M36)</f>
        <v/>
      </c>
    </row>
    <row r="37" spans="1:14" ht="14.25" x14ac:dyDescent="0.15">
      <c r="A37" s="5" t="str">
        <f>IF('بيانات الموظفين'!A37="","",'بيانات الموظفين'!A37)</f>
        <v/>
      </c>
      <c r="B37" s="5" t="str">
        <f>IF(A37="","",'بيانات الموظفين'!B37)</f>
        <v/>
      </c>
      <c r="C37" s="6" t="s">
        <v>25</v>
      </c>
      <c r="D37" s="6">
        <v>2026</v>
      </c>
      <c r="E37" s="6">
        <v>30</v>
      </c>
      <c r="F37" s="7"/>
      <c r="G37" s="7"/>
      <c r="H37" s="8" t="str">
        <f>IF(A37="","",(('بيانات الموظفين'!G37+'بيانات الموظفين'!H37)/30)*MIN(30,MAX(0,E37))+F37+G37)</f>
        <v/>
      </c>
      <c r="I37" s="8" t="str">
        <f>IF(A37="","",MIN(16700,MAX(2700,'بيانات الموظفين'!I37))*11%)</f>
        <v/>
      </c>
      <c r="J37" s="8" t="str">
        <f>IF(A37="","",MAX(0,ROUNDDOWN(H37*12-I37*12-20000,-1)))</f>
        <v/>
      </c>
      <c r="K37" s="8" t="str">
        <f>IF(A37="","",MAX(0,(IF(J37&lt;=40000,0,IF(J37&lt;=60000,(J37-40000)*10%,IF(J37&lt;=70000,2000+(J37-60000)*15%,IF(J37&lt;=200000,3500+(J37-70000)*20%,IF(J37&lt;=400000,29500+(J37-200000)*22.5%,IF(J37&lt;=1000000,74500+(J37-400000)*25%,224500+(J37-1000000)*27.5%)))))))/12))</f>
        <v/>
      </c>
      <c r="L37" s="8" t="str">
        <f>IF(A37="","",IF('كشف التوقيع والملخص'!$B$3="نعم",MAX(0,H37-10000)*0.003,0))</f>
        <v/>
      </c>
      <c r="M37" s="8" t="str">
        <f>IF(A37="","",I37+K37+L37)</f>
        <v/>
      </c>
      <c r="N37" s="8" t="str">
        <f>IF(A37="","",H37-M37)</f>
        <v/>
      </c>
    </row>
    <row r="38" spans="1:14" ht="14.25" x14ac:dyDescent="0.15">
      <c r="A38" s="5" t="str">
        <f>IF('بيانات الموظفين'!A38="","",'بيانات الموظفين'!A38)</f>
        <v/>
      </c>
      <c r="B38" s="5" t="str">
        <f>IF(A38="","",'بيانات الموظفين'!B38)</f>
        <v/>
      </c>
      <c r="C38" s="6" t="s">
        <v>25</v>
      </c>
      <c r="D38" s="6">
        <v>2026</v>
      </c>
      <c r="E38" s="6">
        <v>30</v>
      </c>
      <c r="F38" s="7"/>
      <c r="G38" s="7"/>
      <c r="H38" s="8" t="str">
        <f>IF(A38="","",(('بيانات الموظفين'!G38+'بيانات الموظفين'!H38)/30)*MIN(30,MAX(0,E38))+F38+G38)</f>
        <v/>
      </c>
      <c r="I38" s="8" t="str">
        <f>IF(A38="","",MIN(16700,MAX(2700,'بيانات الموظفين'!I38))*11%)</f>
        <v/>
      </c>
      <c r="J38" s="8" t="str">
        <f>IF(A38="","",MAX(0,ROUNDDOWN(H38*12-I38*12-20000,-1)))</f>
        <v/>
      </c>
      <c r="K38" s="8" t="str">
        <f>IF(A38="","",MAX(0,(IF(J38&lt;=40000,0,IF(J38&lt;=60000,(J38-40000)*10%,IF(J38&lt;=70000,2000+(J38-60000)*15%,IF(J38&lt;=200000,3500+(J38-70000)*20%,IF(J38&lt;=400000,29500+(J38-200000)*22.5%,IF(J38&lt;=1000000,74500+(J38-400000)*25%,224500+(J38-1000000)*27.5%)))))))/12))</f>
        <v/>
      </c>
      <c r="L38" s="8" t="str">
        <f>IF(A38="","",IF('كشف التوقيع والملخص'!$B$3="نعم",MAX(0,H38-10000)*0.003,0))</f>
        <v/>
      </c>
      <c r="M38" s="8" t="str">
        <f>IF(A38="","",I38+K38+L38)</f>
        <v/>
      </c>
      <c r="N38" s="8" t="str">
        <f>IF(A38="","",H38-M38)</f>
        <v/>
      </c>
    </row>
    <row r="39" spans="1:14" ht="14.25" x14ac:dyDescent="0.15">
      <c r="A39" s="5" t="str">
        <f>IF('بيانات الموظفين'!A39="","",'بيانات الموظفين'!A39)</f>
        <v/>
      </c>
      <c r="B39" s="5" t="str">
        <f>IF(A39="","",'بيانات الموظفين'!B39)</f>
        <v/>
      </c>
      <c r="C39" s="6" t="s">
        <v>25</v>
      </c>
      <c r="D39" s="6">
        <v>2026</v>
      </c>
      <c r="E39" s="6">
        <v>30</v>
      </c>
      <c r="F39" s="7"/>
      <c r="G39" s="7"/>
      <c r="H39" s="8" t="str">
        <f>IF(A39="","",(('بيانات الموظفين'!G39+'بيانات الموظفين'!H39)/30)*MIN(30,MAX(0,E39))+F39+G39)</f>
        <v/>
      </c>
      <c r="I39" s="8" t="str">
        <f>IF(A39="","",MIN(16700,MAX(2700,'بيانات الموظفين'!I39))*11%)</f>
        <v/>
      </c>
      <c r="J39" s="8" t="str">
        <f>IF(A39="","",MAX(0,ROUNDDOWN(H39*12-I39*12-20000,-1)))</f>
        <v/>
      </c>
      <c r="K39" s="8" t="str">
        <f>IF(A39="","",MAX(0,(IF(J39&lt;=40000,0,IF(J39&lt;=60000,(J39-40000)*10%,IF(J39&lt;=70000,2000+(J39-60000)*15%,IF(J39&lt;=200000,3500+(J39-70000)*20%,IF(J39&lt;=400000,29500+(J39-200000)*22.5%,IF(J39&lt;=1000000,74500+(J39-400000)*25%,224500+(J39-1000000)*27.5%)))))))/12))</f>
        <v/>
      </c>
      <c r="L39" s="8" t="str">
        <f>IF(A39="","",IF('كشف التوقيع والملخص'!$B$3="نعم",MAX(0,H39-10000)*0.003,0))</f>
        <v/>
      </c>
      <c r="M39" s="8" t="str">
        <f>IF(A39="","",I39+K39+L39)</f>
        <v/>
      </c>
      <c r="N39" s="8" t="str">
        <f>IF(A39="","",H39-M39)</f>
        <v/>
      </c>
    </row>
    <row r="40" spans="1:14" ht="14.25" x14ac:dyDescent="0.15">
      <c r="A40" s="5" t="str">
        <f>IF('بيانات الموظفين'!A40="","",'بيانات الموظفين'!A40)</f>
        <v/>
      </c>
      <c r="B40" s="5" t="str">
        <f>IF(A40="","",'بيانات الموظفين'!B40)</f>
        <v/>
      </c>
      <c r="C40" s="6" t="s">
        <v>25</v>
      </c>
      <c r="D40" s="6">
        <v>2026</v>
      </c>
      <c r="E40" s="6">
        <v>30</v>
      </c>
      <c r="F40" s="7"/>
      <c r="G40" s="7"/>
      <c r="H40" s="8" t="str">
        <f>IF(A40="","",(('بيانات الموظفين'!G40+'بيانات الموظفين'!H40)/30)*MIN(30,MAX(0,E40))+F40+G40)</f>
        <v/>
      </c>
      <c r="I40" s="8" t="str">
        <f>IF(A40="","",MIN(16700,MAX(2700,'بيانات الموظفين'!I40))*11%)</f>
        <v/>
      </c>
      <c r="J40" s="8" t="str">
        <f>IF(A40="","",MAX(0,ROUNDDOWN(H40*12-I40*12-20000,-1)))</f>
        <v/>
      </c>
      <c r="K40" s="8" t="str">
        <f>IF(A40="","",MAX(0,(IF(J40&lt;=40000,0,IF(J40&lt;=60000,(J40-40000)*10%,IF(J40&lt;=70000,2000+(J40-60000)*15%,IF(J40&lt;=200000,3500+(J40-70000)*20%,IF(J40&lt;=400000,29500+(J40-200000)*22.5%,IF(J40&lt;=1000000,74500+(J40-400000)*25%,224500+(J40-1000000)*27.5%)))))))/12))</f>
        <v/>
      </c>
      <c r="L40" s="8" t="str">
        <f>IF(A40="","",IF('كشف التوقيع والملخص'!$B$3="نعم",MAX(0,H40-10000)*0.003,0))</f>
        <v/>
      </c>
      <c r="M40" s="8" t="str">
        <f>IF(A40="","",I40+K40+L40)</f>
        <v/>
      </c>
      <c r="N40" s="8" t="str">
        <f>IF(A40="","",H40-M40)</f>
        <v/>
      </c>
    </row>
    <row r="41" spans="1:14" ht="14.25" x14ac:dyDescent="0.15">
      <c r="A41" s="5" t="str">
        <f>IF('بيانات الموظفين'!A41="","",'بيانات الموظفين'!A41)</f>
        <v/>
      </c>
      <c r="B41" s="5" t="str">
        <f>IF(A41="","",'بيانات الموظفين'!B41)</f>
        <v/>
      </c>
      <c r="C41" s="6" t="s">
        <v>25</v>
      </c>
      <c r="D41" s="6">
        <v>2026</v>
      </c>
      <c r="E41" s="6">
        <v>30</v>
      </c>
      <c r="F41" s="7"/>
      <c r="G41" s="7"/>
      <c r="H41" s="8" t="str">
        <f>IF(A41="","",(('بيانات الموظفين'!G41+'بيانات الموظفين'!H41)/30)*MIN(30,MAX(0,E41))+F41+G41)</f>
        <v/>
      </c>
      <c r="I41" s="8" t="str">
        <f>IF(A41="","",MIN(16700,MAX(2700,'بيانات الموظفين'!I41))*11%)</f>
        <v/>
      </c>
      <c r="J41" s="8" t="str">
        <f>IF(A41="","",MAX(0,ROUNDDOWN(H41*12-I41*12-20000,-1)))</f>
        <v/>
      </c>
      <c r="K41" s="8" t="str">
        <f>IF(A41="","",MAX(0,(IF(J41&lt;=40000,0,IF(J41&lt;=60000,(J41-40000)*10%,IF(J41&lt;=70000,2000+(J41-60000)*15%,IF(J41&lt;=200000,3500+(J41-70000)*20%,IF(J41&lt;=400000,29500+(J41-200000)*22.5%,IF(J41&lt;=1000000,74500+(J41-400000)*25%,224500+(J41-1000000)*27.5%)))))))/12))</f>
        <v/>
      </c>
      <c r="L41" s="8" t="str">
        <f>IF(A41="","",IF('كشف التوقيع والملخص'!$B$3="نعم",MAX(0,H41-10000)*0.003,0))</f>
        <v/>
      </c>
      <c r="M41" s="8" t="str">
        <f>IF(A41="","",I41+K41+L41)</f>
        <v/>
      </c>
      <c r="N41" s="8" t="str">
        <f>IF(A41="","",H41-M41)</f>
        <v/>
      </c>
    </row>
    <row r="42" spans="1:14" ht="14.25" x14ac:dyDescent="0.15">
      <c r="A42" s="5" t="str">
        <f>IF('بيانات الموظفين'!A42="","",'بيانات الموظفين'!A42)</f>
        <v/>
      </c>
      <c r="B42" s="5" t="str">
        <f>IF(A42="","",'بيانات الموظفين'!B42)</f>
        <v/>
      </c>
      <c r="C42" s="6" t="s">
        <v>25</v>
      </c>
      <c r="D42" s="6">
        <v>2026</v>
      </c>
      <c r="E42" s="6">
        <v>30</v>
      </c>
      <c r="F42" s="7"/>
      <c r="G42" s="7"/>
      <c r="H42" s="8" t="str">
        <f>IF(A42="","",(('بيانات الموظفين'!G42+'بيانات الموظفين'!H42)/30)*MIN(30,MAX(0,E42))+F42+G42)</f>
        <v/>
      </c>
      <c r="I42" s="8" t="str">
        <f>IF(A42="","",MIN(16700,MAX(2700,'بيانات الموظفين'!I42))*11%)</f>
        <v/>
      </c>
      <c r="J42" s="8" t="str">
        <f>IF(A42="","",MAX(0,ROUNDDOWN(H42*12-I42*12-20000,-1)))</f>
        <v/>
      </c>
      <c r="K42" s="8" t="str">
        <f>IF(A42="","",MAX(0,(IF(J42&lt;=40000,0,IF(J42&lt;=60000,(J42-40000)*10%,IF(J42&lt;=70000,2000+(J42-60000)*15%,IF(J42&lt;=200000,3500+(J42-70000)*20%,IF(J42&lt;=400000,29500+(J42-200000)*22.5%,IF(J42&lt;=1000000,74500+(J42-400000)*25%,224500+(J42-1000000)*27.5%)))))))/12))</f>
        <v/>
      </c>
      <c r="L42" s="8" t="str">
        <f>IF(A42="","",IF('كشف التوقيع والملخص'!$B$3="نعم",MAX(0,H42-10000)*0.003,0))</f>
        <v/>
      </c>
      <c r="M42" s="8" t="str">
        <f>IF(A42="","",I42+K42+L42)</f>
        <v/>
      </c>
      <c r="N42" s="8" t="str">
        <f>IF(A42="","",H42-M42)</f>
        <v/>
      </c>
    </row>
    <row r="43" spans="1:14" ht="14.25" x14ac:dyDescent="0.15">
      <c r="A43" s="5" t="str">
        <f>IF('بيانات الموظفين'!A43="","",'بيانات الموظفين'!A43)</f>
        <v/>
      </c>
      <c r="B43" s="5" t="str">
        <f>IF(A43="","",'بيانات الموظفين'!B43)</f>
        <v/>
      </c>
      <c r="C43" s="6" t="s">
        <v>25</v>
      </c>
      <c r="D43" s="6">
        <v>2026</v>
      </c>
      <c r="E43" s="6">
        <v>30</v>
      </c>
      <c r="F43" s="7"/>
      <c r="G43" s="7"/>
      <c r="H43" s="8" t="str">
        <f>IF(A43="","",(('بيانات الموظفين'!G43+'بيانات الموظفين'!H43)/30)*MIN(30,MAX(0,E43))+F43+G43)</f>
        <v/>
      </c>
      <c r="I43" s="8" t="str">
        <f>IF(A43="","",MIN(16700,MAX(2700,'بيانات الموظفين'!I43))*11%)</f>
        <v/>
      </c>
      <c r="J43" s="8" t="str">
        <f>IF(A43="","",MAX(0,ROUNDDOWN(H43*12-I43*12-20000,-1)))</f>
        <v/>
      </c>
      <c r="K43" s="8" t="str">
        <f>IF(A43="","",MAX(0,(IF(J43&lt;=40000,0,IF(J43&lt;=60000,(J43-40000)*10%,IF(J43&lt;=70000,2000+(J43-60000)*15%,IF(J43&lt;=200000,3500+(J43-70000)*20%,IF(J43&lt;=400000,29500+(J43-200000)*22.5%,IF(J43&lt;=1000000,74500+(J43-400000)*25%,224500+(J43-1000000)*27.5%)))))))/12))</f>
        <v/>
      </c>
      <c r="L43" s="8" t="str">
        <f>IF(A43="","",IF('كشف التوقيع والملخص'!$B$3="نعم",MAX(0,H43-10000)*0.003,0))</f>
        <v/>
      </c>
      <c r="M43" s="8" t="str">
        <f>IF(A43="","",I43+K43+L43)</f>
        <v/>
      </c>
      <c r="N43" s="8" t="str">
        <f>IF(A43="","",H43-M43)</f>
        <v/>
      </c>
    </row>
    <row r="44" spans="1:14" ht="14.25" x14ac:dyDescent="0.15">
      <c r="A44" s="5" t="str">
        <f>IF('بيانات الموظفين'!A44="","",'بيانات الموظفين'!A44)</f>
        <v/>
      </c>
      <c r="B44" s="5" t="str">
        <f>IF(A44="","",'بيانات الموظفين'!B44)</f>
        <v/>
      </c>
      <c r="C44" s="6" t="s">
        <v>25</v>
      </c>
      <c r="D44" s="6">
        <v>2026</v>
      </c>
      <c r="E44" s="6">
        <v>30</v>
      </c>
      <c r="F44" s="7"/>
      <c r="G44" s="7"/>
      <c r="H44" s="8" t="str">
        <f>IF(A44="","",(('بيانات الموظفين'!G44+'بيانات الموظفين'!H44)/30)*MIN(30,MAX(0,E44))+F44+G44)</f>
        <v/>
      </c>
      <c r="I44" s="8" t="str">
        <f>IF(A44="","",MIN(16700,MAX(2700,'بيانات الموظفين'!I44))*11%)</f>
        <v/>
      </c>
      <c r="J44" s="8" t="str">
        <f>IF(A44="","",MAX(0,ROUNDDOWN(H44*12-I44*12-20000,-1)))</f>
        <v/>
      </c>
      <c r="K44" s="8" t="str">
        <f>IF(A44="","",MAX(0,(IF(J44&lt;=40000,0,IF(J44&lt;=60000,(J44-40000)*10%,IF(J44&lt;=70000,2000+(J44-60000)*15%,IF(J44&lt;=200000,3500+(J44-70000)*20%,IF(J44&lt;=400000,29500+(J44-200000)*22.5%,IF(J44&lt;=1000000,74500+(J44-400000)*25%,224500+(J44-1000000)*27.5%)))))))/12))</f>
        <v/>
      </c>
      <c r="L44" s="8" t="str">
        <f>IF(A44="","",IF('كشف التوقيع والملخص'!$B$3="نعم",MAX(0,H44-10000)*0.003,0))</f>
        <v/>
      </c>
      <c r="M44" s="8" t="str">
        <f>IF(A44="","",I44+K44+L44)</f>
        <v/>
      </c>
      <c r="N44" s="8" t="str">
        <f>IF(A44="","",H44-M44)</f>
        <v/>
      </c>
    </row>
    <row r="45" spans="1:14" ht="14.25" x14ac:dyDescent="0.15">
      <c r="A45" s="5" t="str">
        <f>IF('بيانات الموظفين'!A45="","",'بيانات الموظفين'!A45)</f>
        <v/>
      </c>
      <c r="B45" s="5" t="str">
        <f>IF(A45="","",'بيانات الموظفين'!B45)</f>
        <v/>
      </c>
      <c r="C45" s="6" t="s">
        <v>25</v>
      </c>
      <c r="D45" s="6">
        <v>2026</v>
      </c>
      <c r="E45" s="6">
        <v>30</v>
      </c>
      <c r="F45" s="7"/>
      <c r="G45" s="7"/>
      <c r="H45" s="8" t="str">
        <f>IF(A45="","",(('بيانات الموظفين'!G45+'بيانات الموظفين'!H45)/30)*MIN(30,MAX(0,E45))+F45+G45)</f>
        <v/>
      </c>
      <c r="I45" s="8" t="str">
        <f>IF(A45="","",MIN(16700,MAX(2700,'بيانات الموظفين'!I45))*11%)</f>
        <v/>
      </c>
      <c r="J45" s="8" t="str">
        <f>IF(A45="","",MAX(0,ROUNDDOWN(H45*12-I45*12-20000,-1)))</f>
        <v/>
      </c>
      <c r="K45" s="8" t="str">
        <f>IF(A45="","",MAX(0,(IF(J45&lt;=40000,0,IF(J45&lt;=60000,(J45-40000)*10%,IF(J45&lt;=70000,2000+(J45-60000)*15%,IF(J45&lt;=200000,3500+(J45-70000)*20%,IF(J45&lt;=400000,29500+(J45-200000)*22.5%,IF(J45&lt;=1000000,74500+(J45-400000)*25%,224500+(J45-1000000)*27.5%)))))))/12))</f>
        <v/>
      </c>
      <c r="L45" s="8" t="str">
        <f>IF(A45="","",IF('كشف التوقيع والملخص'!$B$3="نعم",MAX(0,H45-10000)*0.003,0))</f>
        <v/>
      </c>
      <c r="M45" s="8" t="str">
        <f>IF(A45="","",I45+K45+L45)</f>
        <v/>
      </c>
      <c r="N45" s="8" t="str">
        <f>IF(A45="","",H45-M45)</f>
        <v/>
      </c>
    </row>
    <row r="46" spans="1:14" ht="14.25" x14ac:dyDescent="0.15">
      <c r="A46" s="5" t="str">
        <f>IF('بيانات الموظفين'!A46="","",'بيانات الموظفين'!A46)</f>
        <v/>
      </c>
      <c r="B46" s="5" t="str">
        <f>IF(A46="","",'بيانات الموظفين'!B46)</f>
        <v/>
      </c>
      <c r="C46" s="6" t="s">
        <v>25</v>
      </c>
      <c r="D46" s="6">
        <v>2026</v>
      </c>
      <c r="E46" s="6">
        <v>30</v>
      </c>
      <c r="F46" s="7"/>
      <c r="G46" s="7"/>
      <c r="H46" s="8" t="str">
        <f>IF(A46="","",(('بيانات الموظفين'!G46+'بيانات الموظفين'!H46)/30)*MIN(30,MAX(0,E46))+F46+G46)</f>
        <v/>
      </c>
      <c r="I46" s="8" t="str">
        <f>IF(A46="","",MIN(16700,MAX(2700,'بيانات الموظفين'!I46))*11%)</f>
        <v/>
      </c>
      <c r="J46" s="8" t="str">
        <f>IF(A46="","",MAX(0,ROUNDDOWN(H46*12-I46*12-20000,-1)))</f>
        <v/>
      </c>
      <c r="K46" s="8" t="str">
        <f>IF(A46="","",MAX(0,(IF(J46&lt;=40000,0,IF(J46&lt;=60000,(J46-40000)*10%,IF(J46&lt;=70000,2000+(J46-60000)*15%,IF(J46&lt;=200000,3500+(J46-70000)*20%,IF(J46&lt;=400000,29500+(J46-200000)*22.5%,IF(J46&lt;=1000000,74500+(J46-400000)*25%,224500+(J46-1000000)*27.5%)))))))/12))</f>
        <v/>
      </c>
      <c r="L46" s="8" t="str">
        <f>IF(A46="","",IF('كشف التوقيع والملخص'!$B$3="نعم",MAX(0,H46-10000)*0.003,0))</f>
        <v/>
      </c>
      <c r="M46" s="8" t="str">
        <f>IF(A46="","",I46+K46+L46)</f>
        <v/>
      </c>
      <c r="N46" s="8" t="str">
        <f>IF(A46="","",H46-M46)</f>
        <v/>
      </c>
    </row>
    <row r="47" spans="1:14" ht="14.25" x14ac:dyDescent="0.15">
      <c r="A47" s="5" t="str">
        <f>IF('بيانات الموظفين'!A47="","",'بيانات الموظفين'!A47)</f>
        <v/>
      </c>
      <c r="B47" s="5" t="str">
        <f>IF(A47="","",'بيانات الموظفين'!B47)</f>
        <v/>
      </c>
      <c r="C47" s="6" t="s">
        <v>25</v>
      </c>
      <c r="D47" s="6">
        <v>2026</v>
      </c>
      <c r="E47" s="6">
        <v>30</v>
      </c>
      <c r="F47" s="7"/>
      <c r="G47" s="7"/>
      <c r="H47" s="8" t="str">
        <f>IF(A47="","",(('بيانات الموظفين'!G47+'بيانات الموظفين'!H47)/30)*MIN(30,MAX(0,E47))+F47+G47)</f>
        <v/>
      </c>
      <c r="I47" s="8" t="str">
        <f>IF(A47="","",MIN(16700,MAX(2700,'بيانات الموظفين'!I47))*11%)</f>
        <v/>
      </c>
      <c r="J47" s="8" t="str">
        <f>IF(A47="","",MAX(0,ROUNDDOWN(H47*12-I47*12-20000,-1)))</f>
        <v/>
      </c>
      <c r="K47" s="8" t="str">
        <f>IF(A47="","",MAX(0,(IF(J47&lt;=40000,0,IF(J47&lt;=60000,(J47-40000)*10%,IF(J47&lt;=70000,2000+(J47-60000)*15%,IF(J47&lt;=200000,3500+(J47-70000)*20%,IF(J47&lt;=400000,29500+(J47-200000)*22.5%,IF(J47&lt;=1000000,74500+(J47-400000)*25%,224500+(J47-1000000)*27.5%)))))))/12))</f>
        <v/>
      </c>
      <c r="L47" s="8" t="str">
        <f>IF(A47="","",IF('كشف التوقيع والملخص'!$B$3="نعم",MAX(0,H47-10000)*0.003,0))</f>
        <v/>
      </c>
      <c r="M47" s="8" t="str">
        <f>IF(A47="","",I47+K47+L47)</f>
        <v/>
      </c>
      <c r="N47" s="8" t="str">
        <f>IF(A47="","",H47-M47)</f>
        <v/>
      </c>
    </row>
    <row r="48" spans="1:14" ht="14.25" x14ac:dyDescent="0.15">
      <c r="A48" s="5" t="str">
        <f>IF('بيانات الموظفين'!A48="","",'بيانات الموظفين'!A48)</f>
        <v/>
      </c>
      <c r="B48" s="5" t="str">
        <f>IF(A48="","",'بيانات الموظفين'!B48)</f>
        <v/>
      </c>
      <c r="C48" s="6" t="s">
        <v>25</v>
      </c>
      <c r="D48" s="6">
        <v>2026</v>
      </c>
      <c r="E48" s="6">
        <v>30</v>
      </c>
      <c r="F48" s="7"/>
      <c r="G48" s="7"/>
      <c r="H48" s="8" t="str">
        <f>IF(A48="","",(('بيانات الموظفين'!G48+'بيانات الموظفين'!H48)/30)*MIN(30,MAX(0,E48))+F48+G48)</f>
        <v/>
      </c>
      <c r="I48" s="8" t="str">
        <f>IF(A48="","",MIN(16700,MAX(2700,'بيانات الموظفين'!I48))*11%)</f>
        <v/>
      </c>
      <c r="J48" s="8" t="str">
        <f>IF(A48="","",MAX(0,ROUNDDOWN(H48*12-I48*12-20000,-1)))</f>
        <v/>
      </c>
      <c r="K48" s="8" t="str">
        <f>IF(A48="","",MAX(0,(IF(J48&lt;=40000,0,IF(J48&lt;=60000,(J48-40000)*10%,IF(J48&lt;=70000,2000+(J48-60000)*15%,IF(J48&lt;=200000,3500+(J48-70000)*20%,IF(J48&lt;=400000,29500+(J48-200000)*22.5%,IF(J48&lt;=1000000,74500+(J48-400000)*25%,224500+(J48-1000000)*27.5%)))))))/12))</f>
        <v/>
      </c>
      <c r="L48" s="8" t="str">
        <f>IF(A48="","",IF('كشف التوقيع والملخص'!$B$3="نعم",MAX(0,H48-10000)*0.003,0))</f>
        <v/>
      </c>
      <c r="M48" s="8" t="str">
        <f>IF(A48="","",I48+K48+L48)</f>
        <v/>
      </c>
      <c r="N48" s="8" t="str">
        <f>IF(A48="","",H48-M48)</f>
        <v/>
      </c>
    </row>
    <row r="49" spans="1:14" ht="14.25" x14ac:dyDescent="0.15">
      <c r="A49" s="5" t="str">
        <f>IF('بيانات الموظفين'!A49="","",'بيانات الموظفين'!A49)</f>
        <v/>
      </c>
      <c r="B49" s="5" t="str">
        <f>IF(A49="","",'بيانات الموظفين'!B49)</f>
        <v/>
      </c>
      <c r="C49" s="6" t="s">
        <v>25</v>
      </c>
      <c r="D49" s="6">
        <v>2026</v>
      </c>
      <c r="E49" s="6">
        <v>30</v>
      </c>
      <c r="F49" s="7"/>
      <c r="G49" s="7"/>
      <c r="H49" s="8" t="str">
        <f>IF(A49="","",(('بيانات الموظفين'!G49+'بيانات الموظفين'!H49)/30)*MIN(30,MAX(0,E49))+F49+G49)</f>
        <v/>
      </c>
      <c r="I49" s="8" t="str">
        <f>IF(A49="","",MIN(16700,MAX(2700,'بيانات الموظفين'!I49))*11%)</f>
        <v/>
      </c>
      <c r="J49" s="8" t="str">
        <f>IF(A49="","",MAX(0,ROUNDDOWN(H49*12-I49*12-20000,-1)))</f>
        <v/>
      </c>
      <c r="K49" s="8" t="str">
        <f>IF(A49="","",MAX(0,(IF(J49&lt;=40000,0,IF(J49&lt;=60000,(J49-40000)*10%,IF(J49&lt;=70000,2000+(J49-60000)*15%,IF(J49&lt;=200000,3500+(J49-70000)*20%,IF(J49&lt;=400000,29500+(J49-200000)*22.5%,IF(J49&lt;=1000000,74500+(J49-400000)*25%,224500+(J49-1000000)*27.5%)))))))/12))</f>
        <v/>
      </c>
      <c r="L49" s="8" t="str">
        <f>IF(A49="","",IF('كشف التوقيع والملخص'!$B$3="نعم",MAX(0,H49-10000)*0.003,0))</f>
        <v/>
      </c>
      <c r="M49" s="8" t="str">
        <f>IF(A49="","",I49+K49+L49)</f>
        <v/>
      </c>
      <c r="N49" s="8" t="str">
        <f>IF(A49="","",H49-M49)</f>
        <v/>
      </c>
    </row>
    <row r="50" spans="1:14" ht="14.25" x14ac:dyDescent="0.15">
      <c r="A50" s="5" t="str">
        <f>IF('بيانات الموظفين'!A50="","",'بيانات الموظفين'!A50)</f>
        <v/>
      </c>
      <c r="B50" s="5" t="str">
        <f>IF(A50="","",'بيانات الموظفين'!B50)</f>
        <v/>
      </c>
      <c r="C50" s="6" t="s">
        <v>25</v>
      </c>
      <c r="D50" s="6">
        <v>2026</v>
      </c>
      <c r="E50" s="6">
        <v>30</v>
      </c>
      <c r="F50" s="7"/>
      <c r="G50" s="7"/>
      <c r="H50" s="8" t="str">
        <f>IF(A50="","",(('بيانات الموظفين'!G50+'بيانات الموظفين'!H50)/30)*MIN(30,MAX(0,E50))+F50+G50)</f>
        <v/>
      </c>
      <c r="I50" s="8" t="str">
        <f>IF(A50="","",MIN(16700,MAX(2700,'بيانات الموظفين'!I50))*11%)</f>
        <v/>
      </c>
      <c r="J50" s="8" t="str">
        <f>IF(A50="","",MAX(0,ROUNDDOWN(H50*12-I50*12-20000,-1)))</f>
        <v/>
      </c>
      <c r="K50" s="8" t="str">
        <f>IF(A50="","",MAX(0,(IF(J50&lt;=40000,0,IF(J50&lt;=60000,(J50-40000)*10%,IF(J50&lt;=70000,2000+(J50-60000)*15%,IF(J50&lt;=200000,3500+(J50-70000)*20%,IF(J50&lt;=400000,29500+(J50-200000)*22.5%,IF(J50&lt;=1000000,74500+(J50-400000)*25%,224500+(J50-1000000)*27.5%)))))))/12))</f>
        <v/>
      </c>
      <c r="L50" s="8" t="str">
        <f>IF(A50="","",IF('كشف التوقيع والملخص'!$B$3="نعم",MAX(0,H50-10000)*0.003,0))</f>
        <v/>
      </c>
      <c r="M50" s="8" t="str">
        <f>IF(A50="","",I50+K50+L50)</f>
        <v/>
      </c>
      <c r="N50" s="8" t="str">
        <f>IF(A50="","",H50-M50)</f>
        <v/>
      </c>
    </row>
    <row r="51" spans="1:14" ht="14.25" x14ac:dyDescent="0.15">
      <c r="A51" s="5" t="str">
        <f>IF('بيانات الموظفين'!A51="","",'بيانات الموظفين'!A51)</f>
        <v/>
      </c>
      <c r="B51" s="5" t="str">
        <f>IF(A51="","",'بيانات الموظفين'!B51)</f>
        <v/>
      </c>
      <c r="C51" s="6" t="s">
        <v>25</v>
      </c>
      <c r="D51" s="6">
        <v>2026</v>
      </c>
      <c r="E51" s="6">
        <v>30</v>
      </c>
      <c r="F51" s="7"/>
      <c r="G51" s="7"/>
      <c r="H51" s="8" t="str">
        <f>IF(A51="","",(('بيانات الموظفين'!G51+'بيانات الموظفين'!H51)/30)*MIN(30,MAX(0,E51))+F51+G51)</f>
        <v/>
      </c>
      <c r="I51" s="8" t="str">
        <f>IF(A51="","",MIN(16700,MAX(2700,'بيانات الموظفين'!I51))*11%)</f>
        <v/>
      </c>
      <c r="J51" s="8" t="str">
        <f>IF(A51="","",MAX(0,ROUNDDOWN(H51*12-I51*12-20000,-1)))</f>
        <v/>
      </c>
      <c r="K51" s="8" t="str">
        <f>IF(A51="","",MAX(0,(IF(J51&lt;=40000,0,IF(J51&lt;=60000,(J51-40000)*10%,IF(J51&lt;=70000,2000+(J51-60000)*15%,IF(J51&lt;=200000,3500+(J51-70000)*20%,IF(J51&lt;=400000,29500+(J51-200000)*22.5%,IF(J51&lt;=1000000,74500+(J51-400000)*25%,224500+(J51-1000000)*27.5%)))))))/12))</f>
        <v/>
      </c>
      <c r="L51" s="8" t="str">
        <f>IF(A51="","",IF('كشف التوقيع والملخص'!$B$3="نعم",MAX(0,H51-10000)*0.003,0))</f>
        <v/>
      </c>
      <c r="M51" s="8" t="str">
        <f>IF(A51="","",I51+K51+L51)</f>
        <v/>
      </c>
      <c r="N51" s="8" t="str">
        <f>IF(A51="","",H51-M51)</f>
        <v/>
      </c>
    </row>
    <row r="52" spans="1:14" ht="14.25" x14ac:dyDescent="0.15">
      <c r="A52" s="5" t="str">
        <f>IF('بيانات الموظفين'!A52="","",'بيانات الموظفين'!A52)</f>
        <v/>
      </c>
      <c r="B52" s="5" t="str">
        <f>IF(A52="","",'بيانات الموظفين'!B52)</f>
        <v/>
      </c>
      <c r="C52" s="6" t="s">
        <v>25</v>
      </c>
      <c r="D52" s="6">
        <v>2026</v>
      </c>
      <c r="E52" s="6">
        <v>30</v>
      </c>
      <c r="F52" s="7"/>
      <c r="G52" s="7"/>
      <c r="H52" s="8" t="str">
        <f>IF(A52="","",(('بيانات الموظفين'!G52+'بيانات الموظفين'!H52)/30)*MIN(30,MAX(0,E52))+F52+G52)</f>
        <v/>
      </c>
      <c r="I52" s="8" t="str">
        <f>IF(A52="","",MIN(16700,MAX(2700,'بيانات الموظفين'!I52))*11%)</f>
        <v/>
      </c>
      <c r="J52" s="8" t="str">
        <f>IF(A52="","",MAX(0,ROUNDDOWN(H52*12-I52*12-20000,-1)))</f>
        <v/>
      </c>
      <c r="K52" s="8" t="str">
        <f>IF(A52="","",MAX(0,(IF(J52&lt;=40000,0,IF(J52&lt;=60000,(J52-40000)*10%,IF(J52&lt;=70000,2000+(J52-60000)*15%,IF(J52&lt;=200000,3500+(J52-70000)*20%,IF(J52&lt;=400000,29500+(J52-200000)*22.5%,IF(J52&lt;=1000000,74500+(J52-400000)*25%,224500+(J52-1000000)*27.5%)))))))/12))</f>
        <v/>
      </c>
      <c r="L52" s="8" t="str">
        <f>IF(A52="","",IF('كشف التوقيع والملخص'!$B$3="نعم",MAX(0,H52-10000)*0.003,0))</f>
        <v/>
      </c>
      <c r="M52" s="8" t="str">
        <f>IF(A52="","",I52+K52+L52)</f>
        <v/>
      </c>
      <c r="N52" s="8" t="str">
        <f>IF(A52="","",H52-M52)</f>
        <v/>
      </c>
    </row>
    <row r="53" spans="1:14" ht="14.25" x14ac:dyDescent="0.15">
      <c r="A53" s="5" t="str">
        <f>IF('بيانات الموظفين'!A53="","",'بيانات الموظفين'!A53)</f>
        <v/>
      </c>
      <c r="B53" s="5" t="str">
        <f>IF(A53="","",'بيانات الموظفين'!B53)</f>
        <v/>
      </c>
      <c r="C53" s="6" t="s">
        <v>25</v>
      </c>
      <c r="D53" s="6">
        <v>2026</v>
      </c>
      <c r="E53" s="6">
        <v>30</v>
      </c>
      <c r="F53" s="7"/>
      <c r="G53" s="7"/>
      <c r="H53" s="8" t="str">
        <f>IF(A53="","",(('بيانات الموظفين'!G53+'بيانات الموظفين'!H53)/30)*MIN(30,MAX(0,E53))+F53+G53)</f>
        <v/>
      </c>
      <c r="I53" s="8" t="str">
        <f>IF(A53="","",MIN(16700,MAX(2700,'بيانات الموظفين'!I53))*11%)</f>
        <v/>
      </c>
      <c r="J53" s="8" t="str">
        <f>IF(A53="","",MAX(0,ROUNDDOWN(H53*12-I53*12-20000,-1)))</f>
        <v/>
      </c>
      <c r="K53" s="8" t="str">
        <f>IF(A53="","",MAX(0,(IF(J53&lt;=40000,0,IF(J53&lt;=60000,(J53-40000)*10%,IF(J53&lt;=70000,2000+(J53-60000)*15%,IF(J53&lt;=200000,3500+(J53-70000)*20%,IF(J53&lt;=400000,29500+(J53-200000)*22.5%,IF(J53&lt;=1000000,74500+(J53-400000)*25%,224500+(J53-1000000)*27.5%)))))))/12))</f>
        <v/>
      </c>
      <c r="L53" s="8" t="str">
        <f>IF(A53="","",IF('كشف التوقيع والملخص'!$B$3="نعم",MAX(0,H53-10000)*0.003,0))</f>
        <v/>
      </c>
      <c r="M53" s="8" t="str">
        <f>IF(A53="","",I53+K53+L53)</f>
        <v/>
      </c>
      <c r="N53" s="8" t="str">
        <f>IF(A53="","",H53-M53)</f>
        <v/>
      </c>
    </row>
    <row r="54" spans="1:14" ht="14.25" x14ac:dyDescent="0.15">
      <c r="A54" s="5" t="str">
        <f>IF('بيانات الموظفين'!A54="","",'بيانات الموظفين'!A54)</f>
        <v/>
      </c>
      <c r="B54" s="5" t="str">
        <f>IF(A54="","",'بيانات الموظفين'!B54)</f>
        <v/>
      </c>
      <c r="C54" s="6" t="s">
        <v>25</v>
      </c>
      <c r="D54" s="6">
        <v>2026</v>
      </c>
      <c r="E54" s="6">
        <v>30</v>
      </c>
      <c r="F54" s="7"/>
      <c r="G54" s="7"/>
      <c r="H54" s="8" t="str">
        <f>IF(A54="","",(('بيانات الموظفين'!G54+'بيانات الموظفين'!H54)/30)*MIN(30,MAX(0,E54))+F54+G54)</f>
        <v/>
      </c>
      <c r="I54" s="8" t="str">
        <f>IF(A54="","",MIN(16700,MAX(2700,'بيانات الموظفين'!I54))*11%)</f>
        <v/>
      </c>
      <c r="J54" s="8" t="str">
        <f>IF(A54="","",MAX(0,ROUNDDOWN(H54*12-I54*12-20000,-1)))</f>
        <v/>
      </c>
      <c r="K54" s="8" t="str">
        <f>IF(A54="","",MAX(0,(IF(J54&lt;=40000,0,IF(J54&lt;=60000,(J54-40000)*10%,IF(J54&lt;=70000,2000+(J54-60000)*15%,IF(J54&lt;=200000,3500+(J54-70000)*20%,IF(J54&lt;=400000,29500+(J54-200000)*22.5%,IF(J54&lt;=1000000,74500+(J54-400000)*25%,224500+(J54-1000000)*27.5%)))))))/12))</f>
        <v/>
      </c>
      <c r="L54" s="8" t="str">
        <f>IF(A54="","",IF('كشف التوقيع والملخص'!$B$3="نعم",MAX(0,H54-10000)*0.003,0))</f>
        <v/>
      </c>
      <c r="M54" s="8" t="str">
        <f>IF(A54="","",I54+K54+L54)</f>
        <v/>
      </c>
      <c r="N54" s="8" t="str">
        <f>IF(A54="","",H54-M54)</f>
        <v/>
      </c>
    </row>
    <row r="55" spans="1:14" ht="14.25" x14ac:dyDescent="0.15">
      <c r="A55" s="5" t="str">
        <f>IF('بيانات الموظفين'!A55="","",'بيانات الموظفين'!A55)</f>
        <v/>
      </c>
      <c r="B55" s="5" t="str">
        <f>IF(A55="","",'بيانات الموظفين'!B55)</f>
        <v/>
      </c>
      <c r="C55" s="6" t="s">
        <v>25</v>
      </c>
      <c r="D55" s="6">
        <v>2026</v>
      </c>
      <c r="E55" s="6">
        <v>30</v>
      </c>
      <c r="F55" s="7"/>
      <c r="G55" s="7"/>
      <c r="H55" s="8" t="str">
        <f>IF(A55="","",(('بيانات الموظفين'!G55+'بيانات الموظفين'!H55)/30)*MIN(30,MAX(0,E55))+F55+G55)</f>
        <v/>
      </c>
      <c r="I55" s="8" t="str">
        <f>IF(A55="","",MIN(16700,MAX(2700,'بيانات الموظفين'!I55))*11%)</f>
        <v/>
      </c>
      <c r="J55" s="8" t="str">
        <f>IF(A55="","",MAX(0,ROUNDDOWN(H55*12-I55*12-20000,-1)))</f>
        <v/>
      </c>
      <c r="K55" s="8" t="str">
        <f>IF(A55="","",MAX(0,(IF(J55&lt;=40000,0,IF(J55&lt;=60000,(J55-40000)*10%,IF(J55&lt;=70000,2000+(J55-60000)*15%,IF(J55&lt;=200000,3500+(J55-70000)*20%,IF(J55&lt;=400000,29500+(J55-200000)*22.5%,IF(J55&lt;=1000000,74500+(J55-400000)*25%,224500+(J55-1000000)*27.5%)))))))/12))</f>
        <v/>
      </c>
      <c r="L55" s="8" t="str">
        <f>IF(A55="","",IF('كشف التوقيع والملخص'!$B$3="نعم",MAX(0,H55-10000)*0.003,0))</f>
        <v/>
      </c>
      <c r="M55" s="8" t="str">
        <f>IF(A55="","",I55+K55+L55)</f>
        <v/>
      </c>
      <c r="N55" s="8" t="str">
        <f>IF(A55="","",H55-M55)</f>
        <v/>
      </c>
    </row>
    <row r="56" spans="1:14" ht="14.25" x14ac:dyDescent="0.15">
      <c r="A56" s="5" t="str">
        <f>IF('بيانات الموظفين'!A56="","",'بيانات الموظفين'!A56)</f>
        <v/>
      </c>
      <c r="B56" s="5" t="str">
        <f>IF(A56="","",'بيانات الموظفين'!B56)</f>
        <v/>
      </c>
      <c r="C56" s="6" t="s">
        <v>25</v>
      </c>
      <c r="D56" s="6">
        <v>2026</v>
      </c>
      <c r="E56" s="6">
        <v>30</v>
      </c>
      <c r="F56" s="7"/>
      <c r="G56" s="7"/>
      <c r="H56" s="8" t="str">
        <f>IF(A56="","",(('بيانات الموظفين'!G56+'بيانات الموظفين'!H56)/30)*MIN(30,MAX(0,E56))+F56+G56)</f>
        <v/>
      </c>
      <c r="I56" s="8" t="str">
        <f>IF(A56="","",MIN(16700,MAX(2700,'بيانات الموظفين'!I56))*11%)</f>
        <v/>
      </c>
      <c r="J56" s="8" t="str">
        <f>IF(A56="","",MAX(0,ROUNDDOWN(H56*12-I56*12-20000,-1)))</f>
        <v/>
      </c>
      <c r="K56" s="8" t="str">
        <f>IF(A56="","",MAX(0,(IF(J56&lt;=40000,0,IF(J56&lt;=60000,(J56-40000)*10%,IF(J56&lt;=70000,2000+(J56-60000)*15%,IF(J56&lt;=200000,3500+(J56-70000)*20%,IF(J56&lt;=400000,29500+(J56-200000)*22.5%,IF(J56&lt;=1000000,74500+(J56-400000)*25%,224500+(J56-1000000)*27.5%)))))))/12))</f>
        <v/>
      </c>
      <c r="L56" s="8" t="str">
        <f>IF(A56="","",IF('كشف التوقيع والملخص'!$B$3="نعم",MAX(0,H56-10000)*0.003,0))</f>
        <v/>
      </c>
      <c r="M56" s="8" t="str">
        <f>IF(A56="","",I56+K56+L56)</f>
        <v/>
      </c>
      <c r="N56" s="8" t="str">
        <f>IF(A56="","",H56-M56)</f>
        <v/>
      </c>
    </row>
    <row r="57" spans="1:14" ht="14.25" x14ac:dyDescent="0.15">
      <c r="A57" s="5" t="str">
        <f>IF('بيانات الموظفين'!A57="","",'بيانات الموظفين'!A57)</f>
        <v/>
      </c>
      <c r="B57" s="5" t="str">
        <f>IF(A57="","",'بيانات الموظفين'!B57)</f>
        <v/>
      </c>
      <c r="C57" s="6" t="s">
        <v>25</v>
      </c>
      <c r="D57" s="6">
        <v>2026</v>
      </c>
      <c r="E57" s="6">
        <v>30</v>
      </c>
      <c r="F57" s="7"/>
      <c r="G57" s="7"/>
      <c r="H57" s="8" t="str">
        <f>IF(A57="","",(('بيانات الموظفين'!G57+'بيانات الموظفين'!H57)/30)*MIN(30,MAX(0,E57))+F57+G57)</f>
        <v/>
      </c>
      <c r="I57" s="8" t="str">
        <f>IF(A57="","",MIN(16700,MAX(2700,'بيانات الموظفين'!I57))*11%)</f>
        <v/>
      </c>
      <c r="J57" s="8" t="str">
        <f>IF(A57="","",MAX(0,ROUNDDOWN(H57*12-I57*12-20000,-1)))</f>
        <v/>
      </c>
      <c r="K57" s="8" t="str">
        <f>IF(A57="","",MAX(0,(IF(J57&lt;=40000,0,IF(J57&lt;=60000,(J57-40000)*10%,IF(J57&lt;=70000,2000+(J57-60000)*15%,IF(J57&lt;=200000,3500+(J57-70000)*20%,IF(J57&lt;=400000,29500+(J57-200000)*22.5%,IF(J57&lt;=1000000,74500+(J57-400000)*25%,224500+(J57-1000000)*27.5%)))))))/12))</f>
        <v/>
      </c>
      <c r="L57" s="8" t="str">
        <f>IF(A57="","",IF('كشف التوقيع والملخص'!$B$3="نعم",MAX(0,H57-10000)*0.003,0))</f>
        <v/>
      </c>
      <c r="M57" s="8" t="str">
        <f>IF(A57="","",I57+K57+L57)</f>
        <v/>
      </c>
      <c r="N57" s="8" t="str">
        <f>IF(A57="","",H57-M57)</f>
        <v/>
      </c>
    </row>
    <row r="58" spans="1:14" ht="14.25" x14ac:dyDescent="0.15">
      <c r="A58" s="5" t="str">
        <f>IF('بيانات الموظفين'!A58="","",'بيانات الموظفين'!A58)</f>
        <v/>
      </c>
      <c r="B58" s="5" t="str">
        <f>IF(A58="","",'بيانات الموظفين'!B58)</f>
        <v/>
      </c>
      <c r="C58" s="6" t="s">
        <v>25</v>
      </c>
      <c r="D58" s="6">
        <v>2026</v>
      </c>
      <c r="E58" s="6">
        <v>30</v>
      </c>
      <c r="F58" s="7"/>
      <c r="G58" s="7"/>
      <c r="H58" s="8" t="str">
        <f>IF(A58="","",(('بيانات الموظفين'!G58+'بيانات الموظفين'!H58)/30)*MIN(30,MAX(0,E58))+F58+G58)</f>
        <v/>
      </c>
      <c r="I58" s="8" t="str">
        <f>IF(A58="","",MIN(16700,MAX(2700,'بيانات الموظفين'!I58))*11%)</f>
        <v/>
      </c>
      <c r="J58" s="8" t="str">
        <f>IF(A58="","",MAX(0,ROUNDDOWN(H58*12-I58*12-20000,-1)))</f>
        <v/>
      </c>
      <c r="K58" s="8" t="str">
        <f>IF(A58="","",MAX(0,(IF(J58&lt;=40000,0,IF(J58&lt;=60000,(J58-40000)*10%,IF(J58&lt;=70000,2000+(J58-60000)*15%,IF(J58&lt;=200000,3500+(J58-70000)*20%,IF(J58&lt;=400000,29500+(J58-200000)*22.5%,IF(J58&lt;=1000000,74500+(J58-400000)*25%,224500+(J58-1000000)*27.5%)))))))/12))</f>
        <v/>
      </c>
      <c r="L58" s="8" t="str">
        <f>IF(A58="","",IF('كشف التوقيع والملخص'!$B$3="نعم",MAX(0,H58-10000)*0.003,0))</f>
        <v/>
      </c>
      <c r="M58" s="8" t="str">
        <f>IF(A58="","",I58+K58+L58)</f>
        <v/>
      </c>
      <c r="N58" s="8" t="str">
        <f>IF(A58="","",H58-M58)</f>
        <v/>
      </c>
    </row>
    <row r="59" spans="1:14" ht="14.25" x14ac:dyDescent="0.15">
      <c r="A59" s="5" t="str">
        <f>IF('بيانات الموظفين'!A59="","",'بيانات الموظفين'!A59)</f>
        <v/>
      </c>
      <c r="B59" s="5" t="str">
        <f>IF(A59="","",'بيانات الموظفين'!B59)</f>
        <v/>
      </c>
      <c r="C59" s="6" t="s">
        <v>25</v>
      </c>
      <c r="D59" s="6">
        <v>2026</v>
      </c>
      <c r="E59" s="6">
        <v>30</v>
      </c>
      <c r="F59" s="7"/>
      <c r="G59" s="7"/>
      <c r="H59" s="8" t="str">
        <f>IF(A59="","",(('بيانات الموظفين'!G59+'بيانات الموظفين'!H59)/30)*MIN(30,MAX(0,E59))+F59+G59)</f>
        <v/>
      </c>
      <c r="I59" s="8" t="str">
        <f>IF(A59="","",MIN(16700,MAX(2700,'بيانات الموظفين'!I59))*11%)</f>
        <v/>
      </c>
      <c r="J59" s="8" t="str">
        <f>IF(A59="","",MAX(0,ROUNDDOWN(H59*12-I59*12-20000,-1)))</f>
        <v/>
      </c>
      <c r="K59" s="8" t="str">
        <f>IF(A59="","",MAX(0,(IF(J59&lt;=40000,0,IF(J59&lt;=60000,(J59-40000)*10%,IF(J59&lt;=70000,2000+(J59-60000)*15%,IF(J59&lt;=200000,3500+(J59-70000)*20%,IF(J59&lt;=400000,29500+(J59-200000)*22.5%,IF(J59&lt;=1000000,74500+(J59-400000)*25%,224500+(J59-1000000)*27.5%)))))))/12))</f>
        <v/>
      </c>
      <c r="L59" s="8" t="str">
        <f>IF(A59="","",IF('كشف التوقيع والملخص'!$B$3="نعم",MAX(0,H59-10000)*0.003,0))</f>
        <v/>
      </c>
      <c r="M59" s="8" t="str">
        <f>IF(A59="","",I59+K59+L59)</f>
        <v/>
      </c>
      <c r="N59" s="8" t="str">
        <f>IF(A59="","",H59-M59)</f>
        <v/>
      </c>
    </row>
    <row r="60" spans="1:14" ht="14.25" x14ac:dyDescent="0.15">
      <c r="A60" s="5" t="str">
        <f>IF('بيانات الموظفين'!A60="","",'بيانات الموظفين'!A60)</f>
        <v/>
      </c>
      <c r="B60" s="5" t="str">
        <f>IF(A60="","",'بيانات الموظفين'!B60)</f>
        <v/>
      </c>
      <c r="C60" s="6" t="s">
        <v>25</v>
      </c>
      <c r="D60" s="6">
        <v>2026</v>
      </c>
      <c r="E60" s="6">
        <v>30</v>
      </c>
      <c r="F60" s="7"/>
      <c r="G60" s="7"/>
      <c r="H60" s="8" t="str">
        <f>IF(A60="","",(('بيانات الموظفين'!G60+'بيانات الموظفين'!H60)/30)*MIN(30,MAX(0,E60))+F60+G60)</f>
        <v/>
      </c>
      <c r="I60" s="8" t="str">
        <f>IF(A60="","",MIN(16700,MAX(2700,'بيانات الموظفين'!I60))*11%)</f>
        <v/>
      </c>
      <c r="J60" s="8" t="str">
        <f>IF(A60="","",MAX(0,ROUNDDOWN(H60*12-I60*12-20000,-1)))</f>
        <v/>
      </c>
      <c r="K60" s="8" t="str">
        <f>IF(A60="","",MAX(0,(IF(J60&lt;=40000,0,IF(J60&lt;=60000,(J60-40000)*10%,IF(J60&lt;=70000,2000+(J60-60000)*15%,IF(J60&lt;=200000,3500+(J60-70000)*20%,IF(J60&lt;=400000,29500+(J60-200000)*22.5%,IF(J60&lt;=1000000,74500+(J60-400000)*25%,224500+(J60-1000000)*27.5%)))))))/12))</f>
        <v/>
      </c>
      <c r="L60" s="8" t="str">
        <f>IF(A60="","",IF('كشف التوقيع والملخص'!$B$3="نعم",MAX(0,H60-10000)*0.003,0))</f>
        <v/>
      </c>
      <c r="M60" s="8" t="str">
        <f>IF(A60="","",I60+K60+L60)</f>
        <v/>
      </c>
      <c r="N60" s="8" t="str">
        <f>IF(A60="","",H60-M60)</f>
        <v/>
      </c>
    </row>
    <row r="61" spans="1:14" ht="14.25" x14ac:dyDescent="0.15">
      <c r="A61" s="5" t="str">
        <f>IF('بيانات الموظفين'!A61="","",'بيانات الموظفين'!A61)</f>
        <v/>
      </c>
      <c r="B61" s="5" t="str">
        <f>IF(A61="","",'بيانات الموظفين'!B61)</f>
        <v/>
      </c>
      <c r="C61" s="6" t="s">
        <v>25</v>
      </c>
      <c r="D61" s="6">
        <v>2026</v>
      </c>
      <c r="E61" s="6">
        <v>30</v>
      </c>
      <c r="F61" s="7"/>
      <c r="G61" s="7"/>
      <c r="H61" s="8" t="str">
        <f>IF(A61="","",(('بيانات الموظفين'!G61+'بيانات الموظفين'!H61)/30)*MIN(30,MAX(0,E61))+F61+G61)</f>
        <v/>
      </c>
      <c r="I61" s="8" t="str">
        <f>IF(A61="","",MIN(16700,MAX(2700,'بيانات الموظفين'!I61))*11%)</f>
        <v/>
      </c>
      <c r="J61" s="8" t="str">
        <f>IF(A61="","",MAX(0,ROUNDDOWN(H61*12-I61*12-20000,-1)))</f>
        <v/>
      </c>
      <c r="K61" s="8" t="str">
        <f>IF(A61="","",MAX(0,(IF(J61&lt;=40000,0,IF(J61&lt;=60000,(J61-40000)*10%,IF(J61&lt;=70000,2000+(J61-60000)*15%,IF(J61&lt;=200000,3500+(J61-70000)*20%,IF(J61&lt;=400000,29500+(J61-200000)*22.5%,IF(J61&lt;=1000000,74500+(J61-400000)*25%,224500+(J61-1000000)*27.5%)))))))/12))</f>
        <v/>
      </c>
      <c r="L61" s="8" t="str">
        <f>IF(A61="","",IF('كشف التوقيع والملخص'!$B$3="نعم",MAX(0,H61-10000)*0.003,0))</f>
        <v/>
      </c>
      <c r="M61" s="8" t="str">
        <f>IF(A61="","",I61+K61+L61)</f>
        <v/>
      </c>
      <c r="N61" s="8" t="str">
        <f>IF(A61="","",H61-M61)</f>
        <v/>
      </c>
    </row>
    <row r="62" spans="1:14" ht="14.25" x14ac:dyDescent="0.15">
      <c r="A62" s="5" t="str">
        <f>IF('بيانات الموظفين'!A62="","",'بيانات الموظفين'!A62)</f>
        <v/>
      </c>
      <c r="B62" s="5" t="str">
        <f>IF(A62="","",'بيانات الموظفين'!B62)</f>
        <v/>
      </c>
      <c r="C62" s="6" t="s">
        <v>25</v>
      </c>
      <c r="D62" s="6">
        <v>2026</v>
      </c>
      <c r="E62" s="6">
        <v>30</v>
      </c>
      <c r="F62" s="7"/>
      <c r="G62" s="7"/>
      <c r="H62" s="8" t="str">
        <f>IF(A62="","",(('بيانات الموظفين'!G62+'بيانات الموظفين'!H62)/30)*MIN(30,MAX(0,E62))+F62+G62)</f>
        <v/>
      </c>
      <c r="I62" s="8" t="str">
        <f>IF(A62="","",MIN(16700,MAX(2700,'بيانات الموظفين'!I62))*11%)</f>
        <v/>
      </c>
      <c r="J62" s="8" t="str">
        <f>IF(A62="","",MAX(0,ROUNDDOWN(H62*12-I62*12-20000,-1)))</f>
        <v/>
      </c>
      <c r="K62" s="8" t="str">
        <f>IF(A62="","",MAX(0,(IF(J62&lt;=40000,0,IF(J62&lt;=60000,(J62-40000)*10%,IF(J62&lt;=70000,2000+(J62-60000)*15%,IF(J62&lt;=200000,3500+(J62-70000)*20%,IF(J62&lt;=400000,29500+(J62-200000)*22.5%,IF(J62&lt;=1000000,74500+(J62-400000)*25%,224500+(J62-1000000)*27.5%)))))))/12))</f>
        <v/>
      </c>
      <c r="L62" s="8" t="str">
        <f>IF(A62="","",IF('كشف التوقيع والملخص'!$B$3="نعم",MAX(0,H62-10000)*0.003,0))</f>
        <v/>
      </c>
      <c r="M62" s="8" t="str">
        <f>IF(A62="","",I62+K62+L62)</f>
        <v/>
      </c>
      <c r="N62" s="8" t="str">
        <f>IF(A62="","",H62-M62)</f>
        <v/>
      </c>
    </row>
    <row r="63" spans="1:14" ht="14.25" x14ac:dyDescent="0.15">
      <c r="A63" s="5" t="str">
        <f>IF('بيانات الموظفين'!A63="","",'بيانات الموظفين'!A63)</f>
        <v/>
      </c>
      <c r="B63" s="5" t="str">
        <f>IF(A63="","",'بيانات الموظفين'!B63)</f>
        <v/>
      </c>
      <c r="C63" s="6" t="s">
        <v>25</v>
      </c>
      <c r="D63" s="6">
        <v>2026</v>
      </c>
      <c r="E63" s="6">
        <v>30</v>
      </c>
      <c r="F63" s="7"/>
      <c r="G63" s="7"/>
      <c r="H63" s="8" t="str">
        <f>IF(A63="","",(('بيانات الموظفين'!G63+'بيانات الموظفين'!H63)/30)*MIN(30,MAX(0,E63))+F63+G63)</f>
        <v/>
      </c>
      <c r="I63" s="8" t="str">
        <f>IF(A63="","",MIN(16700,MAX(2700,'بيانات الموظفين'!I63))*11%)</f>
        <v/>
      </c>
      <c r="J63" s="8" t="str">
        <f>IF(A63="","",MAX(0,ROUNDDOWN(H63*12-I63*12-20000,-1)))</f>
        <v/>
      </c>
      <c r="K63" s="8" t="str">
        <f>IF(A63="","",MAX(0,(IF(J63&lt;=40000,0,IF(J63&lt;=60000,(J63-40000)*10%,IF(J63&lt;=70000,2000+(J63-60000)*15%,IF(J63&lt;=200000,3500+(J63-70000)*20%,IF(J63&lt;=400000,29500+(J63-200000)*22.5%,IF(J63&lt;=1000000,74500+(J63-400000)*25%,224500+(J63-1000000)*27.5%)))))))/12))</f>
        <v/>
      </c>
      <c r="L63" s="8" t="str">
        <f>IF(A63="","",IF('كشف التوقيع والملخص'!$B$3="نعم",MAX(0,H63-10000)*0.003,0))</f>
        <v/>
      </c>
      <c r="M63" s="8" t="str">
        <f>IF(A63="","",I63+K63+L63)</f>
        <v/>
      </c>
      <c r="N63" s="8" t="str">
        <f>IF(A63="","",H63-M63)</f>
        <v/>
      </c>
    </row>
    <row r="64" spans="1:14" ht="14.25" x14ac:dyDescent="0.15">
      <c r="A64" s="5" t="str">
        <f>IF('بيانات الموظفين'!A64="","",'بيانات الموظفين'!A64)</f>
        <v/>
      </c>
      <c r="B64" s="5" t="str">
        <f>IF(A64="","",'بيانات الموظفين'!B64)</f>
        <v/>
      </c>
      <c r="C64" s="6" t="s">
        <v>25</v>
      </c>
      <c r="D64" s="6">
        <v>2026</v>
      </c>
      <c r="E64" s="6">
        <v>30</v>
      </c>
      <c r="F64" s="7"/>
      <c r="G64" s="7"/>
      <c r="H64" s="8" t="str">
        <f>IF(A64="","",(('بيانات الموظفين'!G64+'بيانات الموظفين'!H64)/30)*MIN(30,MAX(0,E64))+F64+G64)</f>
        <v/>
      </c>
      <c r="I64" s="8" t="str">
        <f>IF(A64="","",MIN(16700,MAX(2700,'بيانات الموظفين'!I64))*11%)</f>
        <v/>
      </c>
      <c r="J64" s="8" t="str">
        <f>IF(A64="","",MAX(0,ROUNDDOWN(H64*12-I64*12-20000,-1)))</f>
        <v/>
      </c>
      <c r="K64" s="8" t="str">
        <f>IF(A64="","",MAX(0,(IF(J64&lt;=40000,0,IF(J64&lt;=60000,(J64-40000)*10%,IF(J64&lt;=70000,2000+(J64-60000)*15%,IF(J64&lt;=200000,3500+(J64-70000)*20%,IF(J64&lt;=400000,29500+(J64-200000)*22.5%,IF(J64&lt;=1000000,74500+(J64-400000)*25%,224500+(J64-1000000)*27.5%)))))))/12))</f>
        <v/>
      </c>
      <c r="L64" s="8" t="str">
        <f>IF(A64="","",IF('كشف التوقيع والملخص'!$B$3="نعم",MAX(0,H64-10000)*0.003,0))</f>
        <v/>
      </c>
      <c r="M64" s="8" t="str">
        <f>IF(A64="","",I64+K64+L64)</f>
        <v/>
      </c>
      <c r="N64" s="8" t="str">
        <f>IF(A64="","",H64-M64)</f>
        <v/>
      </c>
    </row>
    <row r="65" spans="1:14" ht="14.25" x14ac:dyDescent="0.15">
      <c r="A65" s="5" t="str">
        <f>IF('بيانات الموظفين'!A65="","",'بيانات الموظفين'!A65)</f>
        <v/>
      </c>
      <c r="B65" s="5" t="str">
        <f>IF(A65="","",'بيانات الموظفين'!B65)</f>
        <v/>
      </c>
      <c r="C65" s="6" t="s">
        <v>25</v>
      </c>
      <c r="D65" s="6">
        <v>2026</v>
      </c>
      <c r="E65" s="6">
        <v>30</v>
      </c>
      <c r="F65" s="7"/>
      <c r="G65" s="7"/>
      <c r="H65" s="8" t="str">
        <f>IF(A65="","",(('بيانات الموظفين'!G65+'بيانات الموظفين'!H65)/30)*MIN(30,MAX(0,E65))+F65+G65)</f>
        <v/>
      </c>
      <c r="I65" s="8" t="str">
        <f>IF(A65="","",MIN(16700,MAX(2700,'بيانات الموظفين'!I65))*11%)</f>
        <v/>
      </c>
      <c r="J65" s="8" t="str">
        <f>IF(A65="","",MAX(0,ROUNDDOWN(H65*12-I65*12-20000,-1)))</f>
        <v/>
      </c>
      <c r="K65" s="8" t="str">
        <f>IF(A65="","",MAX(0,(IF(J65&lt;=40000,0,IF(J65&lt;=60000,(J65-40000)*10%,IF(J65&lt;=70000,2000+(J65-60000)*15%,IF(J65&lt;=200000,3500+(J65-70000)*20%,IF(J65&lt;=400000,29500+(J65-200000)*22.5%,IF(J65&lt;=1000000,74500+(J65-400000)*25%,224500+(J65-1000000)*27.5%)))))))/12))</f>
        <v/>
      </c>
      <c r="L65" s="8" t="str">
        <f>IF(A65="","",IF('كشف التوقيع والملخص'!$B$3="نعم",MAX(0,H65-10000)*0.003,0))</f>
        <v/>
      </c>
      <c r="M65" s="8" t="str">
        <f>IF(A65="","",I65+K65+L65)</f>
        <v/>
      </c>
      <c r="N65" s="8" t="str">
        <f>IF(A65="","",H65-M65)</f>
        <v/>
      </c>
    </row>
    <row r="66" spans="1:14" ht="14.25" x14ac:dyDescent="0.15">
      <c r="A66" s="5" t="str">
        <f>IF('بيانات الموظفين'!A66="","",'بيانات الموظفين'!A66)</f>
        <v/>
      </c>
      <c r="B66" s="5" t="str">
        <f>IF(A66="","",'بيانات الموظفين'!B66)</f>
        <v/>
      </c>
      <c r="C66" s="6" t="s">
        <v>25</v>
      </c>
      <c r="D66" s="6">
        <v>2026</v>
      </c>
      <c r="E66" s="6">
        <v>30</v>
      </c>
      <c r="F66" s="7"/>
      <c r="G66" s="7"/>
      <c r="H66" s="8" t="str">
        <f>IF(A66="","",(('بيانات الموظفين'!G66+'بيانات الموظفين'!H66)/30)*MIN(30,MAX(0,E66))+F66+G66)</f>
        <v/>
      </c>
      <c r="I66" s="8" t="str">
        <f>IF(A66="","",MIN(16700,MAX(2700,'بيانات الموظفين'!I66))*11%)</f>
        <v/>
      </c>
      <c r="J66" s="8" t="str">
        <f>IF(A66="","",MAX(0,ROUNDDOWN(H66*12-I66*12-20000,-1)))</f>
        <v/>
      </c>
      <c r="K66" s="8" t="str">
        <f>IF(A66="","",MAX(0,(IF(J66&lt;=40000,0,IF(J66&lt;=60000,(J66-40000)*10%,IF(J66&lt;=70000,2000+(J66-60000)*15%,IF(J66&lt;=200000,3500+(J66-70000)*20%,IF(J66&lt;=400000,29500+(J66-200000)*22.5%,IF(J66&lt;=1000000,74500+(J66-400000)*25%,224500+(J66-1000000)*27.5%)))))))/12))</f>
        <v/>
      </c>
      <c r="L66" s="8" t="str">
        <f>IF(A66="","",IF('كشف التوقيع والملخص'!$B$3="نعم",MAX(0,H66-10000)*0.003,0))</f>
        <v/>
      </c>
      <c r="M66" s="8" t="str">
        <f>IF(A66="","",I66+K66+L66)</f>
        <v/>
      </c>
      <c r="N66" s="8" t="str">
        <f>IF(A66="","",H66-M66)</f>
        <v/>
      </c>
    </row>
    <row r="67" spans="1:14" ht="14.25" x14ac:dyDescent="0.15">
      <c r="A67" s="5" t="str">
        <f>IF('بيانات الموظفين'!A67="","",'بيانات الموظفين'!A67)</f>
        <v/>
      </c>
      <c r="B67" s="5" t="str">
        <f>IF(A67="","",'بيانات الموظفين'!B67)</f>
        <v/>
      </c>
      <c r="C67" s="6" t="s">
        <v>25</v>
      </c>
      <c r="D67" s="6">
        <v>2026</v>
      </c>
      <c r="E67" s="6">
        <v>30</v>
      </c>
      <c r="F67" s="7"/>
      <c r="G67" s="7"/>
      <c r="H67" s="8" t="str">
        <f>IF(A67="","",(('بيانات الموظفين'!G67+'بيانات الموظفين'!H67)/30)*MIN(30,MAX(0,E67))+F67+G67)</f>
        <v/>
      </c>
      <c r="I67" s="8" t="str">
        <f>IF(A67="","",MIN(16700,MAX(2700,'بيانات الموظفين'!I67))*11%)</f>
        <v/>
      </c>
      <c r="J67" s="8" t="str">
        <f>IF(A67="","",MAX(0,ROUNDDOWN(H67*12-I67*12-20000,-1)))</f>
        <v/>
      </c>
      <c r="K67" s="8" t="str">
        <f>IF(A67="","",MAX(0,(IF(J67&lt;=40000,0,IF(J67&lt;=60000,(J67-40000)*10%,IF(J67&lt;=70000,2000+(J67-60000)*15%,IF(J67&lt;=200000,3500+(J67-70000)*20%,IF(J67&lt;=400000,29500+(J67-200000)*22.5%,IF(J67&lt;=1000000,74500+(J67-400000)*25%,224500+(J67-1000000)*27.5%)))))))/12))</f>
        <v/>
      </c>
      <c r="L67" s="8" t="str">
        <f>IF(A67="","",IF('كشف التوقيع والملخص'!$B$3="نعم",MAX(0,H67-10000)*0.003,0))</f>
        <v/>
      </c>
      <c r="M67" s="8" t="str">
        <f>IF(A67="","",I67+K67+L67)</f>
        <v/>
      </c>
      <c r="N67" s="8" t="str">
        <f>IF(A67="","",H67-M67)</f>
        <v/>
      </c>
    </row>
    <row r="68" spans="1:14" ht="14.25" x14ac:dyDescent="0.15">
      <c r="A68" s="5" t="str">
        <f>IF('بيانات الموظفين'!A68="","",'بيانات الموظفين'!A68)</f>
        <v/>
      </c>
      <c r="B68" s="5" t="str">
        <f>IF(A68="","",'بيانات الموظفين'!B68)</f>
        <v/>
      </c>
      <c r="C68" s="6" t="s">
        <v>25</v>
      </c>
      <c r="D68" s="6">
        <v>2026</v>
      </c>
      <c r="E68" s="6">
        <v>30</v>
      </c>
      <c r="F68" s="7"/>
      <c r="G68" s="7"/>
      <c r="H68" s="8" t="str">
        <f>IF(A68="","",(('بيانات الموظفين'!G68+'بيانات الموظفين'!H68)/30)*MIN(30,MAX(0,E68))+F68+G68)</f>
        <v/>
      </c>
      <c r="I68" s="8" t="str">
        <f>IF(A68="","",MIN(16700,MAX(2700,'بيانات الموظفين'!I68))*11%)</f>
        <v/>
      </c>
      <c r="J68" s="8" t="str">
        <f>IF(A68="","",MAX(0,ROUNDDOWN(H68*12-I68*12-20000,-1)))</f>
        <v/>
      </c>
      <c r="K68" s="8" t="str">
        <f>IF(A68="","",MAX(0,(IF(J68&lt;=40000,0,IF(J68&lt;=60000,(J68-40000)*10%,IF(J68&lt;=70000,2000+(J68-60000)*15%,IF(J68&lt;=200000,3500+(J68-70000)*20%,IF(J68&lt;=400000,29500+(J68-200000)*22.5%,IF(J68&lt;=1000000,74500+(J68-400000)*25%,224500+(J68-1000000)*27.5%)))))))/12))</f>
        <v/>
      </c>
      <c r="L68" s="8" t="str">
        <f>IF(A68="","",IF('كشف التوقيع والملخص'!$B$3="نعم",MAX(0,H68-10000)*0.003,0))</f>
        <v/>
      </c>
      <c r="M68" s="8" t="str">
        <f>IF(A68="","",I68+K68+L68)</f>
        <v/>
      </c>
      <c r="N68" s="8" t="str">
        <f>IF(A68="","",H68-M68)</f>
        <v/>
      </c>
    </row>
    <row r="69" spans="1:14" ht="14.25" x14ac:dyDescent="0.15">
      <c r="A69" s="5" t="str">
        <f>IF('بيانات الموظفين'!A69="","",'بيانات الموظفين'!A69)</f>
        <v/>
      </c>
      <c r="B69" s="5" t="str">
        <f>IF(A69="","",'بيانات الموظفين'!B69)</f>
        <v/>
      </c>
      <c r="C69" s="6" t="s">
        <v>25</v>
      </c>
      <c r="D69" s="6">
        <v>2026</v>
      </c>
      <c r="E69" s="6">
        <v>30</v>
      </c>
      <c r="F69" s="7"/>
      <c r="G69" s="7"/>
      <c r="H69" s="8" t="str">
        <f>IF(A69="","",(('بيانات الموظفين'!G69+'بيانات الموظفين'!H69)/30)*MIN(30,MAX(0,E69))+F69+G69)</f>
        <v/>
      </c>
      <c r="I69" s="8" t="str">
        <f>IF(A69="","",MIN(16700,MAX(2700,'بيانات الموظفين'!I69))*11%)</f>
        <v/>
      </c>
      <c r="J69" s="8" t="str">
        <f>IF(A69="","",MAX(0,ROUNDDOWN(H69*12-I69*12-20000,-1)))</f>
        <v/>
      </c>
      <c r="K69" s="8" t="str">
        <f>IF(A69="","",MAX(0,(IF(J69&lt;=40000,0,IF(J69&lt;=60000,(J69-40000)*10%,IF(J69&lt;=70000,2000+(J69-60000)*15%,IF(J69&lt;=200000,3500+(J69-70000)*20%,IF(J69&lt;=400000,29500+(J69-200000)*22.5%,IF(J69&lt;=1000000,74500+(J69-400000)*25%,224500+(J69-1000000)*27.5%)))))))/12))</f>
        <v/>
      </c>
      <c r="L69" s="8" t="str">
        <f>IF(A69="","",IF('كشف التوقيع والملخص'!$B$3="نعم",MAX(0,H69-10000)*0.003,0))</f>
        <v/>
      </c>
      <c r="M69" s="8" t="str">
        <f>IF(A69="","",I69+K69+L69)</f>
        <v/>
      </c>
      <c r="N69" s="8" t="str">
        <f>IF(A69="","",H69-M69)</f>
        <v/>
      </c>
    </row>
    <row r="70" spans="1:14" ht="14.25" x14ac:dyDescent="0.15">
      <c r="A70" s="5" t="str">
        <f>IF('بيانات الموظفين'!A70="","",'بيانات الموظفين'!A70)</f>
        <v/>
      </c>
      <c r="B70" s="5" t="str">
        <f>IF(A70="","",'بيانات الموظفين'!B70)</f>
        <v/>
      </c>
      <c r="C70" s="6" t="s">
        <v>25</v>
      </c>
      <c r="D70" s="6">
        <v>2026</v>
      </c>
      <c r="E70" s="6">
        <v>30</v>
      </c>
      <c r="F70" s="7"/>
      <c r="G70" s="7"/>
      <c r="H70" s="8" t="str">
        <f>IF(A70="","",(('بيانات الموظفين'!G70+'بيانات الموظفين'!H70)/30)*MIN(30,MAX(0,E70))+F70+G70)</f>
        <v/>
      </c>
      <c r="I70" s="8" t="str">
        <f>IF(A70="","",MIN(16700,MAX(2700,'بيانات الموظفين'!I70))*11%)</f>
        <v/>
      </c>
      <c r="J70" s="8" t="str">
        <f>IF(A70="","",MAX(0,ROUNDDOWN(H70*12-I70*12-20000,-1)))</f>
        <v/>
      </c>
      <c r="K70" s="8" t="str">
        <f>IF(A70="","",MAX(0,(IF(J70&lt;=40000,0,IF(J70&lt;=60000,(J70-40000)*10%,IF(J70&lt;=70000,2000+(J70-60000)*15%,IF(J70&lt;=200000,3500+(J70-70000)*20%,IF(J70&lt;=400000,29500+(J70-200000)*22.5%,IF(J70&lt;=1000000,74500+(J70-400000)*25%,224500+(J70-1000000)*27.5%)))))))/12))</f>
        <v/>
      </c>
      <c r="L70" s="8" t="str">
        <f>IF(A70="","",IF('كشف التوقيع والملخص'!$B$3="نعم",MAX(0,H70-10000)*0.003,0))</f>
        <v/>
      </c>
      <c r="M70" s="8" t="str">
        <f>IF(A70="","",I70+K70+L70)</f>
        <v/>
      </c>
      <c r="N70" s="8" t="str">
        <f>IF(A70="","",H70-M70)</f>
        <v/>
      </c>
    </row>
    <row r="71" spans="1:14" ht="14.25" x14ac:dyDescent="0.15">
      <c r="A71" s="5" t="str">
        <f>IF('بيانات الموظفين'!A71="","",'بيانات الموظفين'!A71)</f>
        <v/>
      </c>
      <c r="B71" s="5" t="str">
        <f>IF(A71="","",'بيانات الموظفين'!B71)</f>
        <v/>
      </c>
      <c r="C71" s="6" t="s">
        <v>25</v>
      </c>
      <c r="D71" s="6">
        <v>2026</v>
      </c>
      <c r="E71" s="6">
        <v>30</v>
      </c>
      <c r="F71" s="7"/>
      <c r="G71" s="7"/>
      <c r="H71" s="8" t="str">
        <f>IF(A71="","",(('بيانات الموظفين'!G71+'بيانات الموظفين'!H71)/30)*MIN(30,MAX(0,E71))+F71+G71)</f>
        <v/>
      </c>
      <c r="I71" s="8" t="str">
        <f>IF(A71="","",MIN(16700,MAX(2700,'بيانات الموظفين'!I71))*11%)</f>
        <v/>
      </c>
      <c r="J71" s="8" t="str">
        <f>IF(A71="","",MAX(0,ROUNDDOWN(H71*12-I71*12-20000,-1)))</f>
        <v/>
      </c>
      <c r="K71" s="8" t="str">
        <f>IF(A71="","",MAX(0,(IF(J71&lt;=40000,0,IF(J71&lt;=60000,(J71-40000)*10%,IF(J71&lt;=70000,2000+(J71-60000)*15%,IF(J71&lt;=200000,3500+(J71-70000)*20%,IF(J71&lt;=400000,29500+(J71-200000)*22.5%,IF(J71&lt;=1000000,74500+(J71-400000)*25%,224500+(J71-1000000)*27.5%)))))))/12))</f>
        <v/>
      </c>
      <c r="L71" s="8" t="str">
        <f>IF(A71="","",IF('كشف التوقيع والملخص'!$B$3="نعم",MAX(0,H71-10000)*0.003,0))</f>
        <v/>
      </c>
      <c r="M71" s="8" t="str">
        <f>IF(A71="","",I71+K71+L71)</f>
        <v/>
      </c>
      <c r="N71" s="8" t="str">
        <f>IF(A71="","",H71-M71)</f>
        <v/>
      </c>
    </row>
    <row r="72" spans="1:14" ht="14.25" x14ac:dyDescent="0.15">
      <c r="A72" s="5" t="str">
        <f>IF('بيانات الموظفين'!A72="","",'بيانات الموظفين'!A72)</f>
        <v/>
      </c>
      <c r="B72" s="5" t="str">
        <f>IF(A72="","",'بيانات الموظفين'!B72)</f>
        <v/>
      </c>
      <c r="C72" s="6" t="s">
        <v>25</v>
      </c>
      <c r="D72" s="6">
        <v>2026</v>
      </c>
      <c r="E72" s="6">
        <v>30</v>
      </c>
      <c r="F72" s="7"/>
      <c r="G72" s="7"/>
      <c r="H72" s="8" t="str">
        <f>IF(A72="","",(('بيانات الموظفين'!G72+'بيانات الموظفين'!H72)/30)*MIN(30,MAX(0,E72))+F72+G72)</f>
        <v/>
      </c>
      <c r="I72" s="8" t="str">
        <f>IF(A72="","",MIN(16700,MAX(2700,'بيانات الموظفين'!I72))*11%)</f>
        <v/>
      </c>
      <c r="J72" s="8" t="str">
        <f>IF(A72="","",MAX(0,ROUNDDOWN(H72*12-I72*12-20000,-1)))</f>
        <v/>
      </c>
      <c r="K72" s="8" t="str">
        <f>IF(A72="","",MAX(0,(IF(J72&lt;=40000,0,IF(J72&lt;=60000,(J72-40000)*10%,IF(J72&lt;=70000,2000+(J72-60000)*15%,IF(J72&lt;=200000,3500+(J72-70000)*20%,IF(J72&lt;=400000,29500+(J72-200000)*22.5%,IF(J72&lt;=1000000,74500+(J72-400000)*25%,224500+(J72-1000000)*27.5%)))))))/12))</f>
        <v/>
      </c>
      <c r="L72" s="8" t="str">
        <f>IF(A72="","",IF('كشف التوقيع والملخص'!$B$3="نعم",MAX(0,H72-10000)*0.003,0))</f>
        <v/>
      </c>
      <c r="M72" s="8" t="str">
        <f>IF(A72="","",I72+K72+L72)</f>
        <v/>
      </c>
      <c r="N72" s="8" t="str">
        <f>IF(A72="","",H72-M72)</f>
        <v/>
      </c>
    </row>
    <row r="73" spans="1:14" ht="14.25" x14ac:dyDescent="0.15">
      <c r="A73" s="5" t="str">
        <f>IF('بيانات الموظفين'!A73="","",'بيانات الموظفين'!A73)</f>
        <v/>
      </c>
      <c r="B73" s="5" t="str">
        <f>IF(A73="","",'بيانات الموظفين'!B73)</f>
        <v/>
      </c>
      <c r="C73" s="6" t="s">
        <v>25</v>
      </c>
      <c r="D73" s="6">
        <v>2026</v>
      </c>
      <c r="E73" s="6">
        <v>30</v>
      </c>
      <c r="F73" s="7"/>
      <c r="G73" s="7"/>
      <c r="H73" s="8" t="str">
        <f>IF(A73="","",(('بيانات الموظفين'!G73+'بيانات الموظفين'!H73)/30)*MIN(30,MAX(0,E73))+F73+G73)</f>
        <v/>
      </c>
      <c r="I73" s="8" t="str">
        <f>IF(A73="","",MIN(16700,MAX(2700,'بيانات الموظفين'!I73))*11%)</f>
        <v/>
      </c>
      <c r="J73" s="8" t="str">
        <f>IF(A73="","",MAX(0,ROUNDDOWN(H73*12-I73*12-20000,-1)))</f>
        <v/>
      </c>
      <c r="K73" s="8" t="str">
        <f>IF(A73="","",MAX(0,(IF(J73&lt;=40000,0,IF(J73&lt;=60000,(J73-40000)*10%,IF(J73&lt;=70000,2000+(J73-60000)*15%,IF(J73&lt;=200000,3500+(J73-70000)*20%,IF(J73&lt;=400000,29500+(J73-200000)*22.5%,IF(J73&lt;=1000000,74500+(J73-400000)*25%,224500+(J73-1000000)*27.5%)))))))/12))</f>
        <v/>
      </c>
      <c r="L73" s="8" t="str">
        <f>IF(A73="","",IF('كشف التوقيع والملخص'!$B$3="نعم",MAX(0,H73-10000)*0.003,0))</f>
        <v/>
      </c>
      <c r="M73" s="8" t="str">
        <f>IF(A73="","",I73+K73+L73)</f>
        <v/>
      </c>
      <c r="N73" s="8" t="str">
        <f>IF(A73="","",H73-M73)</f>
        <v/>
      </c>
    </row>
    <row r="74" spans="1:14" ht="14.25" x14ac:dyDescent="0.15">
      <c r="A74" s="5" t="str">
        <f>IF('بيانات الموظفين'!A74="","",'بيانات الموظفين'!A74)</f>
        <v/>
      </c>
      <c r="B74" s="5" t="str">
        <f>IF(A74="","",'بيانات الموظفين'!B74)</f>
        <v/>
      </c>
      <c r="C74" s="6" t="s">
        <v>25</v>
      </c>
      <c r="D74" s="6">
        <v>2026</v>
      </c>
      <c r="E74" s="6">
        <v>30</v>
      </c>
      <c r="F74" s="7"/>
      <c r="G74" s="7"/>
      <c r="H74" s="8" t="str">
        <f>IF(A74="","",(('بيانات الموظفين'!G74+'بيانات الموظفين'!H74)/30)*MIN(30,MAX(0,E74))+F74+G74)</f>
        <v/>
      </c>
      <c r="I74" s="8" t="str">
        <f>IF(A74="","",MIN(16700,MAX(2700,'بيانات الموظفين'!I74))*11%)</f>
        <v/>
      </c>
      <c r="J74" s="8" t="str">
        <f>IF(A74="","",MAX(0,ROUNDDOWN(H74*12-I74*12-20000,-1)))</f>
        <v/>
      </c>
      <c r="K74" s="8" t="str">
        <f>IF(A74="","",MAX(0,(IF(J74&lt;=40000,0,IF(J74&lt;=60000,(J74-40000)*10%,IF(J74&lt;=70000,2000+(J74-60000)*15%,IF(J74&lt;=200000,3500+(J74-70000)*20%,IF(J74&lt;=400000,29500+(J74-200000)*22.5%,IF(J74&lt;=1000000,74500+(J74-400000)*25%,224500+(J74-1000000)*27.5%)))))))/12))</f>
        <v/>
      </c>
      <c r="L74" s="8" t="str">
        <f>IF(A74="","",IF('كشف التوقيع والملخص'!$B$3="نعم",MAX(0,H74-10000)*0.003,0))</f>
        <v/>
      </c>
      <c r="M74" s="8" t="str">
        <f>IF(A74="","",I74+K74+L74)</f>
        <v/>
      </c>
      <c r="N74" s="8" t="str">
        <f>IF(A74="","",H74-M74)</f>
        <v/>
      </c>
    </row>
    <row r="75" spans="1:14" ht="14.25" x14ac:dyDescent="0.15">
      <c r="A75" s="5" t="str">
        <f>IF('بيانات الموظفين'!A75="","",'بيانات الموظفين'!A75)</f>
        <v/>
      </c>
      <c r="B75" s="5" t="str">
        <f>IF(A75="","",'بيانات الموظفين'!B75)</f>
        <v/>
      </c>
      <c r="C75" s="6" t="s">
        <v>25</v>
      </c>
      <c r="D75" s="6">
        <v>2026</v>
      </c>
      <c r="E75" s="6">
        <v>30</v>
      </c>
      <c r="F75" s="7"/>
      <c r="G75" s="7"/>
      <c r="H75" s="8" t="str">
        <f>IF(A75="","",(('بيانات الموظفين'!G75+'بيانات الموظفين'!H75)/30)*MIN(30,MAX(0,E75))+F75+G75)</f>
        <v/>
      </c>
      <c r="I75" s="8" t="str">
        <f>IF(A75="","",MIN(16700,MAX(2700,'بيانات الموظفين'!I75))*11%)</f>
        <v/>
      </c>
      <c r="J75" s="8" t="str">
        <f>IF(A75="","",MAX(0,ROUNDDOWN(H75*12-I75*12-20000,-1)))</f>
        <v/>
      </c>
      <c r="K75" s="8" t="str">
        <f>IF(A75="","",MAX(0,(IF(J75&lt;=40000,0,IF(J75&lt;=60000,(J75-40000)*10%,IF(J75&lt;=70000,2000+(J75-60000)*15%,IF(J75&lt;=200000,3500+(J75-70000)*20%,IF(J75&lt;=400000,29500+(J75-200000)*22.5%,IF(J75&lt;=1000000,74500+(J75-400000)*25%,224500+(J75-1000000)*27.5%)))))))/12))</f>
        <v/>
      </c>
      <c r="L75" s="8" t="str">
        <f>IF(A75="","",IF('كشف التوقيع والملخص'!$B$3="نعم",MAX(0,H75-10000)*0.003,0))</f>
        <v/>
      </c>
      <c r="M75" s="8" t="str">
        <f>IF(A75="","",I75+K75+L75)</f>
        <v/>
      </c>
      <c r="N75" s="8" t="str">
        <f>IF(A75="","",H75-M75)</f>
        <v/>
      </c>
    </row>
    <row r="76" spans="1:14" ht="14.25" x14ac:dyDescent="0.15">
      <c r="A76" s="5" t="str">
        <f>IF('بيانات الموظفين'!A76="","",'بيانات الموظفين'!A76)</f>
        <v/>
      </c>
      <c r="B76" s="5" t="str">
        <f>IF(A76="","",'بيانات الموظفين'!B76)</f>
        <v/>
      </c>
      <c r="C76" s="6" t="s">
        <v>25</v>
      </c>
      <c r="D76" s="6">
        <v>2026</v>
      </c>
      <c r="E76" s="6">
        <v>30</v>
      </c>
      <c r="F76" s="7"/>
      <c r="G76" s="7"/>
      <c r="H76" s="8" t="str">
        <f>IF(A76="","",(('بيانات الموظفين'!G76+'بيانات الموظفين'!H76)/30)*MIN(30,MAX(0,E76))+F76+G76)</f>
        <v/>
      </c>
      <c r="I76" s="8" t="str">
        <f>IF(A76="","",MIN(16700,MAX(2700,'بيانات الموظفين'!I76))*11%)</f>
        <v/>
      </c>
      <c r="J76" s="8" t="str">
        <f>IF(A76="","",MAX(0,ROUNDDOWN(H76*12-I76*12-20000,-1)))</f>
        <v/>
      </c>
      <c r="K76" s="8" t="str">
        <f>IF(A76="","",MAX(0,(IF(J76&lt;=40000,0,IF(J76&lt;=60000,(J76-40000)*10%,IF(J76&lt;=70000,2000+(J76-60000)*15%,IF(J76&lt;=200000,3500+(J76-70000)*20%,IF(J76&lt;=400000,29500+(J76-200000)*22.5%,IF(J76&lt;=1000000,74500+(J76-400000)*25%,224500+(J76-1000000)*27.5%)))))))/12))</f>
        <v/>
      </c>
      <c r="L76" s="8" t="str">
        <f>IF(A76="","",IF('كشف التوقيع والملخص'!$B$3="نعم",MAX(0,H76-10000)*0.003,0))</f>
        <v/>
      </c>
      <c r="M76" s="8" t="str">
        <f>IF(A76="","",I76+K76+L76)</f>
        <v/>
      </c>
      <c r="N76" s="8" t="str">
        <f>IF(A76="","",H76-M76)</f>
        <v/>
      </c>
    </row>
    <row r="77" spans="1:14" ht="14.25" x14ac:dyDescent="0.15">
      <c r="A77" s="5" t="str">
        <f>IF('بيانات الموظفين'!A77="","",'بيانات الموظفين'!A77)</f>
        <v/>
      </c>
      <c r="B77" s="5" t="str">
        <f>IF(A77="","",'بيانات الموظفين'!B77)</f>
        <v/>
      </c>
      <c r="C77" s="6" t="s">
        <v>25</v>
      </c>
      <c r="D77" s="6">
        <v>2026</v>
      </c>
      <c r="E77" s="6">
        <v>30</v>
      </c>
      <c r="F77" s="7"/>
      <c r="G77" s="7"/>
      <c r="H77" s="8" t="str">
        <f>IF(A77="","",(('بيانات الموظفين'!G77+'بيانات الموظفين'!H77)/30)*MIN(30,MAX(0,E77))+F77+G77)</f>
        <v/>
      </c>
      <c r="I77" s="8" t="str">
        <f>IF(A77="","",MIN(16700,MAX(2700,'بيانات الموظفين'!I77))*11%)</f>
        <v/>
      </c>
      <c r="J77" s="8" t="str">
        <f>IF(A77="","",MAX(0,ROUNDDOWN(H77*12-I77*12-20000,-1)))</f>
        <v/>
      </c>
      <c r="K77" s="8" t="str">
        <f>IF(A77="","",MAX(0,(IF(J77&lt;=40000,0,IF(J77&lt;=60000,(J77-40000)*10%,IF(J77&lt;=70000,2000+(J77-60000)*15%,IF(J77&lt;=200000,3500+(J77-70000)*20%,IF(J77&lt;=400000,29500+(J77-200000)*22.5%,IF(J77&lt;=1000000,74500+(J77-400000)*25%,224500+(J77-1000000)*27.5%)))))))/12))</f>
        <v/>
      </c>
      <c r="L77" s="8" t="str">
        <f>IF(A77="","",IF('كشف التوقيع والملخص'!$B$3="نعم",MAX(0,H77-10000)*0.003,0))</f>
        <v/>
      </c>
      <c r="M77" s="8" t="str">
        <f>IF(A77="","",I77+K77+L77)</f>
        <v/>
      </c>
      <c r="N77" s="8" t="str">
        <f>IF(A77="","",H77-M77)</f>
        <v/>
      </c>
    </row>
    <row r="78" spans="1:14" ht="14.25" x14ac:dyDescent="0.15">
      <c r="A78" s="5" t="str">
        <f>IF('بيانات الموظفين'!A78="","",'بيانات الموظفين'!A78)</f>
        <v/>
      </c>
      <c r="B78" s="5" t="str">
        <f>IF(A78="","",'بيانات الموظفين'!B78)</f>
        <v/>
      </c>
      <c r="C78" s="6" t="s">
        <v>25</v>
      </c>
      <c r="D78" s="6">
        <v>2026</v>
      </c>
      <c r="E78" s="6">
        <v>30</v>
      </c>
      <c r="F78" s="7"/>
      <c r="G78" s="7"/>
      <c r="H78" s="8" t="str">
        <f>IF(A78="","",(('بيانات الموظفين'!G78+'بيانات الموظفين'!H78)/30)*MIN(30,MAX(0,E78))+F78+G78)</f>
        <v/>
      </c>
      <c r="I78" s="8" t="str">
        <f>IF(A78="","",MIN(16700,MAX(2700,'بيانات الموظفين'!I78))*11%)</f>
        <v/>
      </c>
      <c r="J78" s="8" t="str">
        <f>IF(A78="","",MAX(0,ROUNDDOWN(H78*12-I78*12-20000,-1)))</f>
        <v/>
      </c>
      <c r="K78" s="8" t="str">
        <f>IF(A78="","",MAX(0,(IF(J78&lt;=40000,0,IF(J78&lt;=60000,(J78-40000)*10%,IF(J78&lt;=70000,2000+(J78-60000)*15%,IF(J78&lt;=200000,3500+(J78-70000)*20%,IF(J78&lt;=400000,29500+(J78-200000)*22.5%,IF(J78&lt;=1000000,74500+(J78-400000)*25%,224500+(J78-1000000)*27.5%)))))))/12))</f>
        <v/>
      </c>
      <c r="L78" s="8" t="str">
        <f>IF(A78="","",IF('كشف التوقيع والملخص'!$B$3="نعم",MAX(0,H78-10000)*0.003,0))</f>
        <v/>
      </c>
      <c r="M78" s="8" t="str">
        <f>IF(A78="","",I78+K78+L78)</f>
        <v/>
      </c>
      <c r="N78" s="8" t="str">
        <f>IF(A78="","",H78-M78)</f>
        <v/>
      </c>
    </row>
    <row r="79" spans="1:14" ht="14.25" x14ac:dyDescent="0.15">
      <c r="A79" s="5" t="str">
        <f>IF('بيانات الموظفين'!A79="","",'بيانات الموظفين'!A79)</f>
        <v/>
      </c>
      <c r="B79" s="5" t="str">
        <f>IF(A79="","",'بيانات الموظفين'!B79)</f>
        <v/>
      </c>
      <c r="C79" s="6" t="s">
        <v>25</v>
      </c>
      <c r="D79" s="6">
        <v>2026</v>
      </c>
      <c r="E79" s="6">
        <v>30</v>
      </c>
      <c r="F79" s="7"/>
      <c r="G79" s="7"/>
      <c r="H79" s="8" t="str">
        <f>IF(A79="","",(('بيانات الموظفين'!G79+'بيانات الموظفين'!H79)/30)*MIN(30,MAX(0,E79))+F79+G79)</f>
        <v/>
      </c>
      <c r="I79" s="8" t="str">
        <f>IF(A79="","",MIN(16700,MAX(2700,'بيانات الموظفين'!I79))*11%)</f>
        <v/>
      </c>
      <c r="J79" s="8" t="str">
        <f>IF(A79="","",MAX(0,ROUNDDOWN(H79*12-I79*12-20000,-1)))</f>
        <v/>
      </c>
      <c r="K79" s="8" t="str">
        <f>IF(A79="","",MAX(0,(IF(J79&lt;=40000,0,IF(J79&lt;=60000,(J79-40000)*10%,IF(J79&lt;=70000,2000+(J79-60000)*15%,IF(J79&lt;=200000,3500+(J79-70000)*20%,IF(J79&lt;=400000,29500+(J79-200000)*22.5%,IF(J79&lt;=1000000,74500+(J79-400000)*25%,224500+(J79-1000000)*27.5%)))))))/12))</f>
        <v/>
      </c>
      <c r="L79" s="8" t="str">
        <f>IF(A79="","",IF('كشف التوقيع والملخص'!$B$3="نعم",MAX(0,H79-10000)*0.003,0))</f>
        <v/>
      </c>
      <c r="M79" s="8" t="str">
        <f>IF(A79="","",I79+K79+L79)</f>
        <v/>
      </c>
      <c r="N79" s="8" t="str">
        <f>IF(A79="","",H79-M79)</f>
        <v/>
      </c>
    </row>
    <row r="80" spans="1:14" ht="14.25" x14ac:dyDescent="0.15">
      <c r="A80" s="5" t="str">
        <f>IF('بيانات الموظفين'!A80="","",'بيانات الموظفين'!A80)</f>
        <v/>
      </c>
      <c r="B80" s="5" t="str">
        <f>IF(A80="","",'بيانات الموظفين'!B80)</f>
        <v/>
      </c>
      <c r="C80" s="6" t="s">
        <v>25</v>
      </c>
      <c r="D80" s="6">
        <v>2026</v>
      </c>
      <c r="E80" s="6">
        <v>30</v>
      </c>
      <c r="F80" s="7"/>
      <c r="G80" s="7"/>
      <c r="H80" s="8" t="str">
        <f>IF(A80="","",(('بيانات الموظفين'!G80+'بيانات الموظفين'!H80)/30)*MIN(30,MAX(0,E80))+F80+G80)</f>
        <v/>
      </c>
      <c r="I80" s="8" t="str">
        <f>IF(A80="","",MIN(16700,MAX(2700,'بيانات الموظفين'!I80))*11%)</f>
        <v/>
      </c>
      <c r="J80" s="8" t="str">
        <f>IF(A80="","",MAX(0,ROUNDDOWN(H80*12-I80*12-20000,-1)))</f>
        <v/>
      </c>
      <c r="K80" s="8" t="str">
        <f>IF(A80="","",MAX(0,(IF(J80&lt;=40000,0,IF(J80&lt;=60000,(J80-40000)*10%,IF(J80&lt;=70000,2000+(J80-60000)*15%,IF(J80&lt;=200000,3500+(J80-70000)*20%,IF(J80&lt;=400000,29500+(J80-200000)*22.5%,IF(J80&lt;=1000000,74500+(J80-400000)*25%,224500+(J80-1000000)*27.5%)))))))/12))</f>
        <v/>
      </c>
      <c r="L80" s="8" t="str">
        <f>IF(A80="","",IF('كشف التوقيع والملخص'!$B$3="نعم",MAX(0,H80-10000)*0.003,0))</f>
        <v/>
      </c>
      <c r="M80" s="8" t="str">
        <f>IF(A80="","",I80+K80+L80)</f>
        <v/>
      </c>
      <c r="N80" s="8" t="str">
        <f>IF(A80="","",H80-M80)</f>
        <v/>
      </c>
    </row>
    <row r="81" spans="1:14" ht="14.25" x14ac:dyDescent="0.15">
      <c r="A81" s="5" t="str">
        <f>IF('بيانات الموظفين'!A81="","",'بيانات الموظفين'!A81)</f>
        <v/>
      </c>
      <c r="B81" s="5" t="str">
        <f>IF(A81="","",'بيانات الموظفين'!B81)</f>
        <v/>
      </c>
      <c r="C81" s="6" t="s">
        <v>25</v>
      </c>
      <c r="D81" s="6">
        <v>2026</v>
      </c>
      <c r="E81" s="6">
        <v>30</v>
      </c>
      <c r="F81" s="7"/>
      <c r="G81" s="7"/>
      <c r="H81" s="8" t="str">
        <f>IF(A81="","",(('بيانات الموظفين'!G81+'بيانات الموظفين'!H81)/30)*MIN(30,MAX(0,E81))+F81+G81)</f>
        <v/>
      </c>
      <c r="I81" s="8" t="str">
        <f>IF(A81="","",MIN(16700,MAX(2700,'بيانات الموظفين'!I81))*11%)</f>
        <v/>
      </c>
      <c r="J81" s="8" t="str">
        <f>IF(A81="","",MAX(0,ROUNDDOWN(H81*12-I81*12-20000,-1)))</f>
        <v/>
      </c>
      <c r="K81" s="8" t="str">
        <f>IF(A81="","",MAX(0,(IF(J81&lt;=40000,0,IF(J81&lt;=60000,(J81-40000)*10%,IF(J81&lt;=70000,2000+(J81-60000)*15%,IF(J81&lt;=200000,3500+(J81-70000)*20%,IF(J81&lt;=400000,29500+(J81-200000)*22.5%,IF(J81&lt;=1000000,74500+(J81-400000)*25%,224500+(J81-1000000)*27.5%)))))))/12))</f>
        <v/>
      </c>
      <c r="L81" s="8" t="str">
        <f>IF(A81="","",IF('كشف التوقيع والملخص'!$B$3="نعم",MAX(0,H81-10000)*0.003,0))</f>
        <v/>
      </c>
      <c r="M81" s="8" t="str">
        <f>IF(A81="","",I81+K81+L81)</f>
        <v/>
      </c>
      <c r="N81" s="8" t="str">
        <f>IF(A81="","",H81-M81)</f>
        <v/>
      </c>
    </row>
    <row r="82" spans="1:14" ht="14.25" x14ac:dyDescent="0.15">
      <c r="A82" s="5" t="str">
        <f>IF('بيانات الموظفين'!A82="","",'بيانات الموظفين'!A82)</f>
        <v/>
      </c>
      <c r="B82" s="5" t="str">
        <f>IF(A82="","",'بيانات الموظفين'!B82)</f>
        <v/>
      </c>
      <c r="C82" s="6" t="s">
        <v>25</v>
      </c>
      <c r="D82" s="6">
        <v>2026</v>
      </c>
      <c r="E82" s="6">
        <v>30</v>
      </c>
      <c r="F82" s="7"/>
      <c r="G82" s="7"/>
      <c r="H82" s="8" t="str">
        <f>IF(A82="","",(('بيانات الموظفين'!G82+'بيانات الموظفين'!H82)/30)*MIN(30,MAX(0,E82))+F82+G82)</f>
        <v/>
      </c>
      <c r="I82" s="8" t="str">
        <f>IF(A82="","",MIN(16700,MAX(2700,'بيانات الموظفين'!I82))*11%)</f>
        <v/>
      </c>
      <c r="J82" s="8" t="str">
        <f>IF(A82="","",MAX(0,ROUNDDOWN(H82*12-I82*12-20000,-1)))</f>
        <v/>
      </c>
      <c r="K82" s="8" t="str">
        <f>IF(A82="","",MAX(0,(IF(J82&lt;=40000,0,IF(J82&lt;=60000,(J82-40000)*10%,IF(J82&lt;=70000,2000+(J82-60000)*15%,IF(J82&lt;=200000,3500+(J82-70000)*20%,IF(J82&lt;=400000,29500+(J82-200000)*22.5%,IF(J82&lt;=1000000,74500+(J82-400000)*25%,224500+(J82-1000000)*27.5%)))))))/12))</f>
        <v/>
      </c>
      <c r="L82" s="8" t="str">
        <f>IF(A82="","",IF('كشف التوقيع والملخص'!$B$3="نعم",MAX(0,H82-10000)*0.003,0))</f>
        <v/>
      </c>
      <c r="M82" s="8" t="str">
        <f>IF(A82="","",I82+K82+L82)</f>
        <v/>
      </c>
      <c r="N82" s="8" t="str">
        <f>IF(A82="","",H82-M82)</f>
        <v/>
      </c>
    </row>
    <row r="83" spans="1:14" ht="14.25" x14ac:dyDescent="0.15">
      <c r="A83" s="5" t="str">
        <f>IF('بيانات الموظفين'!A83="","",'بيانات الموظفين'!A83)</f>
        <v/>
      </c>
      <c r="B83" s="5" t="str">
        <f>IF(A83="","",'بيانات الموظفين'!B83)</f>
        <v/>
      </c>
      <c r="C83" s="6" t="s">
        <v>25</v>
      </c>
      <c r="D83" s="6">
        <v>2026</v>
      </c>
      <c r="E83" s="6">
        <v>30</v>
      </c>
      <c r="F83" s="7"/>
      <c r="G83" s="7"/>
      <c r="H83" s="8" t="str">
        <f>IF(A83="","",(('بيانات الموظفين'!G83+'بيانات الموظفين'!H83)/30)*MIN(30,MAX(0,E83))+F83+G83)</f>
        <v/>
      </c>
      <c r="I83" s="8" t="str">
        <f>IF(A83="","",MIN(16700,MAX(2700,'بيانات الموظفين'!I83))*11%)</f>
        <v/>
      </c>
      <c r="J83" s="8" t="str">
        <f>IF(A83="","",MAX(0,ROUNDDOWN(H83*12-I83*12-20000,-1)))</f>
        <v/>
      </c>
      <c r="K83" s="8" t="str">
        <f>IF(A83="","",MAX(0,(IF(J83&lt;=40000,0,IF(J83&lt;=60000,(J83-40000)*10%,IF(J83&lt;=70000,2000+(J83-60000)*15%,IF(J83&lt;=200000,3500+(J83-70000)*20%,IF(J83&lt;=400000,29500+(J83-200000)*22.5%,IF(J83&lt;=1000000,74500+(J83-400000)*25%,224500+(J83-1000000)*27.5%)))))))/12))</f>
        <v/>
      </c>
      <c r="L83" s="8" t="str">
        <f>IF(A83="","",IF('كشف التوقيع والملخص'!$B$3="نعم",MAX(0,H83-10000)*0.003,0))</f>
        <v/>
      </c>
      <c r="M83" s="8" t="str">
        <f>IF(A83="","",I83+K83+L83)</f>
        <v/>
      </c>
      <c r="N83" s="8" t="str">
        <f>IF(A83="","",H83-M83)</f>
        <v/>
      </c>
    </row>
    <row r="84" spans="1:14" ht="14.25" x14ac:dyDescent="0.15">
      <c r="A84" s="5" t="str">
        <f>IF('بيانات الموظفين'!A84="","",'بيانات الموظفين'!A84)</f>
        <v/>
      </c>
      <c r="B84" s="5" t="str">
        <f>IF(A84="","",'بيانات الموظفين'!B84)</f>
        <v/>
      </c>
      <c r="C84" s="6" t="s">
        <v>25</v>
      </c>
      <c r="D84" s="6">
        <v>2026</v>
      </c>
      <c r="E84" s="6">
        <v>30</v>
      </c>
      <c r="F84" s="7"/>
      <c r="G84" s="7"/>
      <c r="H84" s="8" t="str">
        <f>IF(A84="","",(('بيانات الموظفين'!G84+'بيانات الموظفين'!H84)/30)*MIN(30,MAX(0,E84))+F84+G84)</f>
        <v/>
      </c>
      <c r="I84" s="8" t="str">
        <f>IF(A84="","",MIN(16700,MAX(2700,'بيانات الموظفين'!I84))*11%)</f>
        <v/>
      </c>
      <c r="J84" s="8" t="str">
        <f>IF(A84="","",MAX(0,ROUNDDOWN(H84*12-I84*12-20000,-1)))</f>
        <v/>
      </c>
      <c r="K84" s="8" t="str">
        <f>IF(A84="","",MAX(0,(IF(J84&lt;=40000,0,IF(J84&lt;=60000,(J84-40000)*10%,IF(J84&lt;=70000,2000+(J84-60000)*15%,IF(J84&lt;=200000,3500+(J84-70000)*20%,IF(J84&lt;=400000,29500+(J84-200000)*22.5%,IF(J84&lt;=1000000,74500+(J84-400000)*25%,224500+(J84-1000000)*27.5%)))))))/12))</f>
        <v/>
      </c>
      <c r="L84" s="8" t="str">
        <f>IF(A84="","",IF('كشف التوقيع والملخص'!$B$3="نعم",MAX(0,H84-10000)*0.003,0))</f>
        <v/>
      </c>
      <c r="M84" s="8" t="str">
        <f>IF(A84="","",I84+K84+L84)</f>
        <v/>
      </c>
      <c r="N84" s="8" t="str">
        <f>IF(A84="","",H84-M84)</f>
        <v/>
      </c>
    </row>
    <row r="85" spans="1:14" ht="14.25" x14ac:dyDescent="0.15">
      <c r="A85" s="5" t="str">
        <f>IF('بيانات الموظفين'!A85="","",'بيانات الموظفين'!A85)</f>
        <v/>
      </c>
      <c r="B85" s="5" t="str">
        <f>IF(A85="","",'بيانات الموظفين'!B85)</f>
        <v/>
      </c>
      <c r="C85" s="6" t="s">
        <v>25</v>
      </c>
      <c r="D85" s="6">
        <v>2026</v>
      </c>
      <c r="E85" s="6">
        <v>30</v>
      </c>
      <c r="F85" s="7"/>
      <c r="G85" s="7"/>
      <c r="H85" s="8" t="str">
        <f>IF(A85="","",(('بيانات الموظفين'!G85+'بيانات الموظفين'!H85)/30)*MIN(30,MAX(0,E85))+F85+G85)</f>
        <v/>
      </c>
      <c r="I85" s="8" t="str">
        <f>IF(A85="","",MIN(16700,MAX(2700,'بيانات الموظفين'!I85))*11%)</f>
        <v/>
      </c>
      <c r="J85" s="8" t="str">
        <f>IF(A85="","",MAX(0,ROUNDDOWN(H85*12-I85*12-20000,-1)))</f>
        <v/>
      </c>
      <c r="K85" s="8" t="str">
        <f>IF(A85="","",MAX(0,(IF(J85&lt;=40000,0,IF(J85&lt;=60000,(J85-40000)*10%,IF(J85&lt;=70000,2000+(J85-60000)*15%,IF(J85&lt;=200000,3500+(J85-70000)*20%,IF(J85&lt;=400000,29500+(J85-200000)*22.5%,IF(J85&lt;=1000000,74500+(J85-400000)*25%,224500+(J85-1000000)*27.5%)))))))/12))</f>
        <v/>
      </c>
      <c r="L85" s="8" t="str">
        <f>IF(A85="","",IF('كشف التوقيع والملخص'!$B$3="نعم",MAX(0,H85-10000)*0.003,0))</f>
        <v/>
      </c>
      <c r="M85" s="8" t="str">
        <f>IF(A85="","",I85+K85+L85)</f>
        <v/>
      </c>
      <c r="N85" s="8" t="str">
        <f>IF(A85="","",H85-M85)</f>
        <v/>
      </c>
    </row>
    <row r="86" spans="1:14" ht="14.25" x14ac:dyDescent="0.15">
      <c r="A86" s="5" t="str">
        <f>IF('بيانات الموظفين'!A86="","",'بيانات الموظفين'!A86)</f>
        <v/>
      </c>
      <c r="B86" s="5" t="str">
        <f>IF(A86="","",'بيانات الموظفين'!B86)</f>
        <v/>
      </c>
      <c r="C86" s="6" t="s">
        <v>25</v>
      </c>
      <c r="D86" s="6">
        <v>2026</v>
      </c>
      <c r="E86" s="6">
        <v>30</v>
      </c>
      <c r="F86" s="7"/>
      <c r="G86" s="7"/>
      <c r="H86" s="8" t="str">
        <f>IF(A86="","",(('بيانات الموظفين'!G86+'بيانات الموظفين'!H86)/30)*MIN(30,MAX(0,E86))+F86+G86)</f>
        <v/>
      </c>
      <c r="I86" s="8" t="str">
        <f>IF(A86="","",MIN(16700,MAX(2700,'بيانات الموظفين'!I86))*11%)</f>
        <v/>
      </c>
      <c r="J86" s="8" t="str">
        <f>IF(A86="","",MAX(0,ROUNDDOWN(H86*12-I86*12-20000,-1)))</f>
        <v/>
      </c>
      <c r="K86" s="8" t="str">
        <f>IF(A86="","",MAX(0,(IF(J86&lt;=40000,0,IF(J86&lt;=60000,(J86-40000)*10%,IF(J86&lt;=70000,2000+(J86-60000)*15%,IF(J86&lt;=200000,3500+(J86-70000)*20%,IF(J86&lt;=400000,29500+(J86-200000)*22.5%,IF(J86&lt;=1000000,74500+(J86-400000)*25%,224500+(J86-1000000)*27.5%)))))))/12))</f>
        <v/>
      </c>
      <c r="L86" s="8" t="str">
        <f>IF(A86="","",IF('كشف التوقيع والملخص'!$B$3="نعم",MAX(0,H86-10000)*0.003,0))</f>
        <v/>
      </c>
      <c r="M86" s="8" t="str">
        <f>IF(A86="","",I86+K86+L86)</f>
        <v/>
      </c>
      <c r="N86" s="8" t="str">
        <f>IF(A86="","",H86-M86)</f>
        <v/>
      </c>
    </row>
    <row r="87" spans="1:14" ht="14.25" x14ac:dyDescent="0.15">
      <c r="A87" s="5" t="str">
        <f>IF('بيانات الموظفين'!A87="","",'بيانات الموظفين'!A87)</f>
        <v/>
      </c>
      <c r="B87" s="5" t="str">
        <f>IF(A87="","",'بيانات الموظفين'!B87)</f>
        <v/>
      </c>
      <c r="C87" s="6" t="s">
        <v>25</v>
      </c>
      <c r="D87" s="6">
        <v>2026</v>
      </c>
      <c r="E87" s="6">
        <v>30</v>
      </c>
      <c r="F87" s="7"/>
      <c r="G87" s="7"/>
      <c r="H87" s="8" t="str">
        <f>IF(A87="","",(('بيانات الموظفين'!G87+'بيانات الموظفين'!H87)/30)*MIN(30,MAX(0,E87))+F87+G87)</f>
        <v/>
      </c>
      <c r="I87" s="8" t="str">
        <f>IF(A87="","",MIN(16700,MAX(2700,'بيانات الموظفين'!I87))*11%)</f>
        <v/>
      </c>
      <c r="J87" s="8" t="str">
        <f>IF(A87="","",MAX(0,ROUNDDOWN(H87*12-I87*12-20000,-1)))</f>
        <v/>
      </c>
      <c r="K87" s="8" t="str">
        <f>IF(A87="","",MAX(0,(IF(J87&lt;=40000,0,IF(J87&lt;=60000,(J87-40000)*10%,IF(J87&lt;=70000,2000+(J87-60000)*15%,IF(J87&lt;=200000,3500+(J87-70000)*20%,IF(J87&lt;=400000,29500+(J87-200000)*22.5%,IF(J87&lt;=1000000,74500+(J87-400000)*25%,224500+(J87-1000000)*27.5%)))))))/12))</f>
        <v/>
      </c>
      <c r="L87" s="8" t="str">
        <f>IF(A87="","",IF('كشف التوقيع والملخص'!$B$3="نعم",MAX(0,H87-10000)*0.003,0))</f>
        <v/>
      </c>
      <c r="M87" s="8" t="str">
        <f>IF(A87="","",I87+K87+L87)</f>
        <v/>
      </c>
      <c r="N87" s="8" t="str">
        <f>IF(A87="","",H87-M87)</f>
        <v/>
      </c>
    </row>
    <row r="88" spans="1:14" ht="14.25" x14ac:dyDescent="0.15">
      <c r="A88" s="5" t="str">
        <f>IF('بيانات الموظفين'!A88="","",'بيانات الموظفين'!A88)</f>
        <v/>
      </c>
      <c r="B88" s="5" t="str">
        <f>IF(A88="","",'بيانات الموظفين'!B88)</f>
        <v/>
      </c>
      <c r="C88" s="6" t="s">
        <v>25</v>
      </c>
      <c r="D88" s="6">
        <v>2026</v>
      </c>
      <c r="E88" s="6">
        <v>30</v>
      </c>
      <c r="F88" s="7"/>
      <c r="G88" s="7"/>
      <c r="H88" s="8" t="str">
        <f>IF(A88="","",(('بيانات الموظفين'!G88+'بيانات الموظفين'!H88)/30)*MIN(30,MAX(0,E88))+F88+G88)</f>
        <v/>
      </c>
      <c r="I88" s="8" t="str">
        <f>IF(A88="","",MIN(16700,MAX(2700,'بيانات الموظفين'!I88))*11%)</f>
        <v/>
      </c>
      <c r="J88" s="8" t="str">
        <f>IF(A88="","",MAX(0,ROUNDDOWN(H88*12-I88*12-20000,-1)))</f>
        <v/>
      </c>
      <c r="K88" s="8" t="str">
        <f>IF(A88="","",MAX(0,(IF(J88&lt;=40000,0,IF(J88&lt;=60000,(J88-40000)*10%,IF(J88&lt;=70000,2000+(J88-60000)*15%,IF(J88&lt;=200000,3500+(J88-70000)*20%,IF(J88&lt;=400000,29500+(J88-200000)*22.5%,IF(J88&lt;=1000000,74500+(J88-400000)*25%,224500+(J88-1000000)*27.5%)))))))/12))</f>
        <v/>
      </c>
      <c r="L88" s="8" t="str">
        <f>IF(A88="","",IF('كشف التوقيع والملخص'!$B$3="نعم",MAX(0,H88-10000)*0.003,0))</f>
        <v/>
      </c>
      <c r="M88" s="8" t="str">
        <f>IF(A88="","",I88+K88+L88)</f>
        <v/>
      </c>
      <c r="N88" s="8" t="str">
        <f>IF(A88="","",H88-M88)</f>
        <v/>
      </c>
    </row>
    <row r="89" spans="1:14" ht="14.25" x14ac:dyDescent="0.15">
      <c r="A89" s="5" t="str">
        <f>IF('بيانات الموظفين'!A89="","",'بيانات الموظفين'!A89)</f>
        <v/>
      </c>
      <c r="B89" s="5" t="str">
        <f>IF(A89="","",'بيانات الموظفين'!B89)</f>
        <v/>
      </c>
      <c r="C89" s="6" t="s">
        <v>25</v>
      </c>
      <c r="D89" s="6">
        <v>2026</v>
      </c>
      <c r="E89" s="6">
        <v>30</v>
      </c>
      <c r="F89" s="7"/>
      <c r="G89" s="7"/>
      <c r="H89" s="8" t="str">
        <f>IF(A89="","",(('بيانات الموظفين'!G89+'بيانات الموظفين'!H89)/30)*MIN(30,MAX(0,E89))+F89+G89)</f>
        <v/>
      </c>
      <c r="I89" s="8" t="str">
        <f>IF(A89="","",MIN(16700,MAX(2700,'بيانات الموظفين'!I89))*11%)</f>
        <v/>
      </c>
      <c r="J89" s="8" t="str">
        <f>IF(A89="","",MAX(0,ROUNDDOWN(H89*12-I89*12-20000,-1)))</f>
        <v/>
      </c>
      <c r="K89" s="8" t="str">
        <f>IF(A89="","",MAX(0,(IF(J89&lt;=40000,0,IF(J89&lt;=60000,(J89-40000)*10%,IF(J89&lt;=70000,2000+(J89-60000)*15%,IF(J89&lt;=200000,3500+(J89-70000)*20%,IF(J89&lt;=400000,29500+(J89-200000)*22.5%,IF(J89&lt;=1000000,74500+(J89-400000)*25%,224500+(J89-1000000)*27.5%)))))))/12))</f>
        <v/>
      </c>
      <c r="L89" s="8" t="str">
        <f>IF(A89="","",IF('كشف التوقيع والملخص'!$B$3="نعم",MAX(0,H89-10000)*0.003,0))</f>
        <v/>
      </c>
      <c r="M89" s="8" t="str">
        <f>IF(A89="","",I89+K89+L89)</f>
        <v/>
      </c>
      <c r="N89" s="8" t="str">
        <f>IF(A89="","",H89-M89)</f>
        <v/>
      </c>
    </row>
    <row r="90" spans="1:14" ht="14.25" x14ac:dyDescent="0.15">
      <c r="A90" s="5" t="str">
        <f>IF('بيانات الموظفين'!A90="","",'بيانات الموظفين'!A90)</f>
        <v/>
      </c>
      <c r="B90" s="5" t="str">
        <f>IF(A90="","",'بيانات الموظفين'!B90)</f>
        <v/>
      </c>
      <c r="C90" s="6" t="s">
        <v>25</v>
      </c>
      <c r="D90" s="6">
        <v>2026</v>
      </c>
      <c r="E90" s="6">
        <v>30</v>
      </c>
      <c r="F90" s="7"/>
      <c r="G90" s="7"/>
      <c r="H90" s="8" t="str">
        <f>IF(A90="","",(('بيانات الموظفين'!G90+'بيانات الموظفين'!H90)/30)*MIN(30,MAX(0,E90))+F90+G90)</f>
        <v/>
      </c>
      <c r="I90" s="8" t="str">
        <f>IF(A90="","",MIN(16700,MAX(2700,'بيانات الموظفين'!I90))*11%)</f>
        <v/>
      </c>
      <c r="J90" s="8" t="str">
        <f>IF(A90="","",MAX(0,ROUNDDOWN(H90*12-I90*12-20000,-1)))</f>
        <v/>
      </c>
      <c r="K90" s="8" t="str">
        <f>IF(A90="","",MAX(0,(IF(J90&lt;=40000,0,IF(J90&lt;=60000,(J90-40000)*10%,IF(J90&lt;=70000,2000+(J90-60000)*15%,IF(J90&lt;=200000,3500+(J90-70000)*20%,IF(J90&lt;=400000,29500+(J90-200000)*22.5%,IF(J90&lt;=1000000,74500+(J90-400000)*25%,224500+(J90-1000000)*27.5%)))))))/12))</f>
        <v/>
      </c>
      <c r="L90" s="8" t="str">
        <f>IF(A90="","",IF('كشف التوقيع والملخص'!$B$3="نعم",MAX(0,H90-10000)*0.003,0))</f>
        <v/>
      </c>
      <c r="M90" s="8" t="str">
        <f>IF(A90="","",I90+K90+L90)</f>
        <v/>
      </c>
      <c r="N90" s="8" t="str">
        <f>IF(A90="","",H90-M90)</f>
        <v/>
      </c>
    </row>
    <row r="91" spans="1:14" ht="14.25" x14ac:dyDescent="0.15">
      <c r="A91" s="5" t="str">
        <f>IF('بيانات الموظفين'!A91="","",'بيانات الموظفين'!A91)</f>
        <v/>
      </c>
      <c r="B91" s="5" t="str">
        <f>IF(A91="","",'بيانات الموظفين'!B91)</f>
        <v/>
      </c>
      <c r="C91" s="6" t="s">
        <v>25</v>
      </c>
      <c r="D91" s="6">
        <v>2026</v>
      </c>
      <c r="E91" s="6">
        <v>30</v>
      </c>
      <c r="F91" s="7"/>
      <c r="G91" s="7"/>
      <c r="H91" s="8" t="str">
        <f>IF(A91="","",(('بيانات الموظفين'!G91+'بيانات الموظفين'!H91)/30)*MIN(30,MAX(0,E91))+F91+G91)</f>
        <v/>
      </c>
      <c r="I91" s="8" t="str">
        <f>IF(A91="","",MIN(16700,MAX(2700,'بيانات الموظفين'!I91))*11%)</f>
        <v/>
      </c>
      <c r="J91" s="8" t="str">
        <f>IF(A91="","",MAX(0,ROUNDDOWN(H91*12-I91*12-20000,-1)))</f>
        <v/>
      </c>
      <c r="K91" s="8" t="str">
        <f>IF(A91="","",MAX(0,(IF(J91&lt;=40000,0,IF(J91&lt;=60000,(J91-40000)*10%,IF(J91&lt;=70000,2000+(J91-60000)*15%,IF(J91&lt;=200000,3500+(J91-70000)*20%,IF(J91&lt;=400000,29500+(J91-200000)*22.5%,IF(J91&lt;=1000000,74500+(J91-400000)*25%,224500+(J91-1000000)*27.5%)))))))/12))</f>
        <v/>
      </c>
      <c r="L91" s="8" t="str">
        <f>IF(A91="","",IF('كشف التوقيع والملخص'!$B$3="نعم",MAX(0,H91-10000)*0.003,0))</f>
        <v/>
      </c>
      <c r="M91" s="8" t="str">
        <f>IF(A91="","",I91+K91+L91)</f>
        <v/>
      </c>
      <c r="N91" s="8" t="str">
        <f>IF(A91="","",H91-M91)</f>
        <v/>
      </c>
    </row>
    <row r="92" spans="1:14" ht="14.25" x14ac:dyDescent="0.15">
      <c r="A92" s="5" t="str">
        <f>IF('بيانات الموظفين'!A92="","",'بيانات الموظفين'!A92)</f>
        <v/>
      </c>
      <c r="B92" s="5" t="str">
        <f>IF(A92="","",'بيانات الموظفين'!B92)</f>
        <v/>
      </c>
      <c r="C92" s="6" t="s">
        <v>25</v>
      </c>
      <c r="D92" s="6">
        <v>2026</v>
      </c>
      <c r="E92" s="6">
        <v>30</v>
      </c>
      <c r="F92" s="7"/>
      <c r="G92" s="7"/>
      <c r="H92" s="8" t="str">
        <f>IF(A92="","",(('بيانات الموظفين'!G92+'بيانات الموظفين'!H92)/30)*MIN(30,MAX(0,E92))+F92+G92)</f>
        <v/>
      </c>
      <c r="I92" s="8" t="str">
        <f>IF(A92="","",MIN(16700,MAX(2700,'بيانات الموظفين'!I92))*11%)</f>
        <v/>
      </c>
      <c r="J92" s="8" t="str">
        <f>IF(A92="","",MAX(0,ROUNDDOWN(H92*12-I92*12-20000,-1)))</f>
        <v/>
      </c>
      <c r="K92" s="8" t="str">
        <f>IF(A92="","",MAX(0,(IF(J92&lt;=40000,0,IF(J92&lt;=60000,(J92-40000)*10%,IF(J92&lt;=70000,2000+(J92-60000)*15%,IF(J92&lt;=200000,3500+(J92-70000)*20%,IF(J92&lt;=400000,29500+(J92-200000)*22.5%,IF(J92&lt;=1000000,74500+(J92-400000)*25%,224500+(J92-1000000)*27.5%)))))))/12))</f>
        <v/>
      </c>
      <c r="L92" s="8" t="str">
        <f>IF(A92="","",IF('كشف التوقيع والملخص'!$B$3="نعم",MAX(0,H92-10000)*0.003,0))</f>
        <v/>
      </c>
      <c r="M92" s="8" t="str">
        <f>IF(A92="","",I92+K92+L92)</f>
        <v/>
      </c>
      <c r="N92" s="8" t="str">
        <f>IF(A92="","",H92-M92)</f>
        <v/>
      </c>
    </row>
    <row r="93" spans="1:14" ht="14.25" x14ac:dyDescent="0.15">
      <c r="A93" s="5" t="str">
        <f>IF('بيانات الموظفين'!A93="","",'بيانات الموظفين'!A93)</f>
        <v/>
      </c>
      <c r="B93" s="5" t="str">
        <f>IF(A93="","",'بيانات الموظفين'!B93)</f>
        <v/>
      </c>
      <c r="C93" s="6" t="s">
        <v>25</v>
      </c>
      <c r="D93" s="6">
        <v>2026</v>
      </c>
      <c r="E93" s="6">
        <v>30</v>
      </c>
      <c r="F93" s="7"/>
      <c r="G93" s="7"/>
      <c r="H93" s="8" t="str">
        <f>IF(A93="","",(('بيانات الموظفين'!G93+'بيانات الموظفين'!H93)/30)*MIN(30,MAX(0,E93))+F93+G93)</f>
        <v/>
      </c>
      <c r="I93" s="8" t="str">
        <f>IF(A93="","",MIN(16700,MAX(2700,'بيانات الموظفين'!I93))*11%)</f>
        <v/>
      </c>
      <c r="J93" s="8" t="str">
        <f>IF(A93="","",MAX(0,ROUNDDOWN(H93*12-I93*12-20000,-1)))</f>
        <v/>
      </c>
      <c r="K93" s="8" t="str">
        <f>IF(A93="","",MAX(0,(IF(J93&lt;=40000,0,IF(J93&lt;=60000,(J93-40000)*10%,IF(J93&lt;=70000,2000+(J93-60000)*15%,IF(J93&lt;=200000,3500+(J93-70000)*20%,IF(J93&lt;=400000,29500+(J93-200000)*22.5%,IF(J93&lt;=1000000,74500+(J93-400000)*25%,224500+(J93-1000000)*27.5%)))))))/12))</f>
        <v/>
      </c>
      <c r="L93" s="8" t="str">
        <f>IF(A93="","",IF('كشف التوقيع والملخص'!$B$3="نعم",MAX(0,H93-10000)*0.003,0))</f>
        <v/>
      </c>
      <c r="M93" s="8" t="str">
        <f>IF(A93="","",I93+K93+L93)</f>
        <v/>
      </c>
      <c r="N93" s="8" t="str">
        <f>IF(A93="","",H93-M93)</f>
        <v/>
      </c>
    </row>
    <row r="94" spans="1:14" ht="14.25" x14ac:dyDescent="0.15">
      <c r="A94" s="5" t="str">
        <f>IF('بيانات الموظفين'!A94="","",'بيانات الموظفين'!A94)</f>
        <v/>
      </c>
      <c r="B94" s="5" t="str">
        <f>IF(A94="","",'بيانات الموظفين'!B94)</f>
        <v/>
      </c>
      <c r="C94" s="6" t="s">
        <v>25</v>
      </c>
      <c r="D94" s="6">
        <v>2026</v>
      </c>
      <c r="E94" s="6">
        <v>30</v>
      </c>
      <c r="F94" s="7"/>
      <c r="G94" s="7"/>
      <c r="H94" s="8" t="str">
        <f>IF(A94="","",(('بيانات الموظفين'!G94+'بيانات الموظفين'!H94)/30)*MIN(30,MAX(0,E94))+F94+G94)</f>
        <v/>
      </c>
      <c r="I94" s="8" t="str">
        <f>IF(A94="","",MIN(16700,MAX(2700,'بيانات الموظفين'!I94))*11%)</f>
        <v/>
      </c>
      <c r="J94" s="8" t="str">
        <f>IF(A94="","",MAX(0,ROUNDDOWN(H94*12-I94*12-20000,-1)))</f>
        <v/>
      </c>
      <c r="K94" s="8" t="str">
        <f>IF(A94="","",MAX(0,(IF(J94&lt;=40000,0,IF(J94&lt;=60000,(J94-40000)*10%,IF(J94&lt;=70000,2000+(J94-60000)*15%,IF(J94&lt;=200000,3500+(J94-70000)*20%,IF(J94&lt;=400000,29500+(J94-200000)*22.5%,IF(J94&lt;=1000000,74500+(J94-400000)*25%,224500+(J94-1000000)*27.5%)))))))/12))</f>
        <v/>
      </c>
      <c r="L94" s="8" t="str">
        <f>IF(A94="","",IF('كشف التوقيع والملخص'!$B$3="نعم",MAX(0,H94-10000)*0.003,0))</f>
        <v/>
      </c>
      <c r="M94" s="8" t="str">
        <f>IF(A94="","",I94+K94+L94)</f>
        <v/>
      </c>
      <c r="N94" s="8" t="str">
        <f>IF(A94="","",H94-M94)</f>
        <v/>
      </c>
    </row>
    <row r="95" spans="1:14" ht="14.25" x14ac:dyDescent="0.15">
      <c r="A95" s="5" t="str">
        <f>IF('بيانات الموظفين'!A95="","",'بيانات الموظفين'!A95)</f>
        <v/>
      </c>
      <c r="B95" s="5" t="str">
        <f>IF(A95="","",'بيانات الموظفين'!B95)</f>
        <v/>
      </c>
      <c r="C95" s="6" t="s">
        <v>25</v>
      </c>
      <c r="D95" s="6">
        <v>2026</v>
      </c>
      <c r="E95" s="6">
        <v>30</v>
      </c>
      <c r="F95" s="7"/>
      <c r="G95" s="7"/>
      <c r="H95" s="8" t="str">
        <f>IF(A95="","",(('بيانات الموظفين'!G95+'بيانات الموظفين'!H95)/30)*MIN(30,MAX(0,E95))+F95+G95)</f>
        <v/>
      </c>
      <c r="I95" s="8" t="str">
        <f>IF(A95="","",MIN(16700,MAX(2700,'بيانات الموظفين'!I95))*11%)</f>
        <v/>
      </c>
      <c r="J95" s="8" t="str">
        <f>IF(A95="","",MAX(0,ROUNDDOWN(H95*12-I95*12-20000,-1)))</f>
        <v/>
      </c>
      <c r="K95" s="8" t="str">
        <f>IF(A95="","",MAX(0,(IF(J95&lt;=40000,0,IF(J95&lt;=60000,(J95-40000)*10%,IF(J95&lt;=70000,2000+(J95-60000)*15%,IF(J95&lt;=200000,3500+(J95-70000)*20%,IF(J95&lt;=400000,29500+(J95-200000)*22.5%,IF(J95&lt;=1000000,74500+(J95-400000)*25%,224500+(J95-1000000)*27.5%)))))))/12))</f>
        <v/>
      </c>
      <c r="L95" s="8" t="str">
        <f>IF(A95="","",IF('كشف التوقيع والملخص'!$B$3="نعم",MAX(0,H95-10000)*0.003,0))</f>
        <v/>
      </c>
      <c r="M95" s="8" t="str">
        <f>IF(A95="","",I95+K95+L95)</f>
        <v/>
      </c>
      <c r="N95" s="8" t="str">
        <f>IF(A95="","",H95-M95)</f>
        <v/>
      </c>
    </row>
    <row r="96" spans="1:14" ht="14.25" x14ac:dyDescent="0.15">
      <c r="A96" s="5" t="str">
        <f>IF('بيانات الموظفين'!A96="","",'بيانات الموظفين'!A96)</f>
        <v/>
      </c>
      <c r="B96" s="5" t="str">
        <f>IF(A96="","",'بيانات الموظفين'!B96)</f>
        <v/>
      </c>
      <c r="C96" s="6" t="s">
        <v>25</v>
      </c>
      <c r="D96" s="6">
        <v>2026</v>
      </c>
      <c r="E96" s="6">
        <v>30</v>
      </c>
      <c r="F96" s="7"/>
      <c r="G96" s="7"/>
      <c r="H96" s="8" t="str">
        <f>IF(A96="","",(('بيانات الموظفين'!G96+'بيانات الموظفين'!H96)/30)*MIN(30,MAX(0,E96))+F96+G96)</f>
        <v/>
      </c>
      <c r="I96" s="8" t="str">
        <f>IF(A96="","",MIN(16700,MAX(2700,'بيانات الموظفين'!I96))*11%)</f>
        <v/>
      </c>
      <c r="J96" s="8" t="str">
        <f>IF(A96="","",MAX(0,ROUNDDOWN(H96*12-I96*12-20000,-1)))</f>
        <v/>
      </c>
      <c r="K96" s="8" t="str">
        <f>IF(A96="","",MAX(0,(IF(J96&lt;=40000,0,IF(J96&lt;=60000,(J96-40000)*10%,IF(J96&lt;=70000,2000+(J96-60000)*15%,IF(J96&lt;=200000,3500+(J96-70000)*20%,IF(J96&lt;=400000,29500+(J96-200000)*22.5%,IF(J96&lt;=1000000,74500+(J96-400000)*25%,224500+(J96-1000000)*27.5%)))))))/12))</f>
        <v/>
      </c>
      <c r="L96" s="8" t="str">
        <f>IF(A96="","",IF('كشف التوقيع والملخص'!$B$3="نعم",MAX(0,H96-10000)*0.003,0))</f>
        <v/>
      </c>
      <c r="M96" s="8" t="str">
        <f>IF(A96="","",I96+K96+L96)</f>
        <v/>
      </c>
      <c r="N96" s="8" t="str">
        <f>IF(A96="","",H96-M96)</f>
        <v/>
      </c>
    </row>
    <row r="97" spans="1:14" ht="14.25" x14ac:dyDescent="0.15">
      <c r="A97" s="5" t="str">
        <f>IF('بيانات الموظفين'!A97="","",'بيانات الموظفين'!A97)</f>
        <v/>
      </c>
      <c r="B97" s="5" t="str">
        <f>IF(A97="","",'بيانات الموظفين'!B97)</f>
        <v/>
      </c>
      <c r="C97" s="6" t="s">
        <v>25</v>
      </c>
      <c r="D97" s="6">
        <v>2026</v>
      </c>
      <c r="E97" s="6">
        <v>30</v>
      </c>
      <c r="F97" s="7"/>
      <c r="G97" s="7"/>
      <c r="H97" s="8" t="str">
        <f>IF(A97="","",(('بيانات الموظفين'!G97+'بيانات الموظفين'!H97)/30)*MIN(30,MAX(0,E97))+F97+G97)</f>
        <v/>
      </c>
      <c r="I97" s="8" t="str">
        <f>IF(A97="","",MIN(16700,MAX(2700,'بيانات الموظفين'!I97))*11%)</f>
        <v/>
      </c>
      <c r="J97" s="8" t="str">
        <f>IF(A97="","",MAX(0,ROUNDDOWN(H97*12-I97*12-20000,-1)))</f>
        <v/>
      </c>
      <c r="K97" s="8" t="str">
        <f>IF(A97="","",MAX(0,(IF(J97&lt;=40000,0,IF(J97&lt;=60000,(J97-40000)*10%,IF(J97&lt;=70000,2000+(J97-60000)*15%,IF(J97&lt;=200000,3500+(J97-70000)*20%,IF(J97&lt;=400000,29500+(J97-200000)*22.5%,IF(J97&lt;=1000000,74500+(J97-400000)*25%,224500+(J97-1000000)*27.5%)))))))/12))</f>
        <v/>
      </c>
      <c r="L97" s="8" t="str">
        <f>IF(A97="","",IF('كشف التوقيع والملخص'!$B$3="نعم",MAX(0,H97-10000)*0.003,0))</f>
        <v/>
      </c>
      <c r="M97" s="8" t="str">
        <f>IF(A97="","",I97+K97+L97)</f>
        <v/>
      </c>
      <c r="N97" s="8" t="str">
        <f>IF(A97="","",H97-M97)</f>
        <v/>
      </c>
    </row>
    <row r="98" spans="1:14" ht="14.25" x14ac:dyDescent="0.15">
      <c r="A98" s="5" t="str">
        <f>IF('بيانات الموظفين'!A98="","",'بيانات الموظفين'!A98)</f>
        <v/>
      </c>
      <c r="B98" s="5" t="str">
        <f>IF(A98="","",'بيانات الموظفين'!B98)</f>
        <v/>
      </c>
      <c r="C98" s="6" t="s">
        <v>25</v>
      </c>
      <c r="D98" s="6">
        <v>2026</v>
      </c>
      <c r="E98" s="6">
        <v>30</v>
      </c>
      <c r="F98" s="7"/>
      <c r="G98" s="7"/>
      <c r="H98" s="8" t="str">
        <f>IF(A98="","",(('بيانات الموظفين'!G98+'بيانات الموظفين'!H98)/30)*MIN(30,MAX(0,E98))+F98+G98)</f>
        <v/>
      </c>
      <c r="I98" s="8" t="str">
        <f>IF(A98="","",MIN(16700,MAX(2700,'بيانات الموظفين'!I98))*11%)</f>
        <v/>
      </c>
      <c r="J98" s="8" t="str">
        <f>IF(A98="","",MAX(0,ROUNDDOWN(H98*12-I98*12-20000,-1)))</f>
        <v/>
      </c>
      <c r="K98" s="8" t="str">
        <f>IF(A98="","",MAX(0,(IF(J98&lt;=40000,0,IF(J98&lt;=60000,(J98-40000)*10%,IF(J98&lt;=70000,2000+(J98-60000)*15%,IF(J98&lt;=200000,3500+(J98-70000)*20%,IF(J98&lt;=400000,29500+(J98-200000)*22.5%,IF(J98&lt;=1000000,74500+(J98-400000)*25%,224500+(J98-1000000)*27.5%)))))))/12))</f>
        <v/>
      </c>
      <c r="L98" s="8" t="str">
        <f>IF(A98="","",IF('كشف التوقيع والملخص'!$B$3="نعم",MAX(0,H98-10000)*0.003,0))</f>
        <v/>
      </c>
      <c r="M98" s="8" t="str">
        <f>IF(A98="","",I98+K98+L98)</f>
        <v/>
      </c>
      <c r="N98" s="8" t="str">
        <f>IF(A98="","",H98-M98)</f>
        <v/>
      </c>
    </row>
    <row r="99" spans="1:14" ht="14.25" x14ac:dyDescent="0.15">
      <c r="A99" s="5" t="str">
        <f>IF('بيانات الموظفين'!A99="","",'بيانات الموظفين'!A99)</f>
        <v/>
      </c>
      <c r="B99" s="5" t="str">
        <f>IF(A99="","",'بيانات الموظفين'!B99)</f>
        <v/>
      </c>
      <c r="C99" s="6" t="s">
        <v>25</v>
      </c>
      <c r="D99" s="6">
        <v>2026</v>
      </c>
      <c r="E99" s="6">
        <v>30</v>
      </c>
      <c r="F99" s="7"/>
      <c r="G99" s="7"/>
      <c r="H99" s="8" t="str">
        <f>IF(A99="","",(('بيانات الموظفين'!G99+'بيانات الموظفين'!H99)/30)*MIN(30,MAX(0,E99))+F99+G99)</f>
        <v/>
      </c>
      <c r="I99" s="8" t="str">
        <f>IF(A99="","",MIN(16700,MAX(2700,'بيانات الموظفين'!I99))*11%)</f>
        <v/>
      </c>
      <c r="J99" s="8" t="str">
        <f>IF(A99="","",MAX(0,ROUNDDOWN(H99*12-I99*12-20000,-1)))</f>
        <v/>
      </c>
      <c r="K99" s="8" t="str">
        <f>IF(A99="","",MAX(0,(IF(J99&lt;=40000,0,IF(J99&lt;=60000,(J99-40000)*10%,IF(J99&lt;=70000,2000+(J99-60000)*15%,IF(J99&lt;=200000,3500+(J99-70000)*20%,IF(J99&lt;=400000,29500+(J99-200000)*22.5%,IF(J99&lt;=1000000,74500+(J99-400000)*25%,224500+(J99-1000000)*27.5%)))))))/12))</f>
        <v/>
      </c>
      <c r="L99" s="8" t="str">
        <f>IF(A99="","",IF('كشف التوقيع والملخص'!$B$3="نعم",MAX(0,H99-10000)*0.003,0))</f>
        <v/>
      </c>
      <c r="M99" s="8" t="str">
        <f>IF(A99="","",I99+K99+L99)</f>
        <v/>
      </c>
      <c r="N99" s="8" t="str">
        <f>IF(A99="","",H99-M99)</f>
        <v/>
      </c>
    </row>
    <row r="100" spans="1:14" ht="14.25" x14ac:dyDescent="0.15">
      <c r="A100" s="5" t="str">
        <f>IF('بيانات الموظفين'!A100="","",'بيانات الموظفين'!A100)</f>
        <v/>
      </c>
      <c r="B100" s="5" t="str">
        <f>IF(A100="","",'بيانات الموظفين'!B100)</f>
        <v/>
      </c>
      <c r="C100" s="6" t="s">
        <v>25</v>
      </c>
      <c r="D100" s="6">
        <v>2026</v>
      </c>
      <c r="E100" s="6">
        <v>30</v>
      </c>
      <c r="F100" s="7"/>
      <c r="G100" s="7"/>
      <c r="H100" s="8" t="str">
        <f>IF(A100="","",(('بيانات الموظفين'!G100+'بيانات الموظفين'!H100)/30)*MIN(30,MAX(0,E100))+F100+G100)</f>
        <v/>
      </c>
      <c r="I100" s="8" t="str">
        <f>IF(A100="","",MIN(16700,MAX(2700,'بيانات الموظفين'!I100))*11%)</f>
        <v/>
      </c>
      <c r="J100" s="8" t="str">
        <f>IF(A100="","",MAX(0,ROUNDDOWN(H100*12-I100*12-20000,-1)))</f>
        <v/>
      </c>
      <c r="K100" s="8" t="str">
        <f>IF(A100="","",MAX(0,(IF(J100&lt;=40000,0,IF(J100&lt;=60000,(J100-40000)*10%,IF(J100&lt;=70000,2000+(J100-60000)*15%,IF(J100&lt;=200000,3500+(J100-70000)*20%,IF(J100&lt;=400000,29500+(J100-200000)*22.5%,IF(J100&lt;=1000000,74500+(J100-400000)*25%,224500+(J100-1000000)*27.5%)))))))/12))</f>
        <v/>
      </c>
      <c r="L100" s="8" t="str">
        <f>IF(A100="","",IF('كشف التوقيع والملخص'!$B$3="نعم",MAX(0,H100-10000)*0.003,0))</f>
        <v/>
      </c>
      <c r="M100" s="8" t="str">
        <f>IF(A100="","",I100+K100+L100)</f>
        <v/>
      </c>
      <c r="N100" s="8" t="str">
        <f>IF(A100="","",H100-M100)</f>
        <v/>
      </c>
    </row>
    <row r="101" spans="1:14" ht="14.25" x14ac:dyDescent="0.15">
      <c r="A101" s="5" t="str">
        <f>IF('بيانات الموظفين'!A101="","",'بيانات الموظفين'!A101)</f>
        <v/>
      </c>
      <c r="B101" s="5" t="str">
        <f>IF(A101="","",'بيانات الموظفين'!B101)</f>
        <v/>
      </c>
      <c r="C101" s="6" t="s">
        <v>25</v>
      </c>
      <c r="D101" s="6">
        <v>2026</v>
      </c>
      <c r="E101" s="6">
        <v>30</v>
      </c>
      <c r="F101" s="7"/>
      <c r="G101" s="7"/>
      <c r="H101" s="8" t="str">
        <f>IF(A101="","",(('بيانات الموظفين'!G101+'بيانات الموظفين'!H101)/30)*MIN(30,MAX(0,E101))+F101+G101)</f>
        <v/>
      </c>
      <c r="I101" s="8" t="str">
        <f>IF(A101="","",MIN(16700,MAX(2700,'بيانات الموظفين'!I101))*11%)</f>
        <v/>
      </c>
      <c r="J101" s="8" t="str">
        <f>IF(A101="","",MAX(0,ROUNDDOWN(H101*12-I101*12-20000,-1)))</f>
        <v/>
      </c>
      <c r="K101" s="8" t="str">
        <f>IF(A101="","",MAX(0,(IF(J101&lt;=40000,0,IF(J101&lt;=60000,(J101-40000)*10%,IF(J101&lt;=70000,2000+(J101-60000)*15%,IF(J101&lt;=200000,3500+(J101-70000)*20%,IF(J101&lt;=400000,29500+(J101-200000)*22.5%,IF(J101&lt;=1000000,74500+(J101-400000)*25%,224500+(J101-1000000)*27.5%)))))))/12))</f>
        <v/>
      </c>
      <c r="L101" s="8" t="str">
        <f>IF(A101="","",IF('كشف التوقيع والملخص'!$B$3="نعم",MAX(0,H101-10000)*0.003,0))</f>
        <v/>
      </c>
      <c r="M101" s="8" t="str">
        <f>IF(A101="","",I101+K101+L101)</f>
        <v/>
      </c>
      <c r="N101" s="8" t="str">
        <f>IF(A101="","",H101-M101)</f>
        <v/>
      </c>
    </row>
    <row r="102" spans="1:14" ht="14.25" x14ac:dyDescent="0.15">
      <c r="A102" s="5" t="str">
        <f>IF('بيانات الموظفين'!A102="","",'بيانات الموظفين'!A102)</f>
        <v/>
      </c>
      <c r="B102" s="5" t="str">
        <f>IF(A102="","",'بيانات الموظفين'!B102)</f>
        <v/>
      </c>
      <c r="C102" s="6" t="s">
        <v>25</v>
      </c>
      <c r="D102" s="6">
        <v>2026</v>
      </c>
      <c r="E102" s="6">
        <v>30</v>
      </c>
      <c r="F102" s="7"/>
      <c r="G102" s="7"/>
      <c r="H102" s="8" t="str">
        <f>IF(A102="","",(('بيانات الموظفين'!G102+'بيانات الموظفين'!H102)/30)*MIN(30,MAX(0,E102))+F102+G102)</f>
        <v/>
      </c>
      <c r="I102" s="8" t="str">
        <f>IF(A102="","",MIN(16700,MAX(2700,'بيانات الموظفين'!I102))*11%)</f>
        <v/>
      </c>
      <c r="J102" s="8" t="str">
        <f>IF(A102="","",MAX(0,ROUNDDOWN(H102*12-I102*12-20000,-1)))</f>
        <v/>
      </c>
      <c r="K102" s="8" t="str">
        <f>IF(A102="","",MAX(0,(IF(J102&lt;=40000,0,IF(J102&lt;=60000,(J102-40000)*10%,IF(J102&lt;=70000,2000+(J102-60000)*15%,IF(J102&lt;=200000,3500+(J102-70000)*20%,IF(J102&lt;=400000,29500+(J102-200000)*22.5%,IF(J102&lt;=1000000,74500+(J102-400000)*25%,224500+(J102-1000000)*27.5%)))))))/12))</f>
        <v/>
      </c>
      <c r="L102" s="8" t="str">
        <f>IF(A102="","",IF('كشف التوقيع والملخص'!$B$3="نعم",MAX(0,H102-10000)*0.003,0))</f>
        <v/>
      </c>
      <c r="M102" s="8" t="str">
        <f>IF(A102="","",I102+K102+L102)</f>
        <v/>
      </c>
      <c r="N102" s="8" t="str">
        <f>IF(A102="","",H102-M102)</f>
        <v/>
      </c>
    </row>
    <row r="103" spans="1:14" ht="14.25" x14ac:dyDescent="0.15">
      <c r="A103" s="5" t="str">
        <f>IF('بيانات الموظفين'!A103="","",'بيانات الموظفين'!A103)</f>
        <v/>
      </c>
      <c r="B103" s="5" t="str">
        <f>IF(A103="","",'بيانات الموظفين'!B103)</f>
        <v/>
      </c>
      <c r="C103" s="6" t="s">
        <v>25</v>
      </c>
      <c r="D103" s="6">
        <v>2026</v>
      </c>
      <c r="E103" s="6">
        <v>30</v>
      </c>
      <c r="F103" s="7"/>
      <c r="G103" s="7"/>
      <c r="H103" s="8" t="str">
        <f>IF(A103="","",(('بيانات الموظفين'!G103+'بيانات الموظفين'!H103)/30)*MIN(30,MAX(0,E103))+F103+G103)</f>
        <v/>
      </c>
      <c r="I103" s="8" t="str">
        <f>IF(A103="","",MIN(16700,MAX(2700,'بيانات الموظفين'!I103))*11%)</f>
        <v/>
      </c>
      <c r="J103" s="8" t="str">
        <f>IF(A103="","",MAX(0,ROUNDDOWN(H103*12-I103*12-20000,-1)))</f>
        <v/>
      </c>
      <c r="K103" s="8" t="str">
        <f>IF(A103="","",MAX(0,(IF(J103&lt;=40000,0,IF(J103&lt;=60000,(J103-40000)*10%,IF(J103&lt;=70000,2000+(J103-60000)*15%,IF(J103&lt;=200000,3500+(J103-70000)*20%,IF(J103&lt;=400000,29500+(J103-200000)*22.5%,IF(J103&lt;=1000000,74500+(J103-400000)*25%,224500+(J103-1000000)*27.5%)))))))/12))</f>
        <v/>
      </c>
      <c r="L103" s="8" t="str">
        <f>IF(A103="","",IF('كشف التوقيع والملخص'!$B$3="نعم",MAX(0,H103-10000)*0.003,0))</f>
        <v/>
      </c>
      <c r="M103" s="8" t="str">
        <f>IF(A103="","",I103+K103+L103)</f>
        <v/>
      </c>
      <c r="N103" s="8" t="str">
        <f>IF(A103="","",H103-M103)</f>
        <v/>
      </c>
    </row>
    <row r="104" spans="1:14" ht="14.25" x14ac:dyDescent="0.15">
      <c r="A104" s="5" t="str">
        <f>IF('بيانات الموظفين'!A104="","",'بيانات الموظفين'!A104)</f>
        <v/>
      </c>
      <c r="B104" s="5" t="str">
        <f>IF(A104="","",'بيانات الموظفين'!B104)</f>
        <v/>
      </c>
      <c r="C104" s="6" t="s">
        <v>25</v>
      </c>
      <c r="D104" s="6">
        <v>2026</v>
      </c>
      <c r="E104" s="6">
        <v>30</v>
      </c>
      <c r="F104" s="7"/>
      <c r="G104" s="7"/>
      <c r="H104" s="8" t="str">
        <f>IF(A104="","",(('بيانات الموظفين'!G104+'بيانات الموظفين'!H104)/30)*MIN(30,MAX(0,E104))+F104+G104)</f>
        <v/>
      </c>
      <c r="I104" s="8" t="str">
        <f>IF(A104="","",MIN(16700,MAX(2700,'بيانات الموظفين'!I104))*11%)</f>
        <v/>
      </c>
      <c r="J104" s="8" t="str">
        <f>IF(A104="","",MAX(0,ROUNDDOWN(H104*12-I104*12-20000,-1)))</f>
        <v/>
      </c>
      <c r="K104" s="8" t="str">
        <f>IF(A104="","",MAX(0,(IF(J104&lt;=40000,0,IF(J104&lt;=60000,(J104-40000)*10%,IF(J104&lt;=70000,2000+(J104-60000)*15%,IF(J104&lt;=200000,3500+(J104-70000)*20%,IF(J104&lt;=400000,29500+(J104-200000)*22.5%,IF(J104&lt;=1000000,74500+(J104-400000)*25%,224500+(J104-1000000)*27.5%)))))))/12))</f>
        <v/>
      </c>
      <c r="L104" s="8" t="str">
        <f>IF(A104="","",IF('كشف التوقيع والملخص'!$B$3="نعم",MAX(0,H104-10000)*0.003,0))</f>
        <v/>
      </c>
      <c r="M104" s="8" t="str">
        <f>IF(A104="","",I104+K104+L104)</f>
        <v/>
      </c>
      <c r="N104" s="8" t="str">
        <f>IF(A104="","",H104-M104)</f>
        <v/>
      </c>
    </row>
    <row r="105" spans="1:14" ht="14.25" x14ac:dyDescent="0.15">
      <c r="A105" s="5" t="str">
        <f>IF('بيانات الموظفين'!A105="","",'بيانات الموظفين'!A105)</f>
        <v/>
      </c>
      <c r="B105" s="5" t="str">
        <f>IF(A105="","",'بيانات الموظفين'!B105)</f>
        <v/>
      </c>
      <c r="C105" s="6" t="s">
        <v>25</v>
      </c>
      <c r="D105" s="6">
        <v>2026</v>
      </c>
      <c r="E105" s="6">
        <v>30</v>
      </c>
      <c r="F105" s="7"/>
      <c r="G105" s="7"/>
      <c r="H105" s="8" t="str">
        <f>IF(A105="","",(('بيانات الموظفين'!G105+'بيانات الموظفين'!H105)/30)*MIN(30,MAX(0,E105))+F105+G105)</f>
        <v/>
      </c>
      <c r="I105" s="8" t="str">
        <f>IF(A105="","",MIN(16700,MAX(2700,'بيانات الموظفين'!I105))*11%)</f>
        <v/>
      </c>
      <c r="J105" s="8" t="str">
        <f>IF(A105="","",MAX(0,ROUNDDOWN(H105*12-I105*12-20000,-1)))</f>
        <v/>
      </c>
      <c r="K105" s="8" t="str">
        <f>IF(A105="","",MAX(0,(IF(J105&lt;=40000,0,IF(J105&lt;=60000,(J105-40000)*10%,IF(J105&lt;=70000,2000+(J105-60000)*15%,IF(J105&lt;=200000,3500+(J105-70000)*20%,IF(J105&lt;=400000,29500+(J105-200000)*22.5%,IF(J105&lt;=1000000,74500+(J105-400000)*25%,224500+(J105-1000000)*27.5%)))))))/12))</f>
        <v/>
      </c>
      <c r="L105" s="8" t="str">
        <f>IF(A105="","",IF('كشف التوقيع والملخص'!$B$3="نعم",MAX(0,H105-10000)*0.003,0))</f>
        <v/>
      </c>
      <c r="M105" s="8" t="str">
        <f>IF(A105="","",I105+K105+L105)</f>
        <v/>
      </c>
      <c r="N105" s="8" t="str">
        <f>IF(A105="","",H105-M105)</f>
        <v/>
      </c>
    </row>
    <row r="106" spans="1:14" ht="14.25" x14ac:dyDescent="0.15">
      <c r="A106" s="5" t="str">
        <f>IF('بيانات الموظفين'!A106="","",'بيانات الموظفين'!A106)</f>
        <v/>
      </c>
      <c r="B106" s="5" t="str">
        <f>IF(A106="","",'بيانات الموظفين'!B106)</f>
        <v/>
      </c>
      <c r="C106" s="6" t="s">
        <v>25</v>
      </c>
      <c r="D106" s="6">
        <v>2026</v>
      </c>
      <c r="E106" s="6">
        <v>30</v>
      </c>
      <c r="F106" s="7"/>
      <c r="G106" s="7"/>
      <c r="H106" s="8" t="str">
        <f>IF(A106="","",(('بيانات الموظفين'!G106+'بيانات الموظفين'!H106)/30)*MIN(30,MAX(0,E106))+F106+G106)</f>
        <v/>
      </c>
      <c r="I106" s="8" t="str">
        <f>IF(A106="","",MIN(16700,MAX(2700,'بيانات الموظفين'!I106))*11%)</f>
        <v/>
      </c>
      <c r="J106" s="8" t="str">
        <f>IF(A106="","",MAX(0,ROUNDDOWN(H106*12-I106*12-20000,-1)))</f>
        <v/>
      </c>
      <c r="K106" s="8" t="str">
        <f>IF(A106="","",MAX(0,(IF(J106&lt;=40000,0,IF(J106&lt;=60000,(J106-40000)*10%,IF(J106&lt;=70000,2000+(J106-60000)*15%,IF(J106&lt;=200000,3500+(J106-70000)*20%,IF(J106&lt;=400000,29500+(J106-200000)*22.5%,IF(J106&lt;=1000000,74500+(J106-400000)*25%,224500+(J106-1000000)*27.5%)))))))/12))</f>
        <v/>
      </c>
      <c r="L106" s="8" t="str">
        <f>IF(A106="","",IF('كشف التوقيع والملخص'!$B$3="نعم",MAX(0,H106-10000)*0.003,0))</f>
        <v/>
      </c>
      <c r="M106" s="8" t="str">
        <f>IF(A106="","",I106+K106+L106)</f>
        <v/>
      </c>
      <c r="N106" s="8" t="str">
        <f>IF(A106="","",H106-M106)</f>
        <v/>
      </c>
    </row>
    <row r="107" spans="1:14" ht="14.25" x14ac:dyDescent="0.15">
      <c r="A107" s="5" t="str">
        <f>IF('بيانات الموظفين'!A107="","",'بيانات الموظفين'!A107)</f>
        <v/>
      </c>
      <c r="B107" s="5" t="str">
        <f>IF(A107="","",'بيانات الموظفين'!B107)</f>
        <v/>
      </c>
      <c r="C107" s="6" t="s">
        <v>25</v>
      </c>
      <c r="D107" s="6">
        <v>2026</v>
      </c>
      <c r="E107" s="6">
        <v>30</v>
      </c>
      <c r="F107" s="7"/>
      <c r="G107" s="7"/>
      <c r="H107" s="8" t="str">
        <f>IF(A107="","",(('بيانات الموظفين'!G107+'بيانات الموظفين'!H107)/30)*MIN(30,MAX(0,E107))+F107+G107)</f>
        <v/>
      </c>
      <c r="I107" s="8" t="str">
        <f>IF(A107="","",MIN(16700,MAX(2700,'بيانات الموظفين'!I107))*11%)</f>
        <v/>
      </c>
      <c r="J107" s="8" t="str">
        <f>IF(A107="","",MAX(0,ROUNDDOWN(H107*12-I107*12-20000,-1)))</f>
        <v/>
      </c>
      <c r="K107" s="8" t="str">
        <f>IF(A107="","",MAX(0,(IF(J107&lt;=40000,0,IF(J107&lt;=60000,(J107-40000)*10%,IF(J107&lt;=70000,2000+(J107-60000)*15%,IF(J107&lt;=200000,3500+(J107-70000)*20%,IF(J107&lt;=400000,29500+(J107-200000)*22.5%,IF(J107&lt;=1000000,74500+(J107-400000)*25%,224500+(J107-1000000)*27.5%)))))))/12))</f>
        <v/>
      </c>
      <c r="L107" s="8" t="str">
        <f>IF(A107="","",IF('كشف التوقيع والملخص'!$B$3="نعم",MAX(0,H107-10000)*0.003,0))</f>
        <v/>
      </c>
      <c r="M107" s="8" t="str">
        <f>IF(A107="","",I107+K107+L107)</f>
        <v/>
      </c>
      <c r="N107" s="8" t="str">
        <f>IF(A107="","",H107-M107)</f>
        <v/>
      </c>
    </row>
    <row r="108" spans="1:14" ht="14.25" x14ac:dyDescent="0.15">
      <c r="A108" s="5" t="str">
        <f>IF('بيانات الموظفين'!A108="","",'بيانات الموظفين'!A108)</f>
        <v/>
      </c>
      <c r="B108" s="5" t="str">
        <f>IF(A108="","",'بيانات الموظفين'!B108)</f>
        <v/>
      </c>
      <c r="C108" s="6" t="s">
        <v>25</v>
      </c>
      <c r="D108" s="6">
        <v>2026</v>
      </c>
      <c r="E108" s="6">
        <v>30</v>
      </c>
      <c r="F108" s="7"/>
      <c r="G108" s="7"/>
      <c r="H108" s="8" t="str">
        <f>IF(A108="","",(('بيانات الموظفين'!G108+'بيانات الموظفين'!H108)/30)*MIN(30,MAX(0,E108))+F108+G108)</f>
        <v/>
      </c>
      <c r="I108" s="8" t="str">
        <f>IF(A108="","",MIN(16700,MAX(2700,'بيانات الموظفين'!I108))*11%)</f>
        <v/>
      </c>
      <c r="J108" s="8" t="str">
        <f>IF(A108="","",MAX(0,ROUNDDOWN(H108*12-I108*12-20000,-1)))</f>
        <v/>
      </c>
      <c r="K108" s="8" t="str">
        <f>IF(A108="","",MAX(0,(IF(J108&lt;=40000,0,IF(J108&lt;=60000,(J108-40000)*10%,IF(J108&lt;=70000,2000+(J108-60000)*15%,IF(J108&lt;=200000,3500+(J108-70000)*20%,IF(J108&lt;=400000,29500+(J108-200000)*22.5%,IF(J108&lt;=1000000,74500+(J108-400000)*25%,224500+(J108-1000000)*27.5%)))))))/12))</f>
        <v/>
      </c>
      <c r="L108" s="8" t="str">
        <f>IF(A108="","",IF('كشف التوقيع والملخص'!$B$3="نعم",MAX(0,H108-10000)*0.003,0))</f>
        <v/>
      </c>
      <c r="M108" s="8" t="str">
        <f>IF(A108="","",I108+K108+L108)</f>
        <v/>
      </c>
      <c r="N108" s="8" t="str">
        <f>IF(A108="","",H108-M108)</f>
        <v/>
      </c>
    </row>
    <row r="109" spans="1:14" ht="14.25" x14ac:dyDescent="0.15">
      <c r="A109" s="5" t="str">
        <f>IF('بيانات الموظفين'!A109="","",'بيانات الموظفين'!A109)</f>
        <v/>
      </c>
      <c r="B109" s="5" t="str">
        <f>IF(A109="","",'بيانات الموظفين'!B109)</f>
        <v/>
      </c>
      <c r="C109" s="6" t="s">
        <v>25</v>
      </c>
      <c r="D109" s="6">
        <v>2026</v>
      </c>
      <c r="E109" s="6">
        <v>30</v>
      </c>
      <c r="F109" s="7"/>
      <c r="G109" s="7"/>
      <c r="H109" s="8" t="str">
        <f>IF(A109="","",(('بيانات الموظفين'!G109+'بيانات الموظفين'!H109)/30)*MIN(30,MAX(0,E109))+F109+G109)</f>
        <v/>
      </c>
      <c r="I109" s="8" t="str">
        <f>IF(A109="","",MIN(16700,MAX(2700,'بيانات الموظفين'!I109))*11%)</f>
        <v/>
      </c>
      <c r="J109" s="8" t="str">
        <f>IF(A109="","",MAX(0,ROUNDDOWN(H109*12-I109*12-20000,-1)))</f>
        <v/>
      </c>
      <c r="K109" s="8" t="str">
        <f>IF(A109="","",MAX(0,(IF(J109&lt;=40000,0,IF(J109&lt;=60000,(J109-40000)*10%,IF(J109&lt;=70000,2000+(J109-60000)*15%,IF(J109&lt;=200000,3500+(J109-70000)*20%,IF(J109&lt;=400000,29500+(J109-200000)*22.5%,IF(J109&lt;=1000000,74500+(J109-400000)*25%,224500+(J109-1000000)*27.5%)))))))/12))</f>
        <v/>
      </c>
      <c r="L109" s="8" t="str">
        <f>IF(A109="","",IF('كشف التوقيع والملخص'!$B$3="نعم",MAX(0,H109-10000)*0.003,0))</f>
        <v/>
      </c>
      <c r="M109" s="8" t="str">
        <f>IF(A109="","",I109+K109+L109)</f>
        <v/>
      </c>
      <c r="N109" s="8" t="str">
        <f>IF(A109="","",H109-M109)</f>
        <v/>
      </c>
    </row>
    <row r="110" spans="1:14" ht="14.25" x14ac:dyDescent="0.15">
      <c r="A110" s="5" t="str">
        <f>IF('بيانات الموظفين'!A110="","",'بيانات الموظفين'!A110)</f>
        <v/>
      </c>
      <c r="B110" s="5" t="str">
        <f>IF(A110="","",'بيانات الموظفين'!B110)</f>
        <v/>
      </c>
      <c r="C110" s="6" t="s">
        <v>25</v>
      </c>
      <c r="D110" s="6">
        <v>2026</v>
      </c>
      <c r="E110" s="6">
        <v>30</v>
      </c>
      <c r="F110" s="7"/>
      <c r="G110" s="7"/>
      <c r="H110" s="8" t="str">
        <f>IF(A110="","",(('بيانات الموظفين'!G110+'بيانات الموظفين'!H110)/30)*MIN(30,MAX(0,E110))+F110+G110)</f>
        <v/>
      </c>
      <c r="I110" s="8" t="str">
        <f>IF(A110="","",MIN(16700,MAX(2700,'بيانات الموظفين'!I110))*11%)</f>
        <v/>
      </c>
      <c r="J110" s="8" t="str">
        <f>IF(A110="","",MAX(0,ROUNDDOWN(H110*12-I110*12-20000,-1)))</f>
        <v/>
      </c>
      <c r="K110" s="8" t="str">
        <f>IF(A110="","",MAX(0,(IF(J110&lt;=40000,0,IF(J110&lt;=60000,(J110-40000)*10%,IF(J110&lt;=70000,2000+(J110-60000)*15%,IF(J110&lt;=200000,3500+(J110-70000)*20%,IF(J110&lt;=400000,29500+(J110-200000)*22.5%,IF(J110&lt;=1000000,74500+(J110-400000)*25%,224500+(J110-1000000)*27.5%)))))))/12))</f>
        <v/>
      </c>
      <c r="L110" s="8" t="str">
        <f>IF(A110="","",IF('كشف التوقيع والملخص'!$B$3="نعم",MAX(0,H110-10000)*0.003,0))</f>
        <v/>
      </c>
      <c r="M110" s="8" t="str">
        <f>IF(A110="","",I110+K110+L110)</f>
        <v/>
      </c>
      <c r="N110" s="8" t="str">
        <f>IF(A110="","",H110-M110)</f>
        <v/>
      </c>
    </row>
    <row r="111" spans="1:14" ht="14.25" x14ac:dyDescent="0.15">
      <c r="A111" s="5" t="str">
        <f>IF('بيانات الموظفين'!A111="","",'بيانات الموظفين'!A111)</f>
        <v/>
      </c>
      <c r="B111" s="5" t="str">
        <f>IF(A111="","",'بيانات الموظفين'!B111)</f>
        <v/>
      </c>
      <c r="C111" s="6" t="s">
        <v>25</v>
      </c>
      <c r="D111" s="6">
        <v>2026</v>
      </c>
      <c r="E111" s="6">
        <v>30</v>
      </c>
      <c r="F111" s="7"/>
      <c r="G111" s="7"/>
      <c r="H111" s="8" t="str">
        <f>IF(A111="","",(('بيانات الموظفين'!G111+'بيانات الموظفين'!H111)/30)*MIN(30,MAX(0,E111))+F111+G111)</f>
        <v/>
      </c>
      <c r="I111" s="8" t="str">
        <f>IF(A111="","",MIN(16700,MAX(2700,'بيانات الموظفين'!I111))*11%)</f>
        <v/>
      </c>
      <c r="J111" s="8" t="str">
        <f>IF(A111="","",MAX(0,ROUNDDOWN(H111*12-I111*12-20000,-1)))</f>
        <v/>
      </c>
      <c r="K111" s="8" t="str">
        <f>IF(A111="","",MAX(0,(IF(J111&lt;=40000,0,IF(J111&lt;=60000,(J111-40000)*10%,IF(J111&lt;=70000,2000+(J111-60000)*15%,IF(J111&lt;=200000,3500+(J111-70000)*20%,IF(J111&lt;=400000,29500+(J111-200000)*22.5%,IF(J111&lt;=1000000,74500+(J111-400000)*25%,224500+(J111-1000000)*27.5%)))))))/12))</f>
        <v/>
      </c>
      <c r="L111" s="8" t="str">
        <f>IF(A111="","",IF('كشف التوقيع والملخص'!$B$3="نعم",MAX(0,H111-10000)*0.003,0))</f>
        <v/>
      </c>
      <c r="M111" s="8" t="str">
        <f>IF(A111="","",I111+K111+L111)</f>
        <v/>
      </c>
      <c r="N111" s="8" t="str">
        <f>IF(A111="","",H111-M111)</f>
        <v/>
      </c>
    </row>
    <row r="112" spans="1:14" ht="14.25" x14ac:dyDescent="0.15">
      <c r="A112" s="5" t="str">
        <f>IF('بيانات الموظفين'!A112="","",'بيانات الموظفين'!A112)</f>
        <v/>
      </c>
      <c r="B112" s="5" t="str">
        <f>IF(A112="","",'بيانات الموظفين'!B112)</f>
        <v/>
      </c>
      <c r="C112" s="6" t="s">
        <v>25</v>
      </c>
      <c r="D112" s="6">
        <v>2026</v>
      </c>
      <c r="E112" s="6">
        <v>30</v>
      </c>
      <c r="F112" s="7"/>
      <c r="G112" s="7"/>
      <c r="H112" s="8" t="str">
        <f>IF(A112="","",(('بيانات الموظفين'!G112+'بيانات الموظفين'!H112)/30)*MIN(30,MAX(0,E112))+F112+G112)</f>
        <v/>
      </c>
      <c r="I112" s="8" t="str">
        <f>IF(A112="","",MIN(16700,MAX(2700,'بيانات الموظفين'!I112))*11%)</f>
        <v/>
      </c>
      <c r="J112" s="8" t="str">
        <f>IF(A112="","",MAX(0,ROUNDDOWN(H112*12-I112*12-20000,-1)))</f>
        <v/>
      </c>
      <c r="K112" s="8" t="str">
        <f>IF(A112="","",MAX(0,(IF(J112&lt;=40000,0,IF(J112&lt;=60000,(J112-40000)*10%,IF(J112&lt;=70000,2000+(J112-60000)*15%,IF(J112&lt;=200000,3500+(J112-70000)*20%,IF(J112&lt;=400000,29500+(J112-200000)*22.5%,IF(J112&lt;=1000000,74500+(J112-400000)*25%,224500+(J112-1000000)*27.5%)))))))/12))</f>
        <v/>
      </c>
      <c r="L112" s="8" t="str">
        <f>IF(A112="","",IF('كشف التوقيع والملخص'!$B$3="نعم",MAX(0,H112-10000)*0.003,0))</f>
        <v/>
      </c>
      <c r="M112" s="8" t="str">
        <f>IF(A112="","",I112+K112+L112)</f>
        <v/>
      </c>
      <c r="N112" s="8" t="str">
        <f>IF(A112="","",H112-M112)</f>
        <v/>
      </c>
    </row>
    <row r="113" spans="1:14" ht="14.25" x14ac:dyDescent="0.15">
      <c r="A113" s="5" t="str">
        <f>IF('بيانات الموظفين'!A113="","",'بيانات الموظفين'!A113)</f>
        <v/>
      </c>
      <c r="B113" s="5" t="str">
        <f>IF(A113="","",'بيانات الموظفين'!B113)</f>
        <v/>
      </c>
      <c r="C113" s="6" t="s">
        <v>25</v>
      </c>
      <c r="D113" s="6">
        <v>2026</v>
      </c>
      <c r="E113" s="6">
        <v>30</v>
      </c>
      <c r="F113" s="7"/>
      <c r="G113" s="7"/>
      <c r="H113" s="8" t="str">
        <f>IF(A113="","",(('بيانات الموظفين'!G113+'بيانات الموظفين'!H113)/30)*MIN(30,MAX(0,E113))+F113+G113)</f>
        <v/>
      </c>
      <c r="I113" s="8" t="str">
        <f>IF(A113="","",MIN(16700,MAX(2700,'بيانات الموظفين'!I113))*11%)</f>
        <v/>
      </c>
      <c r="J113" s="8" t="str">
        <f>IF(A113="","",MAX(0,ROUNDDOWN(H113*12-I113*12-20000,-1)))</f>
        <v/>
      </c>
      <c r="K113" s="8" t="str">
        <f>IF(A113="","",MAX(0,(IF(J113&lt;=40000,0,IF(J113&lt;=60000,(J113-40000)*10%,IF(J113&lt;=70000,2000+(J113-60000)*15%,IF(J113&lt;=200000,3500+(J113-70000)*20%,IF(J113&lt;=400000,29500+(J113-200000)*22.5%,IF(J113&lt;=1000000,74500+(J113-400000)*25%,224500+(J113-1000000)*27.5%)))))))/12))</f>
        <v/>
      </c>
      <c r="L113" s="8" t="str">
        <f>IF(A113="","",IF('كشف التوقيع والملخص'!$B$3="نعم",MAX(0,H113-10000)*0.003,0))</f>
        <v/>
      </c>
      <c r="M113" s="8" t="str">
        <f>IF(A113="","",I113+K113+L113)</f>
        <v/>
      </c>
      <c r="N113" s="8" t="str">
        <f>IF(A113="","",H113-M113)</f>
        <v/>
      </c>
    </row>
    <row r="114" spans="1:14" ht="14.25" x14ac:dyDescent="0.15">
      <c r="A114" s="5" t="str">
        <f>IF('بيانات الموظفين'!A114="","",'بيانات الموظفين'!A114)</f>
        <v/>
      </c>
      <c r="B114" s="5" t="str">
        <f>IF(A114="","",'بيانات الموظفين'!B114)</f>
        <v/>
      </c>
      <c r="C114" s="6" t="s">
        <v>25</v>
      </c>
      <c r="D114" s="6">
        <v>2026</v>
      </c>
      <c r="E114" s="6">
        <v>30</v>
      </c>
      <c r="F114" s="7"/>
      <c r="G114" s="7"/>
      <c r="H114" s="8" t="str">
        <f>IF(A114="","",(('بيانات الموظفين'!G114+'بيانات الموظفين'!H114)/30)*MIN(30,MAX(0,E114))+F114+G114)</f>
        <v/>
      </c>
      <c r="I114" s="8" t="str">
        <f>IF(A114="","",MIN(16700,MAX(2700,'بيانات الموظفين'!I114))*11%)</f>
        <v/>
      </c>
      <c r="J114" s="8" t="str">
        <f>IF(A114="","",MAX(0,ROUNDDOWN(H114*12-I114*12-20000,-1)))</f>
        <v/>
      </c>
      <c r="K114" s="8" t="str">
        <f>IF(A114="","",MAX(0,(IF(J114&lt;=40000,0,IF(J114&lt;=60000,(J114-40000)*10%,IF(J114&lt;=70000,2000+(J114-60000)*15%,IF(J114&lt;=200000,3500+(J114-70000)*20%,IF(J114&lt;=400000,29500+(J114-200000)*22.5%,IF(J114&lt;=1000000,74500+(J114-400000)*25%,224500+(J114-1000000)*27.5%)))))))/12))</f>
        <v/>
      </c>
      <c r="L114" s="8" t="str">
        <f>IF(A114="","",IF('كشف التوقيع والملخص'!$B$3="نعم",MAX(0,H114-10000)*0.003,0))</f>
        <v/>
      </c>
      <c r="M114" s="8" t="str">
        <f>IF(A114="","",I114+K114+L114)</f>
        <v/>
      </c>
      <c r="N114" s="8" t="str">
        <f>IF(A114="","",H114-M114)</f>
        <v/>
      </c>
    </row>
    <row r="115" spans="1:14" ht="14.25" x14ac:dyDescent="0.15">
      <c r="A115" s="5" t="str">
        <f>IF('بيانات الموظفين'!A115="","",'بيانات الموظفين'!A115)</f>
        <v/>
      </c>
      <c r="B115" s="5" t="str">
        <f>IF(A115="","",'بيانات الموظفين'!B115)</f>
        <v/>
      </c>
      <c r="C115" s="6" t="s">
        <v>25</v>
      </c>
      <c r="D115" s="6">
        <v>2026</v>
      </c>
      <c r="E115" s="6">
        <v>30</v>
      </c>
      <c r="F115" s="7"/>
      <c r="G115" s="7"/>
      <c r="H115" s="8" t="str">
        <f>IF(A115="","",(('بيانات الموظفين'!G115+'بيانات الموظفين'!H115)/30)*MIN(30,MAX(0,E115))+F115+G115)</f>
        <v/>
      </c>
      <c r="I115" s="8" t="str">
        <f>IF(A115="","",MIN(16700,MAX(2700,'بيانات الموظفين'!I115))*11%)</f>
        <v/>
      </c>
      <c r="J115" s="8" t="str">
        <f>IF(A115="","",MAX(0,ROUNDDOWN(H115*12-I115*12-20000,-1)))</f>
        <v/>
      </c>
      <c r="K115" s="8" t="str">
        <f>IF(A115="","",MAX(0,(IF(J115&lt;=40000,0,IF(J115&lt;=60000,(J115-40000)*10%,IF(J115&lt;=70000,2000+(J115-60000)*15%,IF(J115&lt;=200000,3500+(J115-70000)*20%,IF(J115&lt;=400000,29500+(J115-200000)*22.5%,IF(J115&lt;=1000000,74500+(J115-400000)*25%,224500+(J115-1000000)*27.5%)))))))/12))</f>
        <v/>
      </c>
      <c r="L115" s="8" t="str">
        <f>IF(A115="","",IF('كشف التوقيع والملخص'!$B$3="نعم",MAX(0,H115-10000)*0.003,0))</f>
        <v/>
      </c>
      <c r="M115" s="8" t="str">
        <f>IF(A115="","",I115+K115+L115)</f>
        <v/>
      </c>
      <c r="N115" s="8" t="str">
        <f>IF(A115="","",H115-M115)</f>
        <v/>
      </c>
    </row>
    <row r="116" spans="1:14" ht="14.25" x14ac:dyDescent="0.15">
      <c r="A116" s="5" t="str">
        <f>IF('بيانات الموظفين'!A116="","",'بيانات الموظفين'!A116)</f>
        <v/>
      </c>
      <c r="B116" s="5" t="str">
        <f>IF(A116="","",'بيانات الموظفين'!B116)</f>
        <v/>
      </c>
      <c r="C116" s="6" t="s">
        <v>25</v>
      </c>
      <c r="D116" s="6">
        <v>2026</v>
      </c>
      <c r="E116" s="6">
        <v>30</v>
      </c>
      <c r="F116" s="7"/>
      <c r="G116" s="7"/>
      <c r="H116" s="8" t="str">
        <f>IF(A116="","",(('بيانات الموظفين'!G116+'بيانات الموظفين'!H116)/30)*MIN(30,MAX(0,E116))+F116+G116)</f>
        <v/>
      </c>
      <c r="I116" s="8" t="str">
        <f>IF(A116="","",MIN(16700,MAX(2700,'بيانات الموظفين'!I116))*11%)</f>
        <v/>
      </c>
      <c r="J116" s="8" t="str">
        <f>IF(A116="","",MAX(0,ROUNDDOWN(H116*12-I116*12-20000,-1)))</f>
        <v/>
      </c>
      <c r="K116" s="8" t="str">
        <f>IF(A116="","",MAX(0,(IF(J116&lt;=40000,0,IF(J116&lt;=60000,(J116-40000)*10%,IF(J116&lt;=70000,2000+(J116-60000)*15%,IF(J116&lt;=200000,3500+(J116-70000)*20%,IF(J116&lt;=400000,29500+(J116-200000)*22.5%,IF(J116&lt;=1000000,74500+(J116-400000)*25%,224500+(J116-1000000)*27.5%)))))))/12))</f>
        <v/>
      </c>
      <c r="L116" s="8" t="str">
        <f>IF(A116="","",IF('كشف التوقيع والملخص'!$B$3="نعم",MAX(0,H116-10000)*0.003,0))</f>
        <v/>
      </c>
      <c r="M116" s="8" t="str">
        <f>IF(A116="","",I116+K116+L116)</f>
        <v/>
      </c>
      <c r="N116" s="8" t="str">
        <f>IF(A116="","",H116-M116)</f>
        <v/>
      </c>
    </row>
    <row r="117" spans="1:14" ht="14.25" x14ac:dyDescent="0.15">
      <c r="A117" s="5" t="str">
        <f>IF('بيانات الموظفين'!A117="","",'بيانات الموظفين'!A117)</f>
        <v/>
      </c>
      <c r="B117" s="5" t="str">
        <f>IF(A117="","",'بيانات الموظفين'!B117)</f>
        <v/>
      </c>
      <c r="C117" s="6" t="s">
        <v>25</v>
      </c>
      <c r="D117" s="6">
        <v>2026</v>
      </c>
      <c r="E117" s="6">
        <v>30</v>
      </c>
      <c r="F117" s="7"/>
      <c r="G117" s="7"/>
      <c r="H117" s="8" t="str">
        <f>IF(A117="","",(('بيانات الموظفين'!G117+'بيانات الموظفين'!H117)/30)*MIN(30,MAX(0,E117))+F117+G117)</f>
        <v/>
      </c>
      <c r="I117" s="8" t="str">
        <f>IF(A117="","",MIN(16700,MAX(2700,'بيانات الموظفين'!I117))*11%)</f>
        <v/>
      </c>
      <c r="J117" s="8" t="str">
        <f>IF(A117="","",MAX(0,ROUNDDOWN(H117*12-I117*12-20000,-1)))</f>
        <v/>
      </c>
      <c r="K117" s="8" t="str">
        <f>IF(A117="","",MAX(0,(IF(J117&lt;=40000,0,IF(J117&lt;=60000,(J117-40000)*10%,IF(J117&lt;=70000,2000+(J117-60000)*15%,IF(J117&lt;=200000,3500+(J117-70000)*20%,IF(J117&lt;=400000,29500+(J117-200000)*22.5%,IF(J117&lt;=1000000,74500+(J117-400000)*25%,224500+(J117-1000000)*27.5%)))))))/12))</f>
        <v/>
      </c>
      <c r="L117" s="8" t="str">
        <f>IF(A117="","",IF('كشف التوقيع والملخص'!$B$3="نعم",MAX(0,H117-10000)*0.003,0))</f>
        <v/>
      </c>
      <c r="M117" s="8" t="str">
        <f>IF(A117="","",I117+K117+L117)</f>
        <v/>
      </c>
      <c r="N117" s="8" t="str">
        <f>IF(A117="","",H117-M117)</f>
        <v/>
      </c>
    </row>
    <row r="118" spans="1:14" ht="14.25" x14ac:dyDescent="0.15">
      <c r="A118" s="5" t="str">
        <f>IF('بيانات الموظفين'!A118="","",'بيانات الموظفين'!A118)</f>
        <v/>
      </c>
      <c r="B118" s="5" t="str">
        <f>IF(A118="","",'بيانات الموظفين'!B118)</f>
        <v/>
      </c>
      <c r="C118" s="6" t="s">
        <v>25</v>
      </c>
      <c r="D118" s="6">
        <v>2026</v>
      </c>
      <c r="E118" s="6">
        <v>30</v>
      </c>
      <c r="F118" s="7"/>
      <c r="G118" s="7"/>
      <c r="H118" s="8" t="str">
        <f>IF(A118="","",(('بيانات الموظفين'!G118+'بيانات الموظفين'!H118)/30)*MIN(30,MAX(0,E118))+F118+G118)</f>
        <v/>
      </c>
      <c r="I118" s="8" t="str">
        <f>IF(A118="","",MIN(16700,MAX(2700,'بيانات الموظفين'!I118))*11%)</f>
        <v/>
      </c>
      <c r="J118" s="8" t="str">
        <f>IF(A118="","",MAX(0,ROUNDDOWN(H118*12-I118*12-20000,-1)))</f>
        <v/>
      </c>
      <c r="K118" s="8" t="str">
        <f>IF(A118="","",MAX(0,(IF(J118&lt;=40000,0,IF(J118&lt;=60000,(J118-40000)*10%,IF(J118&lt;=70000,2000+(J118-60000)*15%,IF(J118&lt;=200000,3500+(J118-70000)*20%,IF(J118&lt;=400000,29500+(J118-200000)*22.5%,IF(J118&lt;=1000000,74500+(J118-400000)*25%,224500+(J118-1000000)*27.5%)))))))/12))</f>
        <v/>
      </c>
      <c r="L118" s="8" t="str">
        <f>IF(A118="","",IF('كشف التوقيع والملخص'!$B$3="نعم",MAX(0,H118-10000)*0.003,0))</f>
        <v/>
      </c>
      <c r="M118" s="8" t="str">
        <f>IF(A118="","",I118+K118+L118)</f>
        <v/>
      </c>
      <c r="N118" s="8" t="str">
        <f>IF(A118="","",H118-M118)</f>
        <v/>
      </c>
    </row>
    <row r="119" spans="1:14" ht="14.25" x14ac:dyDescent="0.15">
      <c r="A119" s="5" t="str">
        <f>IF('بيانات الموظفين'!A119="","",'بيانات الموظفين'!A119)</f>
        <v/>
      </c>
      <c r="B119" s="5" t="str">
        <f>IF(A119="","",'بيانات الموظفين'!B119)</f>
        <v/>
      </c>
      <c r="C119" s="6" t="s">
        <v>25</v>
      </c>
      <c r="D119" s="6">
        <v>2026</v>
      </c>
      <c r="E119" s="6">
        <v>30</v>
      </c>
      <c r="F119" s="7"/>
      <c r="G119" s="7"/>
      <c r="H119" s="8" t="str">
        <f>IF(A119="","",(('بيانات الموظفين'!G119+'بيانات الموظفين'!H119)/30)*MIN(30,MAX(0,E119))+F119+G119)</f>
        <v/>
      </c>
      <c r="I119" s="8" t="str">
        <f>IF(A119="","",MIN(16700,MAX(2700,'بيانات الموظفين'!I119))*11%)</f>
        <v/>
      </c>
      <c r="J119" s="8" t="str">
        <f>IF(A119="","",MAX(0,ROUNDDOWN(H119*12-I119*12-20000,-1)))</f>
        <v/>
      </c>
      <c r="K119" s="8" t="str">
        <f>IF(A119="","",MAX(0,(IF(J119&lt;=40000,0,IF(J119&lt;=60000,(J119-40000)*10%,IF(J119&lt;=70000,2000+(J119-60000)*15%,IF(J119&lt;=200000,3500+(J119-70000)*20%,IF(J119&lt;=400000,29500+(J119-200000)*22.5%,IF(J119&lt;=1000000,74500+(J119-400000)*25%,224500+(J119-1000000)*27.5%)))))))/12))</f>
        <v/>
      </c>
      <c r="L119" s="8" t="str">
        <f>IF(A119="","",IF('كشف التوقيع والملخص'!$B$3="نعم",MAX(0,H119-10000)*0.003,0))</f>
        <v/>
      </c>
      <c r="M119" s="8" t="str">
        <f>IF(A119="","",I119+K119+L119)</f>
        <v/>
      </c>
      <c r="N119" s="8" t="str">
        <f>IF(A119="","",H119-M119)</f>
        <v/>
      </c>
    </row>
    <row r="120" spans="1:14" ht="14.25" x14ac:dyDescent="0.15">
      <c r="A120" s="5" t="str">
        <f>IF('بيانات الموظفين'!A120="","",'بيانات الموظفين'!A120)</f>
        <v/>
      </c>
      <c r="B120" s="5" t="str">
        <f>IF(A120="","",'بيانات الموظفين'!B120)</f>
        <v/>
      </c>
      <c r="C120" s="6" t="s">
        <v>25</v>
      </c>
      <c r="D120" s="6">
        <v>2026</v>
      </c>
      <c r="E120" s="6">
        <v>30</v>
      </c>
      <c r="F120" s="7"/>
      <c r="G120" s="7"/>
      <c r="H120" s="8" t="str">
        <f>IF(A120="","",(('بيانات الموظفين'!G120+'بيانات الموظفين'!H120)/30)*MIN(30,MAX(0,E120))+F120+G120)</f>
        <v/>
      </c>
      <c r="I120" s="8" t="str">
        <f>IF(A120="","",MIN(16700,MAX(2700,'بيانات الموظفين'!I120))*11%)</f>
        <v/>
      </c>
      <c r="J120" s="8" t="str">
        <f>IF(A120="","",MAX(0,ROUNDDOWN(H120*12-I120*12-20000,-1)))</f>
        <v/>
      </c>
      <c r="K120" s="8" t="str">
        <f>IF(A120="","",MAX(0,(IF(J120&lt;=40000,0,IF(J120&lt;=60000,(J120-40000)*10%,IF(J120&lt;=70000,2000+(J120-60000)*15%,IF(J120&lt;=200000,3500+(J120-70000)*20%,IF(J120&lt;=400000,29500+(J120-200000)*22.5%,IF(J120&lt;=1000000,74500+(J120-400000)*25%,224500+(J120-1000000)*27.5%)))))))/12))</f>
        <v/>
      </c>
      <c r="L120" s="8" t="str">
        <f>IF(A120="","",IF('كشف التوقيع والملخص'!$B$3="نعم",MAX(0,H120-10000)*0.003,0))</f>
        <v/>
      </c>
      <c r="M120" s="8" t="str">
        <f>IF(A120="","",I120+K120+L120)</f>
        <v/>
      </c>
      <c r="N120" s="8" t="str">
        <f>IF(A120="","",H120-M120)</f>
        <v/>
      </c>
    </row>
    <row r="121" spans="1:14" ht="14.25" x14ac:dyDescent="0.15">
      <c r="A121" s="5" t="str">
        <f>IF('بيانات الموظفين'!A121="","",'بيانات الموظفين'!A121)</f>
        <v/>
      </c>
      <c r="B121" s="5" t="str">
        <f>IF(A121="","",'بيانات الموظفين'!B121)</f>
        <v/>
      </c>
      <c r="C121" s="6" t="s">
        <v>25</v>
      </c>
      <c r="D121" s="6">
        <v>2026</v>
      </c>
      <c r="E121" s="6">
        <v>30</v>
      </c>
      <c r="F121" s="7"/>
      <c r="G121" s="7"/>
      <c r="H121" s="8" t="str">
        <f>IF(A121="","",(('بيانات الموظفين'!G121+'بيانات الموظفين'!H121)/30)*MIN(30,MAX(0,E121))+F121+G121)</f>
        <v/>
      </c>
      <c r="I121" s="8" t="str">
        <f>IF(A121="","",MIN(16700,MAX(2700,'بيانات الموظفين'!I121))*11%)</f>
        <v/>
      </c>
      <c r="J121" s="8" t="str">
        <f>IF(A121="","",MAX(0,ROUNDDOWN(H121*12-I121*12-20000,-1)))</f>
        <v/>
      </c>
      <c r="K121" s="8" t="str">
        <f>IF(A121="","",MAX(0,(IF(J121&lt;=40000,0,IF(J121&lt;=60000,(J121-40000)*10%,IF(J121&lt;=70000,2000+(J121-60000)*15%,IF(J121&lt;=200000,3500+(J121-70000)*20%,IF(J121&lt;=400000,29500+(J121-200000)*22.5%,IF(J121&lt;=1000000,74500+(J121-400000)*25%,224500+(J121-1000000)*27.5%)))))))/12))</f>
        <v/>
      </c>
      <c r="L121" s="8" t="str">
        <f>IF(A121="","",IF('كشف التوقيع والملخص'!$B$3="نعم",MAX(0,H121-10000)*0.003,0))</f>
        <v/>
      </c>
      <c r="M121" s="8" t="str">
        <f>IF(A121="","",I121+K121+L121)</f>
        <v/>
      </c>
      <c r="N121" s="8" t="str">
        <f>IF(A121="","",H121-M121)</f>
        <v/>
      </c>
    </row>
    <row r="122" spans="1:14" ht="14.25" x14ac:dyDescent="0.15">
      <c r="A122" s="5" t="str">
        <f>IF('بيانات الموظفين'!A122="","",'بيانات الموظفين'!A122)</f>
        <v/>
      </c>
      <c r="B122" s="5" t="str">
        <f>IF(A122="","",'بيانات الموظفين'!B122)</f>
        <v/>
      </c>
      <c r="C122" s="6" t="s">
        <v>25</v>
      </c>
      <c r="D122" s="6">
        <v>2026</v>
      </c>
      <c r="E122" s="6">
        <v>30</v>
      </c>
      <c r="F122" s="7"/>
      <c r="G122" s="7"/>
      <c r="H122" s="8" t="str">
        <f>IF(A122="","",(('بيانات الموظفين'!G122+'بيانات الموظفين'!H122)/30)*MIN(30,MAX(0,E122))+F122+G122)</f>
        <v/>
      </c>
      <c r="I122" s="8" t="str">
        <f>IF(A122="","",MIN(16700,MAX(2700,'بيانات الموظفين'!I122))*11%)</f>
        <v/>
      </c>
      <c r="J122" s="8" t="str">
        <f>IF(A122="","",MAX(0,ROUNDDOWN(H122*12-I122*12-20000,-1)))</f>
        <v/>
      </c>
      <c r="K122" s="8" t="str">
        <f>IF(A122="","",MAX(0,(IF(J122&lt;=40000,0,IF(J122&lt;=60000,(J122-40000)*10%,IF(J122&lt;=70000,2000+(J122-60000)*15%,IF(J122&lt;=200000,3500+(J122-70000)*20%,IF(J122&lt;=400000,29500+(J122-200000)*22.5%,IF(J122&lt;=1000000,74500+(J122-400000)*25%,224500+(J122-1000000)*27.5%)))))))/12))</f>
        <v/>
      </c>
      <c r="L122" s="8" t="str">
        <f>IF(A122="","",IF('كشف التوقيع والملخص'!$B$3="نعم",MAX(0,H122-10000)*0.003,0))</f>
        <v/>
      </c>
      <c r="M122" s="8" t="str">
        <f>IF(A122="","",I122+K122+L122)</f>
        <v/>
      </c>
      <c r="N122" s="8" t="str">
        <f>IF(A122="","",H122-M122)</f>
        <v/>
      </c>
    </row>
    <row r="123" spans="1:14" ht="14.25" x14ac:dyDescent="0.15">
      <c r="A123" s="5" t="str">
        <f>IF('بيانات الموظفين'!A123="","",'بيانات الموظفين'!A123)</f>
        <v/>
      </c>
      <c r="B123" s="5" t="str">
        <f>IF(A123="","",'بيانات الموظفين'!B123)</f>
        <v/>
      </c>
      <c r="C123" s="6" t="s">
        <v>25</v>
      </c>
      <c r="D123" s="6">
        <v>2026</v>
      </c>
      <c r="E123" s="6">
        <v>30</v>
      </c>
      <c r="F123" s="7"/>
      <c r="G123" s="7"/>
      <c r="H123" s="8" t="str">
        <f>IF(A123="","",(('بيانات الموظفين'!G123+'بيانات الموظفين'!H123)/30)*MIN(30,MAX(0,E123))+F123+G123)</f>
        <v/>
      </c>
      <c r="I123" s="8" t="str">
        <f>IF(A123="","",MIN(16700,MAX(2700,'بيانات الموظفين'!I123))*11%)</f>
        <v/>
      </c>
      <c r="J123" s="8" t="str">
        <f>IF(A123="","",MAX(0,ROUNDDOWN(H123*12-I123*12-20000,-1)))</f>
        <v/>
      </c>
      <c r="K123" s="8" t="str">
        <f>IF(A123="","",MAX(0,(IF(J123&lt;=40000,0,IF(J123&lt;=60000,(J123-40000)*10%,IF(J123&lt;=70000,2000+(J123-60000)*15%,IF(J123&lt;=200000,3500+(J123-70000)*20%,IF(J123&lt;=400000,29500+(J123-200000)*22.5%,IF(J123&lt;=1000000,74500+(J123-400000)*25%,224500+(J123-1000000)*27.5%)))))))/12))</f>
        <v/>
      </c>
      <c r="L123" s="8" t="str">
        <f>IF(A123="","",IF('كشف التوقيع والملخص'!$B$3="نعم",MAX(0,H123-10000)*0.003,0))</f>
        <v/>
      </c>
      <c r="M123" s="8" t="str">
        <f>IF(A123="","",I123+K123+L123)</f>
        <v/>
      </c>
      <c r="N123" s="8" t="str">
        <f>IF(A123="","",H123-M123)</f>
        <v/>
      </c>
    </row>
    <row r="124" spans="1:14" ht="14.25" x14ac:dyDescent="0.15">
      <c r="A124" s="5" t="str">
        <f>IF('بيانات الموظفين'!A124="","",'بيانات الموظفين'!A124)</f>
        <v/>
      </c>
      <c r="B124" s="5" t="str">
        <f>IF(A124="","",'بيانات الموظفين'!B124)</f>
        <v/>
      </c>
      <c r="C124" s="6" t="s">
        <v>25</v>
      </c>
      <c r="D124" s="6">
        <v>2026</v>
      </c>
      <c r="E124" s="6">
        <v>30</v>
      </c>
      <c r="F124" s="7"/>
      <c r="G124" s="7"/>
      <c r="H124" s="8" t="str">
        <f>IF(A124="","",(('بيانات الموظفين'!G124+'بيانات الموظفين'!H124)/30)*MIN(30,MAX(0,E124))+F124+G124)</f>
        <v/>
      </c>
      <c r="I124" s="8" t="str">
        <f>IF(A124="","",MIN(16700,MAX(2700,'بيانات الموظفين'!I124))*11%)</f>
        <v/>
      </c>
      <c r="J124" s="8" t="str">
        <f>IF(A124="","",MAX(0,ROUNDDOWN(H124*12-I124*12-20000,-1)))</f>
        <v/>
      </c>
      <c r="K124" s="8" t="str">
        <f>IF(A124="","",MAX(0,(IF(J124&lt;=40000,0,IF(J124&lt;=60000,(J124-40000)*10%,IF(J124&lt;=70000,2000+(J124-60000)*15%,IF(J124&lt;=200000,3500+(J124-70000)*20%,IF(J124&lt;=400000,29500+(J124-200000)*22.5%,IF(J124&lt;=1000000,74500+(J124-400000)*25%,224500+(J124-1000000)*27.5%)))))))/12))</f>
        <v/>
      </c>
      <c r="L124" s="8" t="str">
        <f>IF(A124="","",IF('كشف التوقيع والملخص'!$B$3="نعم",MAX(0,H124-10000)*0.003,0))</f>
        <v/>
      </c>
      <c r="M124" s="8" t="str">
        <f>IF(A124="","",I124+K124+L124)</f>
        <v/>
      </c>
      <c r="N124" s="8" t="str">
        <f>IF(A124="","",H124-M124)</f>
        <v/>
      </c>
    </row>
    <row r="125" spans="1:14" ht="14.25" x14ac:dyDescent="0.15">
      <c r="A125" s="5" t="str">
        <f>IF('بيانات الموظفين'!A125="","",'بيانات الموظفين'!A125)</f>
        <v/>
      </c>
      <c r="B125" s="5" t="str">
        <f>IF(A125="","",'بيانات الموظفين'!B125)</f>
        <v/>
      </c>
      <c r="C125" s="6" t="s">
        <v>25</v>
      </c>
      <c r="D125" s="6">
        <v>2026</v>
      </c>
      <c r="E125" s="6">
        <v>30</v>
      </c>
      <c r="F125" s="7"/>
      <c r="G125" s="7"/>
      <c r="H125" s="8" t="str">
        <f>IF(A125="","",(('بيانات الموظفين'!G125+'بيانات الموظفين'!H125)/30)*MIN(30,MAX(0,E125))+F125+G125)</f>
        <v/>
      </c>
      <c r="I125" s="8" t="str">
        <f>IF(A125="","",MIN(16700,MAX(2700,'بيانات الموظفين'!I125))*11%)</f>
        <v/>
      </c>
      <c r="J125" s="8" t="str">
        <f>IF(A125="","",MAX(0,ROUNDDOWN(H125*12-I125*12-20000,-1)))</f>
        <v/>
      </c>
      <c r="K125" s="8" t="str">
        <f>IF(A125="","",MAX(0,(IF(J125&lt;=40000,0,IF(J125&lt;=60000,(J125-40000)*10%,IF(J125&lt;=70000,2000+(J125-60000)*15%,IF(J125&lt;=200000,3500+(J125-70000)*20%,IF(J125&lt;=400000,29500+(J125-200000)*22.5%,IF(J125&lt;=1000000,74500+(J125-400000)*25%,224500+(J125-1000000)*27.5%)))))))/12))</f>
        <v/>
      </c>
      <c r="L125" s="8" t="str">
        <f>IF(A125="","",IF('كشف التوقيع والملخص'!$B$3="نعم",MAX(0,H125-10000)*0.003,0))</f>
        <v/>
      </c>
      <c r="M125" s="8" t="str">
        <f>IF(A125="","",I125+K125+L125)</f>
        <v/>
      </c>
      <c r="N125" s="8" t="str">
        <f>IF(A125="","",H125-M125)</f>
        <v/>
      </c>
    </row>
    <row r="126" spans="1:14" ht="14.25" x14ac:dyDescent="0.15">
      <c r="A126" s="5" t="str">
        <f>IF('بيانات الموظفين'!A126="","",'بيانات الموظفين'!A126)</f>
        <v/>
      </c>
      <c r="B126" s="5" t="str">
        <f>IF(A126="","",'بيانات الموظفين'!B126)</f>
        <v/>
      </c>
      <c r="C126" s="6" t="s">
        <v>25</v>
      </c>
      <c r="D126" s="6">
        <v>2026</v>
      </c>
      <c r="E126" s="6">
        <v>30</v>
      </c>
      <c r="F126" s="7"/>
      <c r="G126" s="7"/>
      <c r="H126" s="8" t="str">
        <f>IF(A126="","",(('بيانات الموظفين'!G126+'بيانات الموظفين'!H126)/30)*MIN(30,MAX(0,E126))+F126+G126)</f>
        <v/>
      </c>
      <c r="I126" s="8" t="str">
        <f>IF(A126="","",MIN(16700,MAX(2700,'بيانات الموظفين'!I126))*11%)</f>
        <v/>
      </c>
      <c r="J126" s="8" t="str">
        <f>IF(A126="","",MAX(0,ROUNDDOWN(H126*12-I126*12-20000,-1)))</f>
        <v/>
      </c>
      <c r="K126" s="8" t="str">
        <f>IF(A126="","",MAX(0,(IF(J126&lt;=40000,0,IF(J126&lt;=60000,(J126-40000)*10%,IF(J126&lt;=70000,2000+(J126-60000)*15%,IF(J126&lt;=200000,3500+(J126-70000)*20%,IF(J126&lt;=400000,29500+(J126-200000)*22.5%,IF(J126&lt;=1000000,74500+(J126-400000)*25%,224500+(J126-1000000)*27.5%)))))))/12))</f>
        <v/>
      </c>
      <c r="L126" s="8" t="str">
        <f>IF(A126="","",IF('كشف التوقيع والملخص'!$B$3="نعم",MAX(0,H126-10000)*0.003,0))</f>
        <v/>
      </c>
      <c r="M126" s="8" t="str">
        <f>IF(A126="","",I126+K126+L126)</f>
        <v/>
      </c>
      <c r="N126" s="8" t="str">
        <f>IF(A126="","",H126-M126)</f>
        <v/>
      </c>
    </row>
    <row r="127" spans="1:14" ht="14.25" x14ac:dyDescent="0.15">
      <c r="A127" s="5" t="str">
        <f>IF('بيانات الموظفين'!A127="","",'بيانات الموظفين'!A127)</f>
        <v/>
      </c>
      <c r="B127" s="5" t="str">
        <f>IF(A127="","",'بيانات الموظفين'!B127)</f>
        <v/>
      </c>
      <c r="C127" s="6" t="s">
        <v>25</v>
      </c>
      <c r="D127" s="6">
        <v>2026</v>
      </c>
      <c r="E127" s="6">
        <v>30</v>
      </c>
      <c r="F127" s="7"/>
      <c r="G127" s="7"/>
      <c r="H127" s="8" t="str">
        <f>IF(A127="","",(('بيانات الموظفين'!G127+'بيانات الموظفين'!H127)/30)*MIN(30,MAX(0,E127))+F127+G127)</f>
        <v/>
      </c>
      <c r="I127" s="8" t="str">
        <f>IF(A127="","",MIN(16700,MAX(2700,'بيانات الموظفين'!I127))*11%)</f>
        <v/>
      </c>
      <c r="J127" s="8" t="str">
        <f>IF(A127="","",MAX(0,ROUNDDOWN(H127*12-I127*12-20000,-1)))</f>
        <v/>
      </c>
      <c r="K127" s="8" t="str">
        <f>IF(A127="","",MAX(0,(IF(J127&lt;=40000,0,IF(J127&lt;=60000,(J127-40000)*10%,IF(J127&lt;=70000,2000+(J127-60000)*15%,IF(J127&lt;=200000,3500+(J127-70000)*20%,IF(J127&lt;=400000,29500+(J127-200000)*22.5%,IF(J127&lt;=1000000,74500+(J127-400000)*25%,224500+(J127-1000000)*27.5%)))))))/12))</f>
        <v/>
      </c>
      <c r="L127" s="8" t="str">
        <f>IF(A127="","",IF('كشف التوقيع والملخص'!$B$3="نعم",MAX(0,H127-10000)*0.003,0))</f>
        <v/>
      </c>
      <c r="M127" s="8" t="str">
        <f>IF(A127="","",I127+K127+L127)</f>
        <v/>
      </c>
      <c r="N127" s="8" t="str">
        <f>IF(A127="","",H127-M127)</f>
        <v/>
      </c>
    </row>
    <row r="128" spans="1:14" ht="14.25" x14ac:dyDescent="0.15">
      <c r="A128" s="5" t="str">
        <f>IF('بيانات الموظفين'!A128="","",'بيانات الموظفين'!A128)</f>
        <v/>
      </c>
      <c r="B128" s="5" t="str">
        <f>IF(A128="","",'بيانات الموظفين'!B128)</f>
        <v/>
      </c>
      <c r="C128" s="6" t="s">
        <v>25</v>
      </c>
      <c r="D128" s="6">
        <v>2026</v>
      </c>
      <c r="E128" s="6">
        <v>30</v>
      </c>
      <c r="F128" s="7"/>
      <c r="G128" s="7"/>
      <c r="H128" s="8" t="str">
        <f>IF(A128="","",(('بيانات الموظفين'!G128+'بيانات الموظفين'!H128)/30)*MIN(30,MAX(0,E128))+F128+G128)</f>
        <v/>
      </c>
      <c r="I128" s="8" t="str">
        <f>IF(A128="","",MIN(16700,MAX(2700,'بيانات الموظفين'!I128))*11%)</f>
        <v/>
      </c>
      <c r="J128" s="8" t="str">
        <f>IF(A128="","",MAX(0,ROUNDDOWN(H128*12-I128*12-20000,-1)))</f>
        <v/>
      </c>
      <c r="K128" s="8" t="str">
        <f>IF(A128="","",MAX(0,(IF(J128&lt;=40000,0,IF(J128&lt;=60000,(J128-40000)*10%,IF(J128&lt;=70000,2000+(J128-60000)*15%,IF(J128&lt;=200000,3500+(J128-70000)*20%,IF(J128&lt;=400000,29500+(J128-200000)*22.5%,IF(J128&lt;=1000000,74500+(J128-400000)*25%,224500+(J128-1000000)*27.5%)))))))/12))</f>
        <v/>
      </c>
      <c r="L128" s="8" t="str">
        <f>IF(A128="","",IF('كشف التوقيع والملخص'!$B$3="نعم",MAX(0,H128-10000)*0.003,0))</f>
        <v/>
      </c>
      <c r="M128" s="8" t="str">
        <f>IF(A128="","",I128+K128+L128)</f>
        <v/>
      </c>
      <c r="N128" s="8" t="str">
        <f>IF(A128="","",H128-M128)</f>
        <v/>
      </c>
    </row>
    <row r="129" spans="1:14" ht="14.25" x14ac:dyDescent="0.15">
      <c r="A129" s="5" t="str">
        <f>IF('بيانات الموظفين'!A129="","",'بيانات الموظفين'!A129)</f>
        <v/>
      </c>
      <c r="B129" s="5" t="str">
        <f>IF(A129="","",'بيانات الموظفين'!B129)</f>
        <v/>
      </c>
      <c r="C129" s="6" t="s">
        <v>25</v>
      </c>
      <c r="D129" s="6">
        <v>2026</v>
      </c>
      <c r="E129" s="6">
        <v>30</v>
      </c>
      <c r="F129" s="7"/>
      <c r="G129" s="7"/>
      <c r="H129" s="8" t="str">
        <f>IF(A129="","",(('بيانات الموظفين'!G129+'بيانات الموظفين'!H129)/30)*MIN(30,MAX(0,E129))+F129+G129)</f>
        <v/>
      </c>
      <c r="I129" s="8" t="str">
        <f>IF(A129="","",MIN(16700,MAX(2700,'بيانات الموظفين'!I129))*11%)</f>
        <v/>
      </c>
      <c r="J129" s="8" t="str">
        <f>IF(A129="","",MAX(0,ROUNDDOWN(H129*12-I129*12-20000,-1)))</f>
        <v/>
      </c>
      <c r="K129" s="8" t="str">
        <f>IF(A129="","",MAX(0,(IF(J129&lt;=40000,0,IF(J129&lt;=60000,(J129-40000)*10%,IF(J129&lt;=70000,2000+(J129-60000)*15%,IF(J129&lt;=200000,3500+(J129-70000)*20%,IF(J129&lt;=400000,29500+(J129-200000)*22.5%,IF(J129&lt;=1000000,74500+(J129-400000)*25%,224500+(J129-1000000)*27.5%)))))))/12))</f>
        <v/>
      </c>
      <c r="L129" s="8" t="str">
        <f>IF(A129="","",IF('كشف التوقيع والملخص'!$B$3="نعم",MAX(0,H129-10000)*0.003,0))</f>
        <v/>
      </c>
      <c r="M129" s="8" t="str">
        <f>IF(A129="","",I129+K129+L129)</f>
        <v/>
      </c>
      <c r="N129" s="8" t="str">
        <f>IF(A129="","",H129-M129)</f>
        <v/>
      </c>
    </row>
    <row r="130" spans="1:14" ht="14.25" x14ac:dyDescent="0.15">
      <c r="A130" s="5" t="str">
        <f>IF('بيانات الموظفين'!A130="","",'بيانات الموظفين'!A130)</f>
        <v/>
      </c>
      <c r="B130" s="5" t="str">
        <f>IF(A130="","",'بيانات الموظفين'!B130)</f>
        <v/>
      </c>
      <c r="C130" s="6" t="s">
        <v>25</v>
      </c>
      <c r="D130" s="6">
        <v>2026</v>
      </c>
      <c r="E130" s="6">
        <v>30</v>
      </c>
      <c r="F130" s="7"/>
      <c r="G130" s="7"/>
      <c r="H130" s="8" t="str">
        <f>IF(A130="","",(('بيانات الموظفين'!G130+'بيانات الموظفين'!H130)/30)*MIN(30,MAX(0,E130))+F130+G130)</f>
        <v/>
      </c>
      <c r="I130" s="8" t="str">
        <f>IF(A130="","",MIN(16700,MAX(2700,'بيانات الموظفين'!I130))*11%)</f>
        <v/>
      </c>
      <c r="J130" s="8" t="str">
        <f>IF(A130="","",MAX(0,ROUNDDOWN(H130*12-I130*12-20000,-1)))</f>
        <v/>
      </c>
      <c r="K130" s="8" t="str">
        <f>IF(A130="","",MAX(0,(IF(J130&lt;=40000,0,IF(J130&lt;=60000,(J130-40000)*10%,IF(J130&lt;=70000,2000+(J130-60000)*15%,IF(J130&lt;=200000,3500+(J130-70000)*20%,IF(J130&lt;=400000,29500+(J130-200000)*22.5%,IF(J130&lt;=1000000,74500+(J130-400000)*25%,224500+(J130-1000000)*27.5%)))))))/12))</f>
        <v/>
      </c>
      <c r="L130" s="8" t="str">
        <f>IF(A130="","",IF('كشف التوقيع والملخص'!$B$3="نعم",MAX(0,H130-10000)*0.003,0))</f>
        <v/>
      </c>
      <c r="M130" s="8" t="str">
        <f>IF(A130="","",I130+K130+L130)</f>
        <v/>
      </c>
      <c r="N130" s="8" t="str">
        <f>IF(A130="","",H130-M130)</f>
        <v/>
      </c>
    </row>
    <row r="131" spans="1:14" ht="14.25" x14ac:dyDescent="0.15">
      <c r="A131" s="5" t="str">
        <f>IF('بيانات الموظفين'!A131="","",'بيانات الموظفين'!A131)</f>
        <v/>
      </c>
      <c r="B131" s="5" t="str">
        <f>IF(A131="","",'بيانات الموظفين'!B131)</f>
        <v/>
      </c>
      <c r="C131" s="6" t="s">
        <v>25</v>
      </c>
      <c r="D131" s="6">
        <v>2026</v>
      </c>
      <c r="E131" s="6">
        <v>30</v>
      </c>
      <c r="F131" s="7"/>
      <c r="G131" s="7"/>
      <c r="H131" s="8" t="str">
        <f>IF(A131="","",(('بيانات الموظفين'!G131+'بيانات الموظفين'!H131)/30)*MIN(30,MAX(0,E131))+F131+G131)</f>
        <v/>
      </c>
      <c r="I131" s="8" t="str">
        <f>IF(A131="","",MIN(16700,MAX(2700,'بيانات الموظفين'!I131))*11%)</f>
        <v/>
      </c>
      <c r="J131" s="8" t="str">
        <f>IF(A131="","",MAX(0,ROUNDDOWN(H131*12-I131*12-20000,-1)))</f>
        <v/>
      </c>
      <c r="K131" s="8" t="str">
        <f>IF(A131="","",MAX(0,(IF(J131&lt;=40000,0,IF(J131&lt;=60000,(J131-40000)*10%,IF(J131&lt;=70000,2000+(J131-60000)*15%,IF(J131&lt;=200000,3500+(J131-70000)*20%,IF(J131&lt;=400000,29500+(J131-200000)*22.5%,IF(J131&lt;=1000000,74500+(J131-400000)*25%,224500+(J131-1000000)*27.5%)))))))/12))</f>
        <v/>
      </c>
      <c r="L131" s="8" t="str">
        <f>IF(A131="","",IF('كشف التوقيع والملخص'!$B$3="نعم",MAX(0,H131-10000)*0.003,0))</f>
        <v/>
      </c>
      <c r="M131" s="8" t="str">
        <f>IF(A131="","",I131+K131+L131)</f>
        <v/>
      </c>
      <c r="N131" s="8" t="str">
        <f>IF(A131="","",H131-M131)</f>
        <v/>
      </c>
    </row>
    <row r="132" spans="1:14" ht="14.25" x14ac:dyDescent="0.15">
      <c r="A132" s="5" t="str">
        <f>IF('بيانات الموظفين'!A132="","",'بيانات الموظفين'!A132)</f>
        <v/>
      </c>
      <c r="B132" s="5" t="str">
        <f>IF(A132="","",'بيانات الموظفين'!B132)</f>
        <v/>
      </c>
      <c r="C132" s="6" t="s">
        <v>25</v>
      </c>
      <c r="D132" s="6">
        <v>2026</v>
      </c>
      <c r="E132" s="6">
        <v>30</v>
      </c>
      <c r="F132" s="7"/>
      <c r="G132" s="7"/>
      <c r="H132" s="8" t="str">
        <f>IF(A132="","",(('بيانات الموظفين'!G132+'بيانات الموظفين'!H132)/30)*MIN(30,MAX(0,E132))+F132+G132)</f>
        <v/>
      </c>
      <c r="I132" s="8" t="str">
        <f>IF(A132="","",MIN(16700,MAX(2700,'بيانات الموظفين'!I132))*11%)</f>
        <v/>
      </c>
      <c r="J132" s="8" t="str">
        <f>IF(A132="","",MAX(0,ROUNDDOWN(H132*12-I132*12-20000,-1)))</f>
        <v/>
      </c>
      <c r="K132" s="8" t="str">
        <f>IF(A132="","",MAX(0,(IF(J132&lt;=40000,0,IF(J132&lt;=60000,(J132-40000)*10%,IF(J132&lt;=70000,2000+(J132-60000)*15%,IF(J132&lt;=200000,3500+(J132-70000)*20%,IF(J132&lt;=400000,29500+(J132-200000)*22.5%,IF(J132&lt;=1000000,74500+(J132-400000)*25%,224500+(J132-1000000)*27.5%)))))))/12))</f>
        <v/>
      </c>
      <c r="L132" s="8" t="str">
        <f>IF(A132="","",IF('كشف التوقيع والملخص'!$B$3="نعم",MAX(0,H132-10000)*0.003,0))</f>
        <v/>
      </c>
      <c r="M132" s="8" t="str">
        <f>IF(A132="","",I132+K132+L132)</f>
        <v/>
      </c>
      <c r="N132" s="8" t="str">
        <f>IF(A132="","",H132-M132)</f>
        <v/>
      </c>
    </row>
    <row r="133" spans="1:14" ht="14.25" x14ac:dyDescent="0.15">
      <c r="A133" s="5" t="str">
        <f>IF('بيانات الموظفين'!A133="","",'بيانات الموظفين'!A133)</f>
        <v/>
      </c>
      <c r="B133" s="5" t="str">
        <f>IF(A133="","",'بيانات الموظفين'!B133)</f>
        <v/>
      </c>
      <c r="C133" s="6" t="s">
        <v>25</v>
      </c>
      <c r="D133" s="6">
        <v>2026</v>
      </c>
      <c r="E133" s="6">
        <v>30</v>
      </c>
      <c r="F133" s="7"/>
      <c r="G133" s="7"/>
      <c r="H133" s="8" t="str">
        <f>IF(A133="","",(('بيانات الموظفين'!G133+'بيانات الموظفين'!H133)/30)*MIN(30,MAX(0,E133))+F133+G133)</f>
        <v/>
      </c>
      <c r="I133" s="8" t="str">
        <f>IF(A133="","",MIN(16700,MAX(2700,'بيانات الموظفين'!I133))*11%)</f>
        <v/>
      </c>
      <c r="J133" s="8" t="str">
        <f>IF(A133="","",MAX(0,ROUNDDOWN(H133*12-I133*12-20000,-1)))</f>
        <v/>
      </c>
      <c r="K133" s="8" t="str">
        <f>IF(A133="","",MAX(0,(IF(J133&lt;=40000,0,IF(J133&lt;=60000,(J133-40000)*10%,IF(J133&lt;=70000,2000+(J133-60000)*15%,IF(J133&lt;=200000,3500+(J133-70000)*20%,IF(J133&lt;=400000,29500+(J133-200000)*22.5%,IF(J133&lt;=1000000,74500+(J133-400000)*25%,224500+(J133-1000000)*27.5%)))))))/12))</f>
        <v/>
      </c>
      <c r="L133" s="8" t="str">
        <f>IF(A133="","",IF('كشف التوقيع والملخص'!$B$3="نعم",MAX(0,H133-10000)*0.003,0))</f>
        <v/>
      </c>
      <c r="M133" s="8" t="str">
        <f>IF(A133="","",I133+K133+L133)</f>
        <v/>
      </c>
      <c r="N133" s="8" t="str">
        <f>IF(A133="","",H133-M133)</f>
        <v/>
      </c>
    </row>
    <row r="134" spans="1:14" ht="14.25" x14ac:dyDescent="0.15">
      <c r="A134" s="5" t="str">
        <f>IF('بيانات الموظفين'!A134="","",'بيانات الموظفين'!A134)</f>
        <v/>
      </c>
      <c r="B134" s="5" t="str">
        <f>IF(A134="","",'بيانات الموظفين'!B134)</f>
        <v/>
      </c>
      <c r="C134" s="6" t="s">
        <v>25</v>
      </c>
      <c r="D134" s="6">
        <v>2026</v>
      </c>
      <c r="E134" s="6">
        <v>30</v>
      </c>
      <c r="F134" s="7"/>
      <c r="G134" s="7"/>
      <c r="H134" s="8" t="str">
        <f>IF(A134="","",(('بيانات الموظفين'!G134+'بيانات الموظفين'!H134)/30)*MIN(30,MAX(0,E134))+F134+G134)</f>
        <v/>
      </c>
      <c r="I134" s="8" t="str">
        <f>IF(A134="","",MIN(16700,MAX(2700,'بيانات الموظفين'!I134))*11%)</f>
        <v/>
      </c>
      <c r="J134" s="8" t="str">
        <f>IF(A134="","",MAX(0,ROUNDDOWN(H134*12-I134*12-20000,-1)))</f>
        <v/>
      </c>
      <c r="K134" s="8" t="str">
        <f>IF(A134="","",MAX(0,(IF(J134&lt;=40000,0,IF(J134&lt;=60000,(J134-40000)*10%,IF(J134&lt;=70000,2000+(J134-60000)*15%,IF(J134&lt;=200000,3500+(J134-70000)*20%,IF(J134&lt;=400000,29500+(J134-200000)*22.5%,IF(J134&lt;=1000000,74500+(J134-400000)*25%,224500+(J134-1000000)*27.5%)))))))/12))</f>
        <v/>
      </c>
      <c r="L134" s="8" t="str">
        <f>IF(A134="","",IF('كشف التوقيع والملخص'!$B$3="نعم",MAX(0,H134-10000)*0.003,0))</f>
        <v/>
      </c>
      <c r="M134" s="8" t="str">
        <f>IF(A134="","",I134+K134+L134)</f>
        <v/>
      </c>
      <c r="N134" s="8" t="str">
        <f>IF(A134="","",H134-M134)</f>
        <v/>
      </c>
    </row>
    <row r="135" spans="1:14" ht="14.25" x14ac:dyDescent="0.15">
      <c r="A135" s="5" t="str">
        <f>IF('بيانات الموظفين'!A135="","",'بيانات الموظفين'!A135)</f>
        <v/>
      </c>
      <c r="B135" s="5" t="str">
        <f>IF(A135="","",'بيانات الموظفين'!B135)</f>
        <v/>
      </c>
      <c r="C135" s="6" t="s">
        <v>25</v>
      </c>
      <c r="D135" s="6">
        <v>2026</v>
      </c>
      <c r="E135" s="6">
        <v>30</v>
      </c>
      <c r="F135" s="7"/>
      <c r="G135" s="7"/>
      <c r="H135" s="8" t="str">
        <f>IF(A135="","",(('بيانات الموظفين'!G135+'بيانات الموظفين'!H135)/30)*MIN(30,MAX(0,E135))+F135+G135)</f>
        <v/>
      </c>
      <c r="I135" s="8" t="str">
        <f>IF(A135="","",MIN(16700,MAX(2700,'بيانات الموظفين'!I135))*11%)</f>
        <v/>
      </c>
      <c r="J135" s="8" t="str">
        <f>IF(A135="","",MAX(0,ROUNDDOWN(H135*12-I135*12-20000,-1)))</f>
        <v/>
      </c>
      <c r="K135" s="8" t="str">
        <f>IF(A135="","",MAX(0,(IF(J135&lt;=40000,0,IF(J135&lt;=60000,(J135-40000)*10%,IF(J135&lt;=70000,2000+(J135-60000)*15%,IF(J135&lt;=200000,3500+(J135-70000)*20%,IF(J135&lt;=400000,29500+(J135-200000)*22.5%,IF(J135&lt;=1000000,74500+(J135-400000)*25%,224500+(J135-1000000)*27.5%)))))))/12))</f>
        <v/>
      </c>
      <c r="L135" s="8" t="str">
        <f>IF(A135="","",IF('كشف التوقيع والملخص'!$B$3="نعم",MAX(0,H135-10000)*0.003,0))</f>
        <v/>
      </c>
      <c r="M135" s="8" t="str">
        <f>IF(A135="","",I135+K135+L135)</f>
        <v/>
      </c>
      <c r="N135" s="8" t="str">
        <f>IF(A135="","",H135-M135)</f>
        <v/>
      </c>
    </row>
    <row r="136" spans="1:14" ht="14.25" x14ac:dyDescent="0.15">
      <c r="A136" s="5" t="str">
        <f>IF('بيانات الموظفين'!A136="","",'بيانات الموظفين'!A136)</f>
        <v/>
      </c>
      <c r="B136" s="5" t="str">
        <f>IF(A136="","",'بيانات الموظفين'!B136)</f>
        <v/>
      </c>
      <c r="C136" s="6" t="s">
        <v>25</v>
      </c>
      <c r="D136" s="6">
        <v>2026</v>
      </c>
      <c r="E136" s="6">
        <v>30</v>
      </c>
      <c r="F136" s="7"/>
      <c r="G136" s="7"/>
      <c r="H136" s="8" t="str">
        <f>IF(A136="","",(('بيانات الموظفين'!G136+'بيانات الموظفين'!H136)/30)*MIN(30,MAX(0,E136))+F136+G136)</f>
        <v/>
      </c>
      <c r="I136" s="8" t="str">
        <f>IF(A136="","",MIN(16700,MAX(2700,'بيانات الموظفين'!I136))*11%)</f>
        <v/>
      </c>
      <c r="J136" s="8" t="str">
        <f>IF(A136="","",MAX(0,ROUNDDOWN(H136*12-I136*12-20000,-1)))</f>
        <v/>
      </c>
      <c r="K136" s="8" t="str">
        <f>IF(A136="","",MAX(0,(IF(J136&lt;=40000,0,IF(J136&lt;=60000,(J136-40000)*10%,IF(J136&lt;=70000,2000+(J136-60000)*15%,IF(J136&lt;=200000,3500+(J136-70000)*20%,IF(J136&lt;=400000,29500+(J136-200000)*22.5%,IF(J136&lt;=1000000,74500+(J136-400000)*25%,224500+(J136-1000000)*27.5%)))))))/12))</f>
        <v/>
      </c>
      <c r="L136" s="8" t="str">
        <f>IF(A136="","",IF('كشف التوقيع والملخص'!$B$3="نعم",MAX(0,H136-10000)*0.003,0))</f>
        <v/>
      </c>
      <c r="M136" s="8" t="str">
        <f>IF(A136="","",I136+K136+L136)</f>
        <v/>
      </c>
      <c r="N136" s="8" t="str">
        <f>IF(A136="","",H136-M136)</f>
        <v/>
      </c>
    </row>
    <row r="137" spans="1:14" ht="14.25" x14ac:dyDescent="0.15">
      <c r="A137" s="5" t="str">
        <f>IF('بيانات الموظفين'!A137="","",'بيانات الموظفين'!A137)</f>
        <v/>
      </c>
      <c r="B137" s="5" t="str">
        <f>IF(A137="","",'بيانات الموظفين'!B137)</f>
        <v/>
      </c>
      <c r="C137" s="6" t="s">
        <v>25</v>
      </c>
      <c r="D137" s="6">
        <v>2026</v>
      </c>
      <c r="E137" s="6">
        <v>30</v>
      </c>
      <c r="F137" s="7"/>
      <c r="G137" s="7"/>
      <c r="H137" s="8" t="str">
        <f>IF(A137="","",(('بيانات الموظفين'!G137+'بيانات الموظفين'!H137)/30)*MIN(30,MAX(0,E137))+F137+G137)</f>
        <v/>
      </c>
      <c r="I137" s="8" t="str">
        <f>IF(A137="","",MIN(16700,MAX(2700,'بيانات الموظفين'!I137))*11%)</f>
        <v/>
      </c>
      <c r="J137" s="8" t="str">
        <f>IF(A137="","",MAX(0,ROUNDDOWN(H137*12-I137*12-20000,-1)))</f>
        <v/>
      </c>
      <c r="K137" s="8" t="str">
        <f>IF(A137="","",MAX(0,(IF(J137&lt;=40000,0,IF(J137&lt;=60000,(J137-40000)*10%,IF(J137&lt;=70000,2000+(J137-60000)*15%,IF(J137&lt;=200000,3500+(J137-70000)*20%,IF(J137&lt;=400000,29500+(J137-200000)*22.5%,IF(J137&lt;=1000000,74500+(J137-400000)*25%,224500+(J137-1000000)*27.5%)))))))/12))</f>
        <v/>
      </c>
      <c r="L137" s="8" t="str">
        <f>IF(A137="","",IF('كشف التوقيع والملخص'!$B$3="نعم",MAX(0,H137-10000)*0.003,0))</f>
        <v/>
      </c>
      <c r="M137" s="8" t="str">
        <f>IF(A137="","",I137+K137+L137)</f>
        <v/>
      </c>
      <c r="N137" s="8" t="str">
        <f>IF(A137="","",H137-M137)</f>
        <v/>
      </c>
    </row>
    <row r="138" spans="1:14" ht="14.25" x14ac:dyDescent="0.15">
      <c r="A138" s="5" t="str">
        <f>IF('بيانات الموظفين'!A138="","",'بيانات الموظفين'!A138)</f>
        <v/>
      </c>
      <c r="B138" s="5" t="str">
        <f>IF(A138="","",'بيانات الموظفين'!B138)</f>
        <v/>
      </c>
      <c r="C138" s="6" t="s">
        <v>25</v>
      </c>
      <c r="D138" s="6">
        <v>2026</v>
      </c>
      <c r="E138" s="6">
        <v>30</v>
      </c>
      <c r="F138" s="7"/>
      <c r="G138" s="7"/>
      <c r="H138" s="8" t="str">
        <f>IF(A138="","",(('بيانات الموظفين'!G138+'بيانات الموظفين'!H138)/30)*MIN(30,MAX(0,E138))+F138+G138)</f>
        <v/>
      </c>
      <c r="I138" s="8" t="str">
        <f>IF(A138="","",MIN(16700,MAX(2700,'بيانات الموظفين'!I138))*11%)</f>
        <v/>
      </c>
      <c r="J138" s="8" t="str">
        <f>IF(A138="","",MAX(0,ROUNDDOWN(H138*12-I138*12-20000,-1)))</f>
        <v/>
      </c>
      <c r="K138" s="8" t="str">
        <f>IF(A138="","",MAX(0,(IF(J138&lt;=40000,0,IF(J138&lt;=60000,(J138-40000)*10%,IF(J138&lt;=70000,2000+(J138-60000)*15%,IF(J138&lt;=200000,3500+(J138-70000)*20%,IF(J138&lt;=400000,29500+(J138-200000)*22.5%,IF(J138&lt;=1000000,74500+(J138-400000)*25%,224500+(J138-1000000)*27.5%)))))))/12))</f>
        <v/>
      </c>
      <c r="L138" s="8" t="str">
        <f>IF(A138="","",IF('كشف التوقيع والملخص'!$B$3="نعم",MAX(0,H138-10000)*0.003,0))</f>
        <v/>
      </c>
      <c r="M138" s="8" t="str">
        <f>IF(A138="","",I138+K138+L138)</f>
        <v/>
      </c>
      <c r="N138" s="8" t="str">
        <f>IF(A138="","",H138-M138)</f>
        <v/>
      </c>
    </row>
    <row r="139" spans="1:14" ht="14.25" x14ac:dyDescent="0.15">
      <c r="A139" s="5" t="str">
        <f>IF('بيانات الموظفين'!A139="","",'بيانات الموظفين'!A139)</f>
        <v/>
      </c>
      <c r="B139" s="5" t="str">
        <f>IF(A139="","",'بيانات الموظفين'!B139)</f>
        <v/>
      </c>
      <c r="C139" s="6" t="s">
        <v>25</v>
      </c>
      <c r="D139" s="6">
        <v>2026</v>
      </c>
      <c r="E139" s="6">
        <v>30</v>
      </c>
      <c r="F139" s="7"/>
      <c r="G139" s="7"/>
      <c r="H139" s="8" t="str">
        <f>IF(A139="","",(('بيانات الموظفين'!G139+'بيانات الموظفين'!H139)/30)*MIN(30,MAX(0,E139))+F139+G139)</f>
        <v/>
      </c>
      <c r="I139" s="8" t="str">
        <f>IF(A139="","",MIN(16700,MAX(2700,'بيانات الموظفين'!I139))*11%)</f>
        <v/>
      </c>
      <c r="J139" s="8" t="str">
        <f>IF(A139="","",MAX(0,ROUNDDOWN(H139*12-I139*12-20000,-1)))</f>
        <v/>
      </c>
      <c r="K139" s="8" t="str">
        <f>IF(A139="","",MAX(0,(IF(J139&lt;=40000,0,IF(J139&lt;=60000,(J139-40000)*10%,IF(J139&lt;=70000,2000+(J139-60000)*15%,IF(J139&lt;=200000,3500+(J139-70000)*20%,IF(J139&lt;=400000,29500+(J139-200000)*22.5%,IF(J139&lt;=1000000,74500+(J139-400000)*25%,224500+(J139-1000000)*27.5%)))))))/12))</f>
        <v/>
      </c>
      <c r="L139" s="8" t="str">
        <f>IF(A139="","",IF('كشف التوقيع والملخص'!$B$3="نعم",MAX(0,H139-10000)*0.003,0))</f>
        <v/>
      </c>
      <c r="M139" s="8" t="str">
        <f>IF(A139="","",I139+K139+L139)</f>
        <v/>
      </c>
      <c r="N139" s="8" t="str">
        <f>IF(A139="","",H139-M139)</f>
        <v/>
      </c>
    </row>
    <row r="140" spans="1:14" ht="14.25" x14ac:dyDescent="0.15">
      <c r="A140" s="5" t="str">
        <f>IF('بيانات الموظفين'!A140="","",'بيانات الموظفين'!A140)</f>
        <v/>
      </c>
      <c r="B140" s="5" t="str">
        <f>IF(A140="","",'بيانات الموظفين'!B140)</f>
        <v/>
      </c>
      <c r="C140" s="6" t="s">
        <v>25</v>
      </c>
      <c r="D140" s="6">
        <v>2026</v>
      </c>
      <c r="E140" s="6">
        <v>30</v>
      </c>
      <c r="F140" s="7"/>
      <c r="G140" s="7"/>
      <c r="H140" s="8" t="str">
        <f>IF(A140="","",(('بيانات الموظفين'!G140+'بيانات الموظفين'!H140)/30)*MIN(30,MAX(0,E140))+F140+G140)</f>
        <v/>
      </c>
      <c r="I140" s="8" t="str">
        <f>IF(A140="","",MIN(16700,MAX(2700,'بيانات الموظفين'!I140))*11%)</f>
        <v/>
      </c>
      <c r="J140" s="8" t="str">
        <f>IF(A140="","",MAX(0,ROUNDDOWN(H140*12-I140*12-20000,-1)))</f>
        <v/>
      </c>
      <c r="K140" s="8" t="str">
        <f>IF(A140="","",MAX(0,(IF(J140&lt;=40000,0,IF(J140&lt;=60000,(J140-40000)*10%,IF(J140&lt;=70000,2000+(J140-60000)*15%,IF(J140&lt;=200000,3500+(J140-70000)*20%,IF(J140&lt;=400000,29500+(J140-200000)*22.5%,IF(J140&lt;=1000000,74500+(J140-400000)*25%,224500+(J140-1000000)*27.5%)))))))/12))</f>
        <v/>
      </c>
      <c r="L140" s="8" t="str">
        <f>IF(A140="","",IF('كشف التوقيع والملخص'!$B$3="نعم",MAX(0,H140-10000)*0.003,0))</f>
        <v/>
      </c>
      <c r="M140" s="8" t="str">
        <f>IF(A140="","",I140+K140+L140)</f>
        <v/>
      </c>
      <c r="N140" s="8" t="str">
        <f>IF(A140="","",H140-M140)</f>
        <v/>
      </c>
    </row>
    <row r="141" spans="1:14" ht="14.25" x14ac:dyDescent="0.15">
      <c r="A141" s="5" t="str">
        <f>IF('بيانات الموظفين'!A141="","",'بيانات الموظفين'!A141)</f>
        <v/>
      </c>
      <c r="B141" s="5" t="str">
        <f>IF(A141="","",'بيانات الموظفين'!B141)</f>
        <v/>
      </c>
      <c r="C141" s="6" t="s">
        <v>25</v>
      </c>
      <c r="D141" s="6">
        <v>2026</v>
      </c>
      <c r="E141" s="6">
        <v>30</v>
      </c>
      <c r="F141" s="7"/>
      <c r="G141" s="7"/>
      <c r="H141" s="8" t="str">
        <f>IF(A141="","",(('بيانات الموظفين'!G141+'بيانات الموظفين'!H141)/30)*MIN(30,MAX(0,E141))+F141+G141)</f>
        <v/>
      </c>
      <c r="I141" s="8" t="str">
        <f>IF(A141="","",MIN(16700,MAX(2700,'بيانات الموظفين'!I141))*11%)</f>
        <v/>
      </c>
      <c r="J141" s="8" t="str">
        <f>IF(A141="","",MAX(0,ROUNDDOWN(H141*12-I141*12-20000,-1)))</f>
        <v/>
      </c>
      <c r="K141" s="8" t="str">
        <f>IF(A141="","",MAX(0,(IF(J141&lt;=40000,0,IF(J141&lt;=60000,(J141-40000)*10%,IF(J141&lt;=70000,2000+(J141-60000)*15%,IF(J141&lt;=200000,3500+(J141-70000)*20%,IF(J141&lt;=400000,29500+(J141-200000)*22.5%,IF(J141&lt;=1000000,74500+(J141-400000)*25%,224500+(J141-1000000)*27.5%)))))))/12))</f>
        <v/>
      </c>
      <c r="L141" s="8" t="str">
        <f>IF(A141="","",IF('كشف التوقيع والملخص'!$B$3="نعم",MAX(0,H141-10000)*0.003,0))</f>
        <v/>
      </c>
      <c r="M141" s="8" t="str">
        <f>IF(A141="","",I141+K141+L141)</f>
        <v/>
      </c>
      <c r="N141" s="8" t="str">
        <f>IF(A141="","",H141-M141)</f>
        <v/>
      </c>
    </row>
    <row r="142" spans="1:14" ht="14.25" x14ac:dyDescent="0.15">
      <c r="A142" s="5" t="str">
        <f>IF('بيانات الموظفين'!A142="","",'بيانات الموظفين'!A142)</f>
        <v/>
      </c>
      <c r="B142" s="5" t="str">
        <f>IF(A142="","",'بيانات الموظفين'!B142)</f>
        <v/>
      </c>
      <c r="C142" s="6" t="s">
        <v>25</v>
      </c>
      <c r="D142" s="6">
        <v>2026</v>
      </c>
      <c r="E142" s="6">
        <v>30</v>
      </c>
      <c r="F142" s="7"/>
      <c r="G142" s="7"/>
      <c r="H142" s="8" t="str">
        <f>IF(A142="","",(('بيانات الموظفين'!G142+'بيانات الموظفين'!H142)/30)*MIN(30,MAX(0,E142))+F142+G142)</f>
        <v/>
      </c>
      <c r="I142" s="8" t="str">
        <f>IF(A142="","",MIN(16700,MAX(2700,'بيانات الموظفين'!I142))*11%)</f>
        <v/>
      </c>
      <c r="J142" s="8" t="str">
        <f>IF(A142="","",MAX(0,ROUNDDOWN(H142*12-I142*12-20000,-1)))</f>
        <v/>
      </c>
      <c r="K142" s="8" t="str">
        <f>IF(A142="","",MAX(0,(IF(J142&lt;=40000,0,IF(J142&lt;=60000,(J142-40000)*10%,IF(J142&lt;=70000,2000+(J142-60000)*15%,IF(J142&lt;=200000,3500+(J142-70000)*20%,IF(J142&lt;=400000,29500+(J142-200000)*22.5%,IF(J142&lt;=1000000,74500+(J142-400000)*25%,224500+(J142-1000000)*27.5%)))))))/12))</f>
        <v/>
      </c>
      <c r="L142" s="8" t="str">
        <f>IF(A142="","",IF('كشف التوقيع والملخص'!$B$3="نعم",MAX(0,H142-10000)*0.003,0))</f>
        <v/>
      </c>
      <c r="M142" s="8" t="str">
        <f>IF(A142="","",I142+K142+L142)</f>
        <v/>
      </c>
      <c r="N142" s="8" t="str">
        <f>IF(A142="","",H142-M142)</f>
        <v/>
      </c>
    </row>
    <row r="143" spans="1:14" ht="14.25" x14ac:dyDescent="0.15">
      <c r="A143" s="5" t="str">
        <f>IF('بيانات الموظفين'!A143="","",'بيانات الموظفين'!A143)</f>
        <v/>
      </c>
      <c r="B143" s="5" t="str">
        <f>IF(A143="","",'بيانات الموظفين'!B143)</f>
        <v/>
      </c>
      <c r="C143" s="6" t="s">
        <v>25</v>
      </c>
      <c r="D143" s="6">
        <v>2026</v>
      </c>
      <c r="E143" s="6">
        <v>30</v>
      </c>
      <c r="F143" s="7"/>
      <c r="G143" s="7"/>
      <c r="H143" s="8" t="str">
        <f>IF(A143="","",(('بيانات الموظفين'!G143+'بيانات الموظفين'!H143)/30)*MIN(30,MAX(0,E143))+F143+G143)</f>
        <v/>
      </c>
      <c r="I143" s="8" t="str">
        <f>IF(A143="","",MIN(16700,MAX(2700,'بيانات الموظفين'!I143))*11%)</f>
        <v/>
      </c>
      <c r="J143" s="8" t="str">
        <f>IF(A143="","",MAX(0,ROUNDDOWN(H143*12-I143*12-20000,-1)))</f>
        <v/>
      </c>
      <c r="K143" s="8" t="str">
        <f>IF(A143="","",MAX(0,(IF(J143&lt;=40000,0,IF(J143&lt;=60000,(J143-40000)*10%,IF(J143&lt;=70000,2000+(J143-60000)*15%,IF(J143&lt;=200000,3500+(J143-70000)*20%,IF(J143&lt;=400000,29500+(J143-200000)*22.5%,IF(J143&lt;=1000000,74500+(J143-400000)*25%,224500+(J143-1000000)*27.5%)))))))/12))</f>
        <v/>
      </c>
      <c r="L143" s="8" t="str">
        <f>IF(A143="","",IF('كشف التوقيع والملخص'!$B$3="نعم",MAX(0,H143-10000)*0.003,0))</f>
        <v/>
      </c>
      <c r="M143" s="8" t="str">
        <f>IF(A143="","",I143+K143+L143)</f>
        <v/>
      </c>
      <c r="N143" s="8" t="str">
        <f>IF(A143="","",H143-M143)</f>
        <v/>
      </c>
    </row>
    <row r="144" spans="1:14" ht="14.25" x14ac:dyDescent="0.15">
      <c r="A144" s="5" t="str">
        <f>IF('بيانات الموظفين'!A144="","",'بيانات الموظفين'!A144)</f>
        <v/>
      </c>
      <c r="B144" s="5" t="str">
        <f>IF(A144="","",'بيانات الموظفين'!B144)</f>
        <v/>
      </c>
      <c r="C144" s="6" t="s">
        <v>25</v>
      </c>
      <c r="D144" s="6">
        <v>2026</v>
      </c>
      <c r="E144" s="6">
        <v>30</v>
      </c>
      <c r="F144" s="7"/>
      <c r="G144" s="7"/>
      <c r="H144" s="8" t="str">
        <f>IF(A144="","",(('بيانات الموظفين'!G144+'بيانات الموظفين'!H144)/30)*MIN(30,MAX(0,E144))+F144+G144)</f>
        <v/>
      </c>
      <c r="I144" s="8" t="str">
        <f>IF(A144="","",MIN(16700,MAX(2700,'بيانات الموظفين'!I144))*11%)</f>
        <v/>
      </c>
      <c r="J144" s="8" t="str">
        <f>IF(A144="","",MAX(0,ROUNDDOWN(H144*12-I144*12-20000,-1)))</f>
        <v/>
      </c>
      <c r="K144" s="8" t="str">
        <f>IF(A144="","",MAX(0,(IF(J144&lt;=40000,0,IF(J144&lt;=60000,(J144-40000)*10%,IF(J144&lt;=70000,2000+(J144-60000)*15%,IF(J144&lt;=200000,3500+(J144-70000)*20%,IF(J144&lt;=400000,29500+(J144-200000)*22.5%,IF(J144&lt;=1000000,74500+(J144-400000)*25%,224500+(J144-1000000)*27.5%)))))))/12))</f>
        <v/>
      </c>
      <c r="L144" s="8" t="str">
        <f>IF(A144="","",IF('كشف التوقيع والملخص'!$B$3="نعم",MAX(0,H144-10000)*0.003,0))</f>
        <v/>
      </c>
      <c r="M144" s="8" t="str">
        <f>IF(A144="","",I144+K144+L144)</f>
        <v/>
      </c>
      <c r="N144" s="8" t="str">
        <f>IF(A144="","",H144-M144)</f>
        <v/>
      </c>
    </row>
    <row r="145" spans="1:14" ht="14.25" x14ac:dyDescent="0.15">
      <c r="A145" s="5" t="str">
        <f>IF('بيانات الموظفين'!A145="","",'بيانات الموظفين'!A145)</f>
        <v/>
      </c>
      <c r="B145" s="5" t="str">
        <f>IF(A145="","",'بيانات الموظفين'!B145)</f>
        <v/>
      </c>
      <c r="C145" s="6" t="s">
        <v>25</v>
      </c>
      <c r="D145" s="6">
        <v>2026</v>
      </c>
      <c r="E145" s="6">
        <v>30</v>
      </c>
      <c r="F145" s="7"/>
      <c r="G145" s="7"/>
      <c r="H145" s="8" t="str">
        <f>IF(A145="","",(('بيانات الموظفين'!G145+'بيانات الموظفين'!H145)/30)*MIN(30,MAX(0,E145))+F145+G145)</f>
        <v/>
      </c>
      <c r="I145" s="8" t="str">
        <f>IF(A145="","",MIN(16700,MAX(2700,'بيانات الموظفين'!I145))*11%)</f>
        <v/>
      </c>
      <c r="J145" s="8" t="str">
        <f>IF(A145="","",MAX(0,ROUNDDOWN(H145*12-I145*12-20000,-1)))</f>
        <v/>
      </c>
      <c r="K145" s="8" t="str">
        <f>IF(A145="","",MAX(0,(IF(J145&lt;=40000,0,IF(J145&lt;=60000,(J145-40000)*10%,IF(J145&lt;=70000,2000+(J145-60000)*15%,IF(J145&lt;=200000,3500+(J145-70000)*20%,IF(J145&lt;=400000,29500+(J145-200000)*22.5%,IF(J145&lt;=1000000,74500+(J145-400000)*25%,224500+(J145-1000000)*27.5%)))))))/12))</f>
        <v/>
      </c>
      <c r="L145" s="8" t="str">
        <f>IF(A145="","",IF('كشف التوقيع والملخص'!$B$3="نعم",MAX(0,H145-10000)*0.003,0))</f>
        <v/>
      </c>
      <c r="M145" s="8" t="str">
        <f>IF(A145="","",I145+K145+L145)</f>
        <v/>
      </c>
      <c r="N145" s="8" t="str">
        <f>IF(A145="","",H145-M145)</f>
        <v/>
      </c>
    </row>
    <row r="146" spans="1:14" ht="14.25" x14ac:dyDescent="0.15">
      <c r="A146" s="5" t="str">
        <f>IF('بيانات الموظفين'!A146="","",'بيانات الموظفين'!A146)</f>
        <v/>
      </c>
      <c r="B146" s="5" t="str">
        <f>IF(A146="","",'بيانات الموظفين'!B146)</f>
        <v/>
      </c>
      <c r="C146" s="6" t="s">
        <v>25</v>
      </c>
      <c r="D146" s="6">
        <v>2026</v>
      </c>
      <c r="E146" s="6">
        <v>30</v>
      </c>
      <c r="F146" s="7"/>
      <c r="G146" s="7"/>
      <c r="H146" s="8" t="str">
        <f>IF(A146="","",(('بيانات الموظفين'!G146+'بيانات الموظفين'!H146)/30)*MIN(30,MAX(0,E146))+F146+G146)</f>
        <v/>
      </c>
      <c r="I146" s="8" t="str">
        <f>IF(A146="","",MIN(16700,MAX(2700,'بيانات الموظفين'!I146))*11%)</f>
        <v/>
      </c>
      <c r="J146" s="8" t="str">
        <f>IF(A146="","",MAX(0,ROUNDDOWN(H146*12-I146*12-20000,-1)))</f>
        <v/>
      </c>
      <c r="K146" s="8" t="str">
        <f>IF(A146="","",MAX(0,(IF(J146&lt;=40000,0,IF(J146&lt;=60000,(J146-40000)*10%,IF(J146&lt;=70000,2000+(J146-60000)*15%,IF(J146&lt;=200000,3500+(J146-70000)*20%,IF(J146&lt;=400000,29500+(J146-200000)*22.5%,IF(J146&lt;=1000000,74500+(J146-400000)*25%,224500+(J146-1000000)*27.5%)))))))/12))</f>
        <v/>
      </c>
      <c r="L146" s="8" t="str">
        <f>IF(A146="","",IF('كشف التوقيع والملخص'!$B$3="نعم",MAX(0,H146-10000)*0.003,0))</f>
        <v/>
      </c>
      <c r="M146" s="8" t="str">
        <f>IF(A146="","",I146+K146+L146)</f>
        <v/>
      </c>
      <c r="N146" s="8" t="str">
        <f>IF(A146="","",H146-M146)</f>
        <v/>
      </c>
    </row>
    <row r="147" spans="1:14" ht="14.25" x14ac:dyDescent="0.15">
      <c r="A147" s="5" t="str">
        <f>IF('بيانات الموظفين'!A147="","",'بيانات الموظفين'!A147)</f>
        <v/>
      </c>
      <c r="B147" s="5" t="str">
        <f>IF(A147="","",'بيانات الموظفين'!B147)</f>
        <v/>
      </c>
      <c r="C147" s="6" t="s">
        <v>25</v>
      </c>
      <c r="D147" s="6">
        <v>2026</v>
      </c>
      <c r="E147" s="6">
        <v>30</v>
      </c>
      <c r="F147" s="7"/>
      <c r="G147" s="7"/>
      <c r="H147" s="8" t="str">
        <f>IF(A147="","",(('بيانات الموظفين'!G147+'بيانات الموظفين'!H147)/30)*MIN(30,MAX(0,E147))+F147+G147)</f>
        <v/>
      </c>
      <c r="I147" s="8" t="str">
        <f>IF(A147="","",MIN(16700,MAX(2700,'بيانات الموظفين'!I147))*11%)</f>
        <v/>
      </c>
      <c r="J147" s="8" t="str">
        <f>IF(A147="","",MAX(0,ROUNDDOWN(H147*12-I147*12-20000,-1)))</f>
        <v/>
      </c>
      <c r="K147" s="8" t="str">
        <f>IF(A147="","",MAX(0,(IF(J147&lt;=40000,0,IF(J147&lt;=60000,(J147-40000)*10%,IF(J147&lt;=70000,2000+(J147-60000)*15%,IF(J147&lt;=200000,3500+(J147-70000)*20%,IF(J147&lt;=400000,29500+(J147-200000)*22.5%,IF(J147&lt;=1000000,74500+(J147-400000)*25%,224500+(J147-1000000)*27.5%)))))))/12))</f>
        <v/>
      </c>
      <c r="L147" s="8" t="str">
        <f>IF(A147="","",IF('كشف التوقيع والملخص'!$B$3="نعم",MAX(0,H147-10000)*0.003,0))</f>
        <v/>
      </c>
      <c r="M147" s="8" t="str">
        <f>IF(A147="","",I147+K147+L147)</f>
        <v/>
      </c>
      <c r="N147" s="8" t="str">
        <f>IF(A147="","",H147-M147)</f>
        <v/>
      </c>
    </row>
    <row r="148" spans="1:14" ht="14.25" x14ac:dyDescent="0.15">
      <c r="A148" s="5" t="str">
        <f>IF('بيانات الموظفين'!A148="","",'بيانات الموظفين'!A148)</f>
        <v/>
      </c>
      <c r="B148" s="5" t="str">
        <f>IF(A148="","",'بيانات الموظفين'!B148)</f>
        <v/>
      </c>
      <c r="C148" s="6" t="s">
        <v>25</v>
      </c>
      <c r="D148" s="6">
        <v>2026</v>
      </c>
      <c r="E148" s="6">
        <v>30</v>
      </c>
      <c r="F148" s="7"/>
      <c r="G148" s="7"/>
      <c r="H148" s="8" t="str">
        <f>IF(A148="","",(('بيانات الموظفين'!G148+'بيانات الموظفين'!H148)/30)*MIN(30,MAX(0,E148))+F148+G148)</f>
        <v/>
      </c>
      <c r="I148" s="8" t="str">
        <f>IF(A148="","",MIN(16700,MAX(2700,'بيانات الموظفين'!I148))*11%)</f>
        <v/>
      </c>
      <c r="J148" s="8" t="str">
        <f>IF(A148="","",MAX(0,ROUNDDOWN(H148*12-I148*12-20000,-1)))</f>
        <v/>
      </c>
      <c r="K148" s="8" t="str">
        <f>IF(A148="","",MAX(0,(IF(J148&lt;=40000,0,IF(J148&lt;=60000,(J148-40000)*10%,IF(J148&lt;=70000,2000+(J148-60000)*15%,IF(J148&lt;=200000,3500+(J148-70000)*20%,IF(J148&lt;=400000,29500+(J148-200000)*22.5%,IF(J148&lt;=1000000,74500+(J148-400000)*25%,224500+(J148-1000000)*27.5%)))))))/12))</f>
        <v/>
      </c>
      <c r="L148" s="8" t="str">
        <f>IF(A148="","",IF('كشف التوقيع والملخص'!$B$3="نعم",MAX(0,H148-10000)*0.003,0))</f>
        <v/>
      </c>
      <c r="M148" s="8" t="str">
        <f>IF(A148="","",I148+K148+L148)</f>
        <v/>
      </c>
      <c r="N148" s="8" t="str">
        <f>IF(A148="","",H148-M148)</f>
        <v/>
      </c>
    </row>
    <row r="149" spans="1:14" ht="14.25" x14ac:dyDescent="0.15">
      <c r="A149" s="5" t="str">
        <f>IF('بيانات الموظفين'!A149="","",'بيانات الموظفين'!A149)</f>
        <v/>
      </c>
      <c r="B149" s="5" t="str">
        <f>IF(A149="","",'بيانات الموظفين'!B149)</f>
        <v/>
      </c>
      <c r="C149" s="6" t="s">
        <v>25</v>
      </c>
      <c r="D149" s="6">
        <v>2026</v>
      </c>
      <c r="E149" s="6">
        <v>30</v>
      </c>
      <c r="F149" s="7"/>
      <c r="G149" s="7"/>
      <c r="H149" s="8" t="str">
        <f>IF(A149="","",(('بيانات الموظفين'!G149+'بيانات الموظفين'!H149)/30)*MIN(30,MAX(0,E149))+F149+G149)</f>
        <v/>
      </c>
      <c r="I149" s="8" t="str">
        <f>IF(A149="","",MIN(16700,MAX(2700,'بيانات الموظفين'!I149))*11%)</f>
        <v/>
      </c>
      <c r="J149" s="8" t="str">
        <f>IF(A149="","",MAX(0,ROUNDDOWN(H149*12-I149*12-20000,-1)))</f>
        <v/>
      </c>
      <c r="K149" s="8" t="str">
        <f>IF(A149="","",MAX(0,(IF(J149&lt;=40000,0,IF(J149&lt;=60000,(J149-40000)*10%,IF(J149&lt;=70000,2000+(J149-60000)*15%,IF(J149&lt;=200000,3500+(J149-70000)*20%,IF(J149&lt;=400000,29500+(J149-200000)*22.5%,IF(J149&lt;=1000000,74500+(J149-400000)*25%,224500+(J149-1000000)*27.5%)))))))/12))</f>
        <v/>
      </c>
      <c r="L149" s="8" t="str">
        <f>IF(A149="","",IF('كشف التوقيع والملخص'!$B$3="نعم",MAX(0,H149-10000)*0.003,0))</f>
        <v/>
      </c>
      <c r="M149" s="8" t="str">
        <f>IF(A149="","",I149+K149+L149)</f>
        <v/>
      </c>
      <c r="N149" s="8" t="str">
        <f>IF(A149="","",H149-M149)</f>
        <v/>
      </c>
    </row>
    <row r="150" spans="1:14" ht="14.25" x14ac:dyDescent="0.15">
      <c r="A150" s="5" t="str">
        <f>IF('بيانات الموظفين'!A150="","",'بيانات الموظفين'!A150)</f>
        <v/>
      </c>
      <c r="B150" s="5" t="str">
        <f>IF(A150="","",'بيانات الموظفين'!B150)</f>
        <v/>
      </c>
      <c r="C150" s="6" t="s">
        <v>25</v>
      </c>
      <c r="D150" s="6">
        <v>2026</v>
      </c>
      <c r="E150" s="6">
        <v>30</v>
      </c>
      <c r="F150" s="7"/>
      <c r="G150" s="7"/>
      <c r="H150" s="8" t="str">
        <f>IF(A150="","",(('بيانات الموظفين'!G150+'بيانات الموظفين'!H150)/30)*MIN(30,MAX(0,E150))+F150+G150)</f>
        <v/>
      </c>
      <c r="I150" s="8" t="str">
        <f>IF(A150="","",MIN(16700,MAX(2700,'بيانات الموظفين'!I150))*11%)</f>
        <v/>
      </c>
      <c r="J150" s="8" t="str">
        <f>IF(A150="","",MAX(0,ROUNDDOWN(H150*12-I150*12-20000,-1)))</f>
        <v/>
      </c>
      <c r="K150" s="8" t="str">
        <f>IF(A150="","",MAX(0,(IF(J150&lt;=40000,0,IF(J150&lt;=60000,(J150-40000)*10%,IF(J150&lt;=70000,2000+(J150-60000)*15%,IF(J150&lt;=200000,3500+(J150-70000)*20%,IF(J150&lt;=400000,29500+(J150-200000)*22.5%,IF(J150&lt;=1000000,74500+(J150-400000)*25%,224500+(J150-1000000)*27.5%)))))))/12))</f>
        <v/>
      </c>
      <c r="L150" s="8" t="str">
        <f>IF(A150="","",IF('كشف التوقيع والملخص'!$B$3="نعم",MAX(0,H150-10000)*0.003,0))</f>
        <v/>
      </c>
      <c r="M150" s="8" t="str">
        <f>IF(A150="","",I150+K150+L150)</f>
        <v/>
      </c>
      <c r="N150" s="8" t="str">
        <f>IF(A150="","",H150-M150)</f>
        <v/>
      </c>
    </row>
    <row r="151" spans="1:14" ht="14.25" x14ac:dyDescent="0.15">
      <c r="A151" s="5" t="str">
        <f>IF('بيانات الموظفين'!A151="","",'بيانات الموظفين'!A151)</f>
        <v/>
      </c>
      <c r="B151" s="5" t="str">
        <f>IF(A151="","",'بيانات الموظفين'!B151)</f>
        <v/>
      </c>
      <c r="C151" s="6" t="s">
        <v>25</v>
      </c>
      <c r="D151" s="6">
        <v>2026</v>
      </c>
      <c r="E151" s="6">
        <v>30</v>
      </c>
      <c r="F151" s="7"/>
      <c r="G151" s="7"/>
      <c r="H151" s="8" t="str">
        <f>IF(A151="","",(('بيانات الموظفين'!G151+'بيانات الموظفين'!H151)/30)*MIN(30,MAX(0,E151))+F151+G151)</f>
        <v/>
      </c>
      <c r="I151" s="8" t="str">
        <f>IF(A151="","",MIN(16700,MAX(2700,'بيانات الموظفين'!I151))*11%)</f>
        <v/>
      </c>
      <c r="J151" s="8" t="str">
        <f>IF(A151="","",MAX(0,ROUNDDOWN(H151*12-I151*12-20000,-1)))</f>
        <v/>
      </c>
      <c r="K151" s="8" t="str">
        <f>IF(A151="","",MAX(0,(IF(J151&lt;=40000,0,IF(J151&lt;=60000,(J151-40000)*10%,IF(J151&lt;=70000,2000+(J151-60000)*15%,IF(J151&lt;=200000,3500+(J151-70000)*20%,IF(J151&lt;=400000,29500+(J151-200000)*22.5%,IF(J151&lt;=1000000,74500+(J151-400000)*25%,224500+(J151-1000000)*27.5%)))))))/12))</f>
        <v/>
      </c>
      <c r="L151" s="8" t="str">
        <f>IF(A151="","",IF('كشف التوقيع والملخص'!$B$3="نعم",MAX(0,H151-10000)*0.003,0))</f>
        <v/>
      </c>
      <c r="M151" s="8" t="str">
        <f>IF(A151="","",I151+K151+L151)</f>
        <v/>
      </c>
      <c r="N151" s="8" t="str">
        <f>IF(A151="","",H151-M151)</f>
        <v/>
      </c>
    </row>
    <row r="152" spans="1:14" ht="14.25" x14ac:dyDescent="0.15">
      <c r="A152" s="5" t="str">
        <f>IF('بيانات الموظفين'!A152="","",'بيانات الموظفين'!A152)</f>
        <v/>
      </c>
      <c r="B152" s="5" t="str">
        <f>IF(A152="","",'بيانات الموظفين'!B152)</f>
        <v/>
      </c>
      <c r="C152" s="6" t="s">
        <v>25</v>
      </c>
      <c r="D152" s="6">
        <v>2026</v>
      </c>
      <c r="E152" s="6">
        <v>30</v>
      </c>
      <c r="F152" s="7"/>
      <c r="G152" s="7"/>
      <c r="H152" s="8" t="str">
        <f>IF(A152="","",(('بيانات الموظفين'!G152+'بيانات الموظفين'!H152)/30)*MIN(30,MAX(0,E152))+F152+G152)</f>
        <v/>
      </c>
      <c r="I152" s="8" t="str">
        <f>IF(A152="","",MIN(16700,MAX(2700,'بيانات الموظفين'!I152))*11%)</f>
        <v/>
      </c>
      <c r="J152" s="8" t="str">
        <f>IF(A152="","",MAX(0,ROUNDDOWN(H152*12-I152*12-20000,-1)))</f>
        <v/>
      </c>
      <c r="K152" s="8" t="str">
        <f>IF(A152="","",MAX(0,(IF(J152&lt;=40000,0,IF(J152&lt;=60000,(J152-40000)*10%,IF(J152&lt;=70000,2000+(J152-60000)*15%,IF(J152&lt;=200000,3500+(J152-70000)*20%,IF(J152&lt;=400000,29500+(J152-200000)*22.5%,IF(J152&lt;=1000000,74500+(J152-400000)*25%,224500+(J152-1000000)*27.5%)))))))/12))</f>
        <v/>
      </c>
      <c r="L152" s="8" t="str">
        <f>IF(A152="","",IF('كشف التوقيع والملخص'!$B$3="نعم",MAX(0,H152-10000)*0.003,0))</f>
        <v/>
      </c>
      <c r="M152" s="8" t="str">
        <f>IF(A152="","",I152+K152+L152)</f>
        <v/>
      </c>
      <c r="N152" s="8" t="str">
        <f>IF(A152="","",H152-M152)</f>
        <v/>
      </c>
    </row>
    <row r="153" spans="1:14" ht="14.25" x14ac:dyDescent="0.15">
      <c r="A153" s="5" t="str">
        <f>IF('بيانات الموظفين'!A153="","",'بيانات الموظفين'!A153)</f>
        <v/>
      </c>
      <c r="B153" s="5" t="str">
        <f>IF(A153="","",'بيانات الموظفين'!B153)</f>
        <v/>
      </c>
      <c r="C153" s="6" t="s">
        <v>25</v>
      </c>
      <c r="D153" s="6">
        <v>2026</v>
      </c>
      <c r="E153" s="6">
        <v>30</v>
      </c>
      <c r="F153" s="7"/>
      <c r="G153" s="7"/>
      <c r="H153" s="8" t="str">
        <f>IF(A153="","",(('بيانات الموظفين'!G153+'بيانات الموظفين'!H153)/30)*MIN(30,MAX(0,E153))+F153+G153)</f>
        <v/>
      </c>
      <c r="I153" s="8" t="str">
        <f>IF(A153="","",MIN(16700,MAX(2700,'بيانات الموظفين'!I153))*11%)</f>
        <v/>
      </c>
      <c r="J153" s="8" t="str">
        <f>IF(A153="","",MAX(0,ROUNDDOWN(H153*12-I153*12-20000,-1)))</f>
        <v/>
      </c>
      <c r="K153" s="8" t="str">
        <f>IF(A153="","",MAX(0,(IF(J153&lt;=40000,0,IF(J153&lt;=60000,(J153-40000)*10%,IF(J153&lt;=70000,2000+(J153-60000)*15%,IF(J153&lt;=200000,3500+(J153-70000)*20%,IF(J153&lt;=400000,29500+(J153-200000)*22.5%,IF(J153&lt;=1000000,74500+(J153-400000)*25%,224500+(J153-1000000)*27.5%)))))))/12))</f>
        <v/>
      </c>
      <c r="L153" s="8" t="str">
        <f>IF(A153="","",IF('كشف التوقيع والملخص'!$B$3="نعم",MAX(0,H153-10000)*0.003,0))</f>
        <v/>
      </c>
      <c r="M153" s="8" t="str">
        <f>IF(A153="","",I153+K153+L153)</f>
        <v/>
      </c>
      <c r="N153" s="8" t="str">
        <f>IF(A153="","",H153-M153)</f>
        <v/>
      </c>
    </row>
    <row r="154" spans="1:14" ht="14.25" x14ac:dyDescent="0.15">
      <c r="A154" s="5" t="str">
        <f>IF('بيانات الموظفين'!A154="","",'بيانات الموظفين'!A154)</f>
        <v/>
      </c>
      <c r="B154" s="5" t="str">
        <f>IF(A154="","",'بيانات الموظفين'!B154)</f>
        <v/>
      </c>
      <c r="C154" s="6" t="s">
        <v>25</v>
      </c>
      <c r="D154" s="6">
        <v>2026</v>
      </c>
      <c r="E154" s="6">
        <v>30</v>
      </c>
      <c r="F154" s="7"/>
      <c r="G154" s="7"/>
      <c r="H154" s="8" t="str">
        <f>IF(A154="","",(('بيانات الموظفين'!G154+'بيانات الموظفين'!H154)/30)*MIN(30,MAX(0,E154))+F154+G154)</f>
        <v/>
      </c>
      <c r="I154" s="8" t="str">
        <f>IF(A154="","",MIN(16700,MAX(2700,'بيانات الموظفين'!I154))*11%)</f>
        <v/>
      </c>
      <c r="J154" s="8" t="str">
        <f>IF(A154="","",MAX(0,ROUNDDOWN(H154*12-I154*12-20000,-1)))</f>
        <v/>
      </c>
      <c r="K154" s="8" t="str">
        <f>IF(A154="","",MAX(0,(IF(J154&lt;=40000,0,IF(J154&lt;=60000,(J154-40000)*10%,IF(J154&lt;=70000,2000+(J154-60000)*15%,IF(J154&lt;=200000,3500+(J154-70000)*20%,IF(J154&lt;=400000,29500+(J154-200000)*22.5%,IF(J154&lt;=1000000,74500+(J154-400000)*25%,224500+(J154-1000000)*27.5%)))))))/12))</f>
        <v/>
      </c>
      <c r="L154" s="8" t="str">
        <f>IF(A154="","",IF('كشف التوقيع والملخص'!$B$3="نعم",MAX(0,H154-10000)*0.003,0))</f>
        <v/>
      </c>
      <c r="M154" s="8" t="str">
        <f>IF(A154="","",I154+K154+L154)</f>
        <v/>
      </c>
      <c r="N154" s="8" t="str">
        <f>IF(A154="","",H154-M154)</f>
        <v/>
      </c>
    </row>
    <row r="155" spans="1:14" ht="14.25" x14ac:dyDescent="0.15">
      <c r="A155" s="5" t="str">
        <f>IF('بيانات الموظفين'!A155="","",'بيانات الموظفين'!A155)</f>
        <v/>
      </c>
      <c r="B155" s="5" t="str">
        <f>IF(A155="","",'بيانات الموظفين'!B155)</f>
        <v/>
      </c>
      <c r="C155" s="6" t="s">
        <v>25</v>
      </c>
      <c r="D155" s="6">
        <v>2026</v>
      </c>
      <c r="E155" s="6">
        <v>30</v>
      </c>
      <c r="F155" s="7"/>
      <c r="G155" s="7"/>
      <c r="H155" s="8" t="str">
        <f>IF(A155="","",(('بيانات الموظفين'!G155+'بيانات الموظفين'!H155)/30)*MIN(30,MAX(0,E155))+F155+G155)</f>
        <v/>
      </c>
      <c r="I155" s="8" t="str">
        <f>IF(A155="","",MIN(16700,MAX(2700,'بيانات الموظفين'!I155))*11%)</f>
        <v/>
      </c>
      <c r="J155" s="8" t="str">
        <f>IF(A155="","",MAX(0,ROUNDDOWN(H155*12-I155*12-20000,-1)))</f>
        <v/>
      </c>
      <c r="K155" s="8" t="str">
        <f>IF(A155="","",MAX(0,(IF(J155&lt;=40000,0,IF(J155&lt;=60000,(J155-40000)*10%,IF(J155&lt;=70000,2000+(J155-60000)*15%,IF(J155&lt;=200000,3500+(J155-70000)*20%,IF(J155&lt;=400000,29500+(J155-200000)*22.5%,IF(J155&lt;=1000000,74500+(J155-400000)*25%,224500+(J155-1000000)*27.5%)))))))/12))</f>
        <v/>
      </c>
      <c r="L155" s="8" t="str">
        <f>IF(A155="","",IF('كشف التوقيع والملخص'!$B$3="نعم",MAX(0,H155-10000)*0.003,0))</f>
        <v/>
      </c>
      <c r="M155" s="8" t="str">
        <f>IF(A155="","",I155+K155+L155)</f>
        <v/>
      </c>
      <c r="N155" s="8" t="str">
        <f>IF(A155="","",H155-M155)</f>
        <v/>
      </c>
    </row>
    <row r="156" spans="1:14" ht="14.25" x14ac:dyDescent="0.15">
      <c r="A156" s="5" t="str">
        <f>IF('بيانات الموظفين'!A156="","",'بيانات الموظفين'!A156)</f>
        <v/>
      </c>
      <c r="B156" s="5" t="str">
        <f>IF(A156="","",'بيانات الموظفين'!B156)</f>
        <v/>
      </c>
      <c r="C156" s="6" t="s">
        <v>25</v>
      </c>
      <c r="D156" s="6">
        <v>2026</v>
      </c>
      <c r="E156" s="6">
        <v>30</v>
      </c>
      <c r="F156" s="7"/>
      <c r="G156" s="7"/>
      <c r="H156" s="8" t="str">
        <f>IF(A156="","",(('بيانات الموظفين'!G156+'بيانات الموظفين'!H156)/30)*MIN(30,MAX(0,E156))+F156+G156)</f>
        <v/>
      </c>
      <c r="I156" s="8" t="str">
        <f>IF(A156="","",MIN(16700,MAX(2700,'بيانات الموظفين'!I156))*11%)</f>
        <v/>
      </c>
      <c r="J156" s="8" t="str">
        <f>IF(A156="","",MAX(0,ROUNDDOWN(H156*12-I156*12-20000,-1)))</f>
        <v/>
      </c>
      <c r="K156" s="8" t="str">
        <f>IF(A156="","",MAX(0,(IF(J156&lt;=40000,0,IF(J156&lt;=60000,(J156-40000)*10%,IF(J156&lt;=70000,2000+(J156-60000)*15%,IF(J156&lt;=200000,3500+(J156-70000)*20%,IF(J156&lt;=400000,29500+(J156-200000)*22.5%,IF(J156&lt;=1000000,74500+(J156-400000)*25%,224500+(J156-1000000)*27.5%)))))))/12))</f>
        <v/>
      </c>
      <c r="L156" s="8" t="str">
        <f>IF(A156="","",IF('كشف التوقيع والملخص'!$B$3="نعم",MAX(0,H156-10000)*0.003,0))</f>
        <v/>
      </c>
      <c r="M156" s="8" t="str">
        <f>IF(A156="","",I156+K156+L156)</f>
        <v/>
      </c>
      <c r="N156" s="8" t="str">
        <f>IF(A156="","",H156-M156)</f>
        <v/>
      </c>
    </row>
    <row r="157" spans="1:14" ht="14.25" x14ac:dyDescent="0.15">
      <c r="A157" s="5" t="str">
        <f>IF('بيانات الموظفين'!A157="","",'بيانات الموظفين'!A157)</f>
        <v/>
      </c>
      <c r="B157" s="5" t="str">
        <f>IF(A157="","",'بيانات الموظفين'!B157)</f>
        <v/>
      </c>
      <c r="C157" s="6" t="s">
        <v>25</v>
      </c>
      <c r="D157" s="6">
        <v>2026</v>
      </c>
      <c r="E157" s="6">
        <v>30</v>
      </c>
      <c r="F157" s="7"/>
      <c r="G157" s="7"/>
      <c r="H157" s="8" t="str">
        <f>IF(A157="","",(('بيانات الموظفين'!G157+'بيانات الموظفين'!H157)/30)*MIN(30,MAX(0,E157))+F157+G157)</f>
        <v/>
      </c>
      <c r="I157" s="8" t="str">
        <f>IF(A157="","",MIN(16700,MAX(2700,'بيانات الموظفين'!I157))*11%)</f>
        <v/>
      </c>
      <c r="J157" s="8" t="str">
        <f>IF(A157="","",MAX(0,ROUNDDOWN(H157*12-I157*12-20000,-1)))</f>
        <v/>
      </c>
      <c r="K157" s="8" t="str">
        <f>IF(A157="","",MAX(0,(IF(J157&lt;=40000,0,IF(J157&lt;=60000,(J157-40000)*10%,IF(J157&lt;=70000,2000+(J157-60000)*15%,IF(J157&lt;=200000,3500+(J157-70000)*20%,IF(J157&lt;=400000,29500+(J157-200000)*22.5%,IF(J157&lt;=1000000,74500+(J157-400000)*25%,224500+(J157-1000000)*27.5%)))))))/12))</f>
        <v/>
      </c>
      <c r="L157" s="8" t="str">
        <f>IF(A157="","",IF('كشف التوقيع والملخص'!$B$3="نعم",MAX(0,H157-10000)*0.003,0))</f>
        <v/>
      </c>
      <c r="M157" s="8" t="str">
        <f>IF(A157="","",I157+K157+L157)</f>
        <v/>
      </c>
      <c r="N157" s="8" t="str">
        <f>IF(A157="","",H157-M157)</f>
        <v/>
      </c>
    </row>
    <row r="158" spans="1:14" ht="14.25" x14ac:dyDescent="0.15">
      <c r="A158" s="5" t="str">
        <f>IF('بيانات الموظفين'!A158="","",'بيانات الموظفين'!A158)</f>
        <v/>
      </c>
      <c r="B158" s="5" t="str">
        <f>IF(A158="","",'بيانات الموظفين'!B158)</f>
        <v/>
      </c>
      <c r="C158" s="6" t="s">
        <v>25</v>
      </c>
      <c r="D158" s="6">
        <v>2026</v>
      </c>
      <c r="E158" s="6">
        <v>30</v>
      </c>
      <c r="F158" s="7"/>
      <c r="G158" s="7"/>
      <c r="H158" s="8" t="str">
        <f>IF(A158="","",(('بيانات الموظفين'!G158+'بيانات الموظفين'!H158)/30)*MIN(30,MAX(0,E158))+F158+G158)</f>
        <v/>
      </c>
      <c r="I158" s="8" t="str">
        <f>IF(A158="","",MIN(16700,MAX(2700,'بيانات الموظفين'!I158))*11%)</f>
        <v/>
      </c>
      <c r="J158" s="8" t="str">
        <f>IF(A158="","",MAX(0,ROUNDDOWN(H158*12-I158*12-20000,-1)))</f>
        <v/>
      </c>
      <c r="K158" s="8" t="str">
        <f>IF(A158="","",MAX(0,(IF(J158&lt;=40000,0,IF(J158&lt;=60000,(J158-40000)*10%,IF(J158&lt;=70000,2000+(J158-60000)*15%,IF(J158&lt;=200000,3500+(J158-70000)*20%,IF(J158&lt;=400000,29500+(J158-200000)*22.5%,IF(J158&lt;=1000000,74500+(J158-400000)*25%,224500+(J158-1000000)*27.5%)))))))/12))</f>
        <v/>
      </c>
      <c r="L158" s="8" t="str">
        <f>IF(A158="","",IF('كشف التوقيع والملخص'!$B$3="نعم",MAX(0,H158-10000)*0.003,0))</f>
        <v/>
      </c>
      <c r="M158" s="8" t="str">
        <f>IF(A158="","",I158+K158+L158)</f>
        <v/>
      </c>
      <c r="N158" s="8" t="str">
        <f>IF(A158="","",H158-M158)</f>
        <v/>
      </c>
    </row>
    <row r="159" spans="1:14" ht="14.25" x14ac:dyDescent="0.15">
      <c r="A159" s="5" t="str">
        <f>IF('بيانات الموظفين'!A159="","",'بيانات الموظفين'!A159)</f>
        <v/>
      </c>
      <c r="B159" s="5" t="str">
        <f>IF(A159="","",'بيانات الموظفين'!B159)</f>
        <v/>
      </c>
      <c r="C159" s="6" t="s">
        <v>25</v>
      </c>
      <c r="D159" s="6">
        <v>2026</v>
      </c>
      <c r="E159" s="6">
        <v>30</v>
      </c>
      <c r="F159" s="7"/>
      <c r="G159" s="7"/>
      <c r="H159" s="8" t="str">
        <f>IF(A159="","",(('بيانات الموظفين'!G159+'بيانات الموظفين'!H159)/30)*MIN(30,MAX(0,E159))+F159+G159)</f>
        <v/>
      </c>
      <c r="I159" s="8" t="str">
        <f>IF(A159="","",MIN(16700,MAX(2700,'بيانات الموظفين'!I159))*11%)</f>
        <v/>
      </c>
      <c r="J159" s="8" t="str">
        <f>IF(A159="","",MAX(0,ROUNDDOWN(H159*12-I159*12-20000,-1)))</f>
        <v/>
      </c>
      <c r="K159" s="8" t="str">
        <f>IF(A159="","",MAX(0,(IF(J159&lt;=40000,0,IF(J159&lt;=60000,(J159-40000)*10%,IF(J159&lt;=70000,2000+(J159-60000)*15%,IF(J159&lt;=200000,3500+(J159-70000)*20%,IF(J159&lt;=400000,29500+(J159-200000)*22.5%,IF(J159&lt;=1000000,74500+(J159-400000)*25%,224500+(J159-1000000)*27.5%)))))))/12))</f>
        <v/>
      </c>
      <c r="L159" s="8" t="str">
        <f>IF(A159="","",IF('كشف التوقيع والملخص'!$B$3="نعم",MAX(0,H159-10000)*0.003,0))</f>
        <v/>
      </c>
      <c r="M159" s="8" t="str">
        <f>IF(A159="","",I159+K159+L159)</f>
        <v/>
      </c>
      <c r="N159" s="8" t="str">
        <f>IF(A159="","",H159-M159)</f>
        <v/>
      </c>
    </row>
    <row r="160" spans="1:14" ht="14.25" x14ac:dyDescent="0.15">
      <c r="A160" s="5" t="str">
        <f>IF('بيانات الموظفين'!A160="","",'بيانات الموظفين'!A160)</f>
        <v/>
      </c>
      <c r="B160" s="5" t="str">
        <f>IF(A160="","",'بيانات الموظفين'!B160)</f>
        <v/>
      </c>
      <c r="C160" s="6" t="s">
        <v>25</v>
      </c>
      <c r="D160" s="6">
        <v>2026</v>
      </c>
      <c r="E160" s="6">
        <v>30</v>
      </c>
      <c r="F160" s="7"/>
      <c r="G160" s="7"/>
      <c r="H160" s="8" t="str">
        <f>IF(A160="","",(('بيانات الموظفين'!G160+'بيانات الموظفين'!H160)/30)*MIN(30,MAX(0,E160))+F160+G160)</f>
        <v/>
      </c>
      <c r="I160" s="8" t="str">
        <f>IF(A160="","",MIN(16700,MAX(2700,'بيانات الموظفين'!I160))*11%)</f>
        <v/>
      </c>
      <c r="J160" s="8" t="str">
        <f>IF(A160="","",MAX(0,ROUNDDOWN(H160*12-I160*12-20000,-1)))</f>
        <v/>
      </c>
      <c r="K160" s="8" t="str">
        <f>IF(A160="","",MAX(0,(IF(J160&lt;=40000,0,IF(J160&lt;=60000,(J160-40000)*10%,IF(J160&lt;=70000,2000+(J160-60000)*15%,IF(J160&lt;=200000,3500+(J160-70000)*20%,IF(J160&lt;=400000,29500+(J160-200000)*22.5%,IF(J160&lt;=1000000,74500+(J160-400000)*25%,224500+(J160-1000000)*27.5%)))))))/12))</f>
        <v/>
      </c>
      <c r="L160" s="8" t="str">
        <f>IF(A160="","",IF('كشف التوقيع والملخص'!$B$3="نعم",MAX(0,H160-10000)*0.003,0))</f>
        <v/>
      </c>
      <c r="M160" s="8" t="str">
        <f>IF(A160="","",I160+K160+L160)</f>
        <v/>
      </c>
      <c r="N160" s="8" t="str">
        <f>IF(A160="","",H160-M160)</f>
        <v/>
      </c>
    </row>
    <row r="161" spans="1:14" ht="14.25" x14ac:dyDescent="0.15">
      <c r="A161" s="5" t="str">
        <f>IF('بيانات الموظفين'!A161="","",'بيانات الموظفين'!A161)</f>
        <v/>
      </c>
      <c r="B161" s="5" t="str">
        <f>IF(A161="","",'بيانات الموظفين'!B161)</f>
        <v/>
      </c>
      <c r="C161" s="6" t="s">
        <v>25</v>
      </c>
      <c r="D161" s="6">
        <v>2026</v>
      </c>
      <c r="E161" s="6">
        <v>30</v>
      </c>
      <c r="F161" s="7"/>
      <c r="G161" s="7"/>
      <c r="H161" s="8" t="str">
        <f>IF(A161="","",(('بيانات الموظفين'!G161+'بيانات الموظفين'!H161)/30)*MIN(30,MAX(0,E161))+F161+G161)</f>
        <v/>
      </c>
      <c r="I161" s="8" t="str">
        <f>IF(A161="","",MIN(16700,MAX(2700,'بيانات الموظفين'!I161))*11%)</f>
        <v/>
      </c>
      <c r="J161" s="8" t="str">
        <f>IF(A161="","",MAX(0,ROUNDDOWN(H161*12-I161*12-20000,-1)))</f>
        <v/>
      </c>
      <c r="K161" s="8" t="str">
        <f>IF(A161="","",MAX(0,(IF(J161&lt;=40000,0,IF(J161&lt;=60000,(J161-40000)*10%,IF(J161&lt;=70000,2000+(J161-60000)*15%,IF(J161&lt;=200000,3500+(J161-70000)*20%,IF(J161&lt;=400000,29500+(J161-200000)*22.5%,IF(J161&lt;=1000000,74500+(J161-400000)*25%,224500+(J161-1000000)*27.5%)))))))/12))</f>
        <v/>
      </c>
      <c r="L161" s="8" t="str">
        <f>IF(A161="","",IF('كشف التوقيع والملخص'!$B$3="نعم",MAX(0,H161-10000)*0.003,0))</f>
        <v/>
      </c>
      <c r="M161" s="8" t="str">
        <f>IF(A161="","",I161+K161+L161)</f>
        <v/>
      </c>
      <c r="N161" s="8" t="str">
        <f>IF(A161="","",H161-M161)</f>
        <v/>
      </c>
    </row>
    <row r="162" spans="1:14" ht="14.25" x14ac:dyDescent="0.15">
      <c r="A162" s="5" t="str">
        <f>IF('بيانات الموظفين'!A162="","",'بيانات الموظفين'!A162)</f>
        <v/>
      </c>
      <c r="B162" s="5" t="str">
        <f>IF(A162="","",'بيانات الموظفين'!B162)</f>
        <v/>
      </c>
      <c r="C162" s="6" t="s">
        <v>25</v>
      </c>
      <c r="D162" s="6">
        <v>2026</v>
      </c>
      <c r="E162" s="6">
        <v>30</v>
      </c>
      <c r="F162" s="7"/>
      <c r="G162" s="7"/>
      <c r="H162" s="8" t="str">
        <f>IF(A162="","",(('بيانات الموظفين'!G162+'بيانات الموظفين'!H162)/30)*MIN(30,MAX(0,E162))+F162+G162)</f>
        <v/>
      </c>
      <c r="I162" s="8" t="str">
        <f>IF(A162="","",MIN(16700,MAX(2700,'بيانات الموظفين'!I162))*11%)</f>
        <v/>
      </c>
      <c r="J162" s="8" t="str">
        <f>IF(A162="","",MAX(0,ROUNDDOWN(H162*12-I162*12-20000,-1)))</f>
        <v/>
      </c>
      <c r="K162" s="8" t="str">
        <f>IF(A162="","",MAX(0,(IF(J162&lt;=40000,0,IF(J162&lt;=60000,(J162-40000)*10%,IF(J162&lt;=70000,2000+(J162-60000)*15%,IF(J162&lt;=200000,3500+(J162-70000)*20%,IF(J162&lt;=400000,29500+(J162-200000)*22.5%,IF(J162&lt;=1000000,74500+(J162-400000)*25%,224500+(J162-1000000)*27.5%)))))))/12))</f>
        <v/>
      </c>
      <c r="L162" s="8" t="str">
        <f>IF(A162="","",IF('كشف التوقيع والملخص'!$B$3="نعم",MAX(0,H162-10000)*0.003,0))</f>
        <v/>
      </c>
      <c r="M162" s="8" t="str">
        <f>IF(A162="","",I162+K162+L162)</f>
        <v/>
      </c>
      <c r="N162" s="8" t="str">
        <f>IF(A162="","",H162-M162)</f>
        <v/>
      </c>
    </row>
    <row r="163" spans="1:14" ht="14.25" x14ac:dyDescent="0.15">
      <c r="A163" s="5" t="str">
        <f>IF('بيانات الموظفين'!A163="","",'بيانات الموظفين'!A163)</f>
        <v/>
      </c>
      <c r="B163" s="5" t="str">
        <f>IF(A163="","",'بيانات الموظفين'!B163)</f>
        <v/>
      </c>
      <c r="C163" s="6" t="s">
        <v>25</v>
      </c>
      <c r="D163" s="6">
        <v>2026</v>
      </c>
      <c r="E163" s="6">
        <v>30</v>
      </c>
      <c r="F163" s="7"/>
      <c r="G163" s="7"/>
      <c r="H163" s="8" t="str">
        <f>IF(A163="","",(('بيانات الموظفين'!G163+'بيانات الموظفين'!H163)/30)*MIN(30,MAX(0,E163))+F163+G163)</f>
        <v/>
      </c>
      <c r="I163" s="8" t="str">
        <f>IF(A163="","",MIN(16700,MAX(2700,'بيانات الموظفين'!I163))*11%)</f>
        <v/>
      </c>
      <c r="J163" s="8" t="str">
        <f>IF(A163="","",MAX(0,ROUNDDOWN(H163*12-I163*12-20000,-1)))</f>
        <v/>
      </c>
      <c r="K163" s="8" t="str">
        <f>IF(A163="","",MAX(0,(IF(J163&lt;=40000,0,IF(J163&lt;=60000,(J163-40000)*10%,IF(J163&lt;=70000,2000+(J163-60000)*15%,IF(J163&lt;=200000,3500+(J163-70000)*20%,IF(J163&lt;=400000,29500+(J163-200000)*22.5%,IF(J163&lt;=1000000,74500+(J163-400000)*25%,224500+(J163-1000000)*27.5%)))))))/12))</f>
        <v/>
      </c>
      <c r="L163" s="8" t="str">
        <f>IF(A163="","",IF('كشف التوقيع والملخص'!$B$3="نعم",MAX(0,H163-10000)*0.003,0))</f>
        <v/>
      </c>
      <c r="M163" s="8" t="str">
        <f>IF(A163="","",I163+K163+L163)</f>
        <v/>
      </c>
      <c r="N163" s="8" t="str">
        <f>IF(A163="","",H163-M163)</f>
        <v/>
      </c>
    </row>
    <row r="164" spans="1:14" ht="14.25" x14ac:dyDescent="0.15">
      <c r="A164" s="5" t="str">
        <f>IF('بيانات الموظفين'!A164="","",'بيانات الموظفين'!A164)</f>
        <v/>
      </c>
      <c r="B164" s="5" t="str">
        <f>IF(A164="","",'بيانات الموظفين'!B164)</f>
        <v/>
      </c>
      <c r="C164" s="6" t="s">
        <v>25</v>
      </c>
      <c r="D164" s="6">
        <v>2026</v>
      </c>
      <c r="E164" s="6">
        <v>30</v>
      </c>
      <c r="F164" s="7"/>
      <c r="G164" s="7"/>
      <c r="H164" s="8" t="str">
        <f>IF(A164="","",(('بيانات الموظفين'!G164+'بيانات الموظفين'!H164)/30)*MIN(30,MAX(0,E164))+F164+G164)</f>
        <v/>
      </c>
      <c r="I164" s="8" t="str">
        <f>IF(A164="","",MIN(16700,MAX(2700,'بيانات الموظفين'!I164))*11%)</f>
        <v/>
      </c>
      <c r="J164" s="8" t="str">
        <f>IF(A164="","",MAX(0,ROUNDDOWN(H164*12-I164*12-20000,-1)))</f>
        <v/>
      </c>
      <c r="K164" s="8" t="str">
        <f>IF(A164="","",MAX(0,(IF(J164&lt;=40000,0,IF(J164&lt;=60000,(J164-40000)*10%,IF(J164&lt;=70000,2000+(J164-60000)*15%,IF(J164&lt;=200000,3500+(J164-70000)*20%,IF(J164&lt;=400000,29500+(J164-200000)*22.5%,IF(J164&lt;=1000000,74500+(J164-400000)*25%,224500+(J164-1000000)*27.5%)))))))/12))</f>
        <v/>
      </c>
      <c r="L164" s="8" t="str">
        <f>IF(A164="","",IF('كشف التوقيع والملخص'!$B$3="نعم",MAX(0,H164-10000)*0.003,0))</f>
        <v/>
      </c>
      <c r="M164" s="8" t="str">
        <f>IF(A164="","",I164+K164+L164)</f>
        <v/>
      </c>
      <c r="N164" s="8" t="str">
        <f>IF(A164="","",H164-M164)</f>
        <v/>
      </c>
    </row>
    <row r="165" spans="1:14" ht="14.25" x14ac:dyDescent="0.15">
      <c r="A165" s="5" t="str">
        <f>IF('بيانات الموظفين'!A165="","",'بيانات الموظفين'!A165)</f>
        <v/>
      </c>
      <c r="B165" s="5" t="str">
        <f>IF(A165="","",'بيانات الموظفين'!B165)</f>
        <v/>
      </c>
      <c r="C165" s="6" t="s">
        <v>25</v>
      </c>
      <c r="D165" s="6">
        <v>2026</v>
      </c>
      <c r="E165" s="6">
        <v>30</v>
      </c>
      <c r="F165" s="7"/>
      <c r="G165" s="7"/>
      <c r="H165" s="8" t="str">
        <f>IF(A165="","",(('بيانات الموظفين'!G165+'بيانات الموظفين'!H165)/30)*MIN(30,MAX(0,E165))+F165+G165)</f>
        <v/>
      </c>
      <c r="I165" s="8" t="str">
        <f>IF(A165="","",MIN(16700,MAX(2700,'بيانات الموظفين'!I165))*11%)</f>
        <v/>
      </c>
      <c r="J165" s="8" t="str">
        <f>IF(A165="","",MAX(0,ROUNDDOWN(H165*12-I165*12-20000,-1)))</f>
        <v/>
      </c>
      <c r="K165" s="8" t="str">
        <f>IF(A165="","",MAX(0,(IF(J165&lt;=40000,0,IF(J165&lt;=60000,(J165-40000)*10%,IF(J165&lt;=70000,2000+(J165-60000)*15%,IF(J165&lt;=200000,3500+(J165-70000)*20%,IF(J165&lt;=400000,29500+(J165-200000)*22.5%,IF(J165&lt;=1000000,74500+(J165-400000)*25%,224500+(J165-1000000)*27.5%)))))))/12))</f>
        <v/>
      </c>
      <c r="L165" s="8" t="str">
        <f>IF(A165="","",IF('كشف التوقيع والملخص'!$B$3="نعم",MAX(0,H165-10000)*0.003,0))</f>
        <v/>
      </c>
      <c r="M165" s="8" t="str">
        <f>IF(A165="","",I165+K165+L165)</f>
        <v/>
      </c>
      <c r="N165" s="8" t="str">
        <f>IF(A165="","",H165-M165)</f>
        <v/>
      </c>
    </row>
    <row r="166" spans="1:14" ht="14.25" x14ac:dyDescent="0.15">
      <c r="A166" s="5" t="str">
        <f>IF('بيانات الموظفين'!A166="","",'بيانات الموظفين'!A166)</f>
        <v/>
      </c>
      <c r="B166" s="5" t="str">
        <f>IF(A166="","",'بيانات الموظفين'!B166)</f>
        <v/>
      </c>
      <c r="C166" s="6" t="s">
        <v>25</v>
      </c>
      <c r="D166" s="6">
        <v>2026</v>
      </c>
      <c r="E166" s="6">
        <v>30</v>
      </c>
      <c r="F166" s="7"/>
      <c r="G166" s="7"/>
      <c r="H166" s="8" t="str">
        <f>IF(A166="","",(('بيانات الموظفين'!G166+'بيانات الموظفين'!H166)/30)*MIN(30,MAX(0,E166))+F166+G166)</f>
        <v/>
      </c>
      <c r="I166" s="8" t="str">
        <f>IF(A166="","",MIN(16700,MAX(2700,'بيانات الموظفين'!I166))*11%)</f>
        <v/>
      </c>
      <c r="J166" s="8" t="str">
        <f>IF(A166="","",MAX(0,ROUNDDOWN(H166*12-I166*12-20000,-1)))</f>
        <v/>
      </c>
      <c r="K166" s="8" t="str">
        <f>IF(A166="","",MAX(0,(IF(J166&lt;=40000,0,IF(J166&lt;=60000,(J166-40000)*10%,IF(J166&lt;=70000,2000+(J166-60000)*15%,IF(J166&lt;=200000,3500+(J166-70000)*20%,IF(J166&lt;=400000,29500+(J166-200000)*22.5%,IF(J166&lt;=1000000,74500+(J166-400000)*25%,224500+(J166-1000000)*27.5%)))))))/12))</f>
        <v/>
      </c>
      <c r="L166" s="8" t="str">
        <f>IF(A166="","",IF('كشف التوقيع والملخص'!$B$3="نعم",MAX(0,H166-10000)*0.003,0))</f>
        <v/>
      </c>
      <c r="M166" s="8" t="str">
        <f>IF(A166="","",I166+K166+L166)</f>
        <v/>
      </c>
      <c r="N166" s="8" t="str">
        <f>IF(A166="","",H166-M166)</f>
        <v/>
      </c>
    </row>
    <row r="167" spans="1:14" ht="14.25" x14ac:dyDescent="0.15">
      <c r="A167" s="5" t="str">
        <f>IF('بيانات الموظفين'!A167="","",'بيانات الموظفين'!A167)</f>
        <v/>
      </c>
      <c r="B167" s="5" t="str">
        <f>IF(A167="","",'بيانات الموظفين'!B167)</f>
        <v/>
      </c>
      <c r="C167" s="6" t="s">
        <v>25</v>
      </c>
      <c r="D167" s="6">
        <v>2026</v>
      </c>
      <c r="E167" s="6">
        <v>30</v>
      </c>
      <c r="F167" s="7"/>
      <c r="G167" s="7"/>
      <c r="H167" s="8" t="str">
        <f>IF(A167="","",(('بيانات الموظفين'!G167+'بيانات الموظفين'!H167)/30)*MIN(30,MAX(0,E167))+F167+G167)</f>
        <v/>
      </c>
      <c r="I167" s="8" t="str">
        <f>IF(A167="","",MIN(16700,MAX(2700,'بيانات الموظفين'!I167))*11%)</f>
        <v/>
      </c>
      <c r="J167" s="8" t="str">
        <f>IF(A167="","",MAX(0,ROUNDDOWN(H167*12-I167*12-20000,-1)))</f>
        <v/>
      </c>
      <c r="K167" s="8" t="str">
        <f>IF(A167="","",MAX(0,(IF(J167&lt;=40000,0,IF(J167&lt;=60000,(J167-40000)*10%,IF(J167&lt;=70000,2000+(J167-60000)*15%,IF(J167&lt;=200000,3500+(J167-70000)*20%,IF(J167&lt;=400000,29500+(J167-200000)*22.5%,IF(J167&lt;=1000000,74500+(J167-400000)*25%,224500+(J167-1000000)*27.5%)))))))/12))</f>
        <v/>
      </c>
      <c r="L167" s="8" t="str">
        <f>IF(A167="","",IF('كشف التوقيع والملخص'!$B$3="نعم",MAX(0,H167-10000)*0.003,0))</f>
        <v/>
      </c>
      <c r="M167" s="8" t="str">
        <f>IF(A167="","",I167+K167+L167)</f>
        <v/>
      </c>
      <c r="N167" s="8" t="str">
        <f>IF(A167="","",H167-M167)</f>
        <v/>
      </c>
    </row>
    <row r="168" spans="1:14" ht="14.25" x14ac:dyDescent="0.15">
      <c r="A168" s="5" t="str">
        <f>IF('بيانات الموظفين'!A168="","",'بيانات الموظفين'!A168)</f>
        <v/>
      </c>
      <c r="B168" s="5" t="str">
        <f>IF(A168="","",'بيانات الموظفين'!B168)</f>
        <v/>
      </c>
      <c r="C168" s="6" t="s">
        <v>25</v>
      </c>
      <c r="D168" s="6">
        <v>2026</v>
      </c>
      <c r="E168" s="6">
        <v>30</v>
      </c>
      <c r="F168" s="7"/>
      <c r="G168" s="7"/>
      <c r="H168" s="8" t="str">
        <f>IF(A168="","",(('بيانات الموظفين'!G168+'بيانات الموظفين'!H168)/30)*MIN(30,MAX(0,E168))+F168+G168)</f>
        <v/>
      </c>
      <c r="I168" s="8" t="str">
        <f>IF(A168="","",MIN(16700,MAX(2700,'بيانات الموظفين'!I168))*11%)</f>
        <v/>
      </c>
      <c r="J168" s="8" t="str">
        <f>IF(A168="","",MAX(0,ROUNDDOWN(H168*12-I168*12-20000,-1)))</f>
        <v/>
      </c>
      <c r="K168" s="8" t="str">
        <f>IF(A168="","",MAX(0,(IF(J168&lt;=40000,0,IF(J168&lt;=60000,(J168-40000)*10%,IF(J168&lt;=70000,2000+(J168-60000)*15%,IF(J168&lt;=200000,3500+(J168-70000)*20%,IF(J168&lt;=400000,29500+(J168-200000)*22.5%,IF(J168&lt;=1000000,74500+(J168-400000)*25%,224500+(J168-1000000)*27.5%)))))))/12))</f>
        <v/>
      </c>
      <c r="L168" s="8" t="str">
        <f>IF(A168="","",IF('كشف التوقيع والملخص'!$B$3="نعم",MAX(0,H168-10000)*0.003,0))</f>
        <v/>
      </c>
      <c r="M168" s="8" t="str">
        <f>IF(A168="","",I168+K168+L168)</f>
        <v/>
      </c>
      <c r="N168" s="8" t="str">
        <f>IF(A168="","",H168-M168)</f>
        <v/>
      </c>
    </row>
    <row r="169" spans="1:14" ht="14.25" x14ac:dyDescent="0.15">
      <c r="A169" s="5" t="str">
        <f>IF('بيانات الموظفين'!A169="","",'بيانات الموظفين'!A169)</f>
        <v/>
      </c>
      <c r="B169" s="5" t="str">
        <f>IF(A169="","",'بيانات الموظفين'!B169)</f>
        <v/>
      </c>
      <c r="C169" s="6" t="s">
        <v>25</v>
      </c>
      <c r="D169" s="6">
        <v>2026</v>
      </c>
      <c r="E169" s="6">
        <v>30</v>
      </c>
      <c r="F169" s="7"/>
      <c r="G169" s="7"/>
      <c r="H169" s="8" t="str">
        <f>IF(A169="","",(('بيانات الموظفين'!G169+'بيانات الموظفين'!H169)/30)*MIN(30,MAX(0,E169))+F169+G169)</f>
        <v/>
      </c>
      <c r="I169" s="8" t="str">
        <f>IF(A169="","",MIN(16700,MAX(2700,'بيانات الموظفين'!I169))*11%)</f>
        <v/>
      </c>
      <c r="J169" s="8" t="str">
        <f>IF(A169="","",MAX(0,ROUNDDOWN(H169*12-I169*12-20000,-1)))</f>
        <v/>
      </c>
      <c r="K169" s="8" t="str">
        <f>IF(A169="","",MAX(0,(IF(J169&lt;=40000,0,IF(J169&lt;=60000,(J169-40000)*10%,IF(J169&lt;=70000,2000+(J169-60000)*15%,IF(J169&lt;=200000,3500+(J169-70000)*20%,IF(J169&lt;=400000,29500+(J169-200000)*22.5%,IF(J169&lt;=1000000,74500+(J169-400000)*25%,224500+(J169-1000000)*27.5%)))))))/12))</f>
        <v/>
      </c>
      <c r="L169" s="8" t="str">
        <f>IF(A169="","",IF('كشف التوقيع والملخص'!$B$3="نعم",MAX(0,H169-10000)*0.003,0))</f>
        <v/>
      </c>
      <c r="M169" s="8" t="str">
        <f>IF(A169="","",I169+K169+L169)</f>
        <v/>
      </c>
      <c r="N169" s="8" t="str">
        <f>IF(A169="","",H169-M169)</f>
        <v/>
      </c>
    </row>
    <row r="170" spans="1:14" ht="14.25" x14ac:dyDescent="0.15">
      <c r="A170" s="5" t="str">
        <f>IF('بيانات الموظفين'!A170="","",'بيانات الموظفين'!A170)</f>
        <v/>
      </c>
      <c r="B170" s="5" t="str">
        <f>IF(A170="","",'بيانات الموظفين'!B170)</f>
        <v/>
      </c>
      <c r="C170" s="6" t="s">
        <v>25</v>
      </c>
      <c r="D170" s="6">
        <v>2026</v>
      </c>
      <c r="E170" s="6">
        <v>30</v>
      </c>
      <c r="F170" s="7"/>
      <c r="G170" s="7"/>
      <c r="H170" s="8" t="str">
        <f>IF(A170="","",(('بيانات الموظفين'!G170+'بيانات الموظفين'!H170)/30)*MIN(30,MAX(0,E170))+F170+G170)</f>
        <v/>
      </c>
      <c r="I170" s="8" t="str">
        <f>IF(A170="","",MIN(16700,MAX(2700,'بيانات الموظفين'!I170))*11%)</f>
        <v/>
      </c>
      <c r="J170" s="8" t="str">
        <f>IF(A170="","",MAX(0,ROUNDDOWN(H170*12-I170*12-20000,-1)))</f>
        <v/>
      </c>
      <c r="K170" s="8" t="str">
        <f>IF(A170="","",MAX(0,(IF(J170&lt;=40000,0,IF(J170&lt;=60000,(J170-40000)*10%,IF(J170&lt;=70000,2000+(J170-60000)*15%,IF(J170&lt;=200000,3500+(J170-70000)*20%,IF(J170&lt;=400000,29500+(J170-200000)*22.5%,IF(J170&lt;=1000000,74500+(J170-400000)*25%,224500+(J170-1000000)*27.5%)))))))/12))</f>
        <v/>
      </c>
      <c r="L170" s="8" t="str">
        <f>IF(A170="","",IF('كشف التوقيع والملخص'!$B$3="نعم",MAX(0,H170-10000)*0.003,0))</f>
        <v/>
      </c>
      <c r="M170" s="8" t="str">
        <f>IF(A170="","",I170+K170+L170)</f>
        <v/>
      </c>
      <c r="N170" s="8" t="str">
        <f>IF(A170="","",H170-M170)</f>
        <v/>
      </c>
    </row>
    <row r="171" spans="1:14" ht="14.25" x14ac:dyDescent="0.15">
      <c r="A171" s="5" t="str">
        <f>IF('بيانات الموظفين'!A171="","",'بيانات الموظفين'!A171)</f>
        <v/>
      </c>
      <c r="B171" s="5" t="str">
        <f>IF(A171="","",'بيانات الموظفين'!B171)</f>
        <v/>
      </c>
      <c r="C171" s="6" t="s">
        <v>25</v>
      </c>
      <c r="D171" s="6">
        <v>2026</v>
      </c>
      <c r="E171" s="6">
        <v>30</v>
      </c>
      <c r="F171" s="7"/>
      <c r="G171" s="7"/>
      <c r="H171" s="8" t="str">
        <f>IF(A171="","",(('بيانات الموظفين'!G171+'بيانات الموظفين'!H171)/30)*MIN(30,MAX(0,E171))+F171+G171)</f>
        <v/>
      </c>
      <c r="I171" s="8" t="str">
        <f>IF(A171="","",MIN(16700,MAX(2700,'بيانات الموظفين'!I171))*11%)</f>
        <v/>
      </c>
      <c r="J171" s="8" t="str">
        <f>IF(A171="","",MAX(0,ROUNDDOWN(H171*12-I171*12-20000,-1)))</f>
        <v/>
      </c>
      <c r="K171" s="8" t="str">
        <f>IF(A171="","",MAX(0,(IF(J171&lt;=40000,0,IF(J171&lt;=60000,(J171-40000)*10%,IF(J171&lt;=70000,2000+(J171-60000)*15%,IF(J171&lt;=200000,3500+(J171-70000)*20%,IF(J171&lt;=400000,29500+(J171-200000)*22.5%,IF(J171&lt;=1000000,74500+(J171-400000)*25%,224500+(J171-1000000)*27.5%)))))))/12))</f>
        <v/>
      </c>
      <c r="L171" s="8" t="str">
        <f>IF(A171="","",IF('كشف التوقيع والملخص'!$B$3="نعم",MAX(0,H171-10000)*0.003,0))</f>
        <v/>
      </c>
      <c r="M171" s="8" t="str">
        <f>IF(A171="","",I171+K171+L171)</f>
        <v/>
      </c>
      <c r="N171" s="8" t="str">
        <f>IF(A171="","",H171-M171)</f>
        <v/>
      </c>
    </row>
    <row r="172" spans="1:14" ht="14.25" x14ac:dyDescent="0.15">
      <c r="A172" s="5" t="str">
        <f>IF('بيانات الموظفين'!A172="","",'بيانات الموظفين'!A172)</f>
        <v/>
      </c>
      <c r="B172" s="5" t="str">
        <f>IF(A172="","",'بيانات الموظفين'!B172)</f>
        <v/>
      </c>
      <c r="C172" s="6" t="s">
        <v>25</v>
      </c>
      <c r="D172" s="6">
        <v>2026</v>
      </c>
      <c r="E172" s="6">
        <v>30</v>
      </c>
      <c r="F172" s="7"/>
      <c r="G172" s="7"/>
      <c r="H172" s="8" t="str">
        <f>IF(A172="","",(('بيانات الموظفين'!G172+'بيانات الموظفين'!H172)/30)*MIN(30,MAX(0,E172))+F172+G172)</f>
        <v/>
      </c>
      <c r="I172" s="8" t="str">
        <f>IF(A172="","",MIN(16700,MAX(2700,'بيانات الموظفين'!I172))*11%)</f>
        <v/>
      </c>
      <c r="J172" s="8" t="str">
        <f>IF(A172="","",MAX(0,ROUNDDOWN(H172*12-I172*12-20000,-1)))</f>
        <v/>
      </c>
      <c r="K172" s="8" t="str">
        <f>IF(A172="","",MAX(0,(IF(J172&lt;=40000,0,IF(J172&lt;=60000,(J172-40000)*10%,IF(J172&lt;=70000,2000+(J172-60000)*15%,IF(J172&lt;=200000,3500+(J172-70000)*20%,IF(J172&lt;=400000,29500+(J172-200000)*22.5%,IF(J172&lt;=1000000,74500+(J172-400000)*25%,224500+(J172-1000000)*27.5%)))))))/12))</f>
        <v/>
      </c>
      <c r="L172" s="8" t="str">
        <f>IF(A172="","",IF('كشف التوقيع والملخص'!$B$3="نعم",MAX(0,H172-10000)*0.003,0))</f>
        <v/>
      </c>
      <c r="M172" s="8" t="str">
        <f>IF(A172="","",I172+K172+L172)</f>
        <v/>
      </c>
      <c r="N172" s="8" t="str">
        <f>IF(A172="","",H172-M172)</f>
        <v/>
      </c>
    </row>
    <row r="173" spans="1:14" ht="14.25" x14ac:dyDescent="0.15">
      <c r="A173" s="5" t="str">
        <f>IF('بيانات الموظفين'!A173="","",'بيانات الموظفين'!A173)</f>
        <v/>
      </c>
      <c r="B173" s="5" t="str">
        <f>IF(A173="","",'بيانات الموظفين'!B173)</f>
        <v/>
      </c>
      <c r="C173" s="6" t="s">
        <v>25</v>
      </c>
      <c r="D173" s="6">
        <v>2026</v>
      </c>
      <c r="E173" s="6">
        <v>30</v>
      </c>
      <c r="F173" s="7"/>
      <c r="G173" s="7"/>
      <c r="H173" s="8" t="str">
        <f>IF(A173="","",(('بيانات الموظفين'!G173+'بيانات الموظفين'!H173)/30)*MIN(30,MAX(0,E173))+F173+G173)</f>
        <v/>
      </c>
      <c r="I173" s="8" t="str">
        <f>IF(A173="","",MIN(16700,MAX(2700,'بيانات الموظفين'!I173))*11%)</f>
        <v/>
      </c>
      <c r="J173" s="8" t="str">
        <f>IF(A173="","",MAX(0,ROUNDDOWN(H173*12-I173*12-20000,-1)))</f>
        <v/>
      </c>
      <c r="K173" s="8" t="str">
        <f>IF(A173="","",MAX(0,(IF(J173&lt;=40000,0,IF(J173&lt;=60000,(J173-40000)*10%,IF(J173&lt;=70000,2000+(J173-60000)*15%,IF(J173&lt;=200000,3500+(J173-70000)*20%,IF(J173&lt;=400000,29500+(J173-200000)*22.5%,IF(J173&lt;=1000000,74500+(J173-400000)*25%,224500+(J173-1000000)*27.5%)))))))/12))</f>
        <v/>
      </c>
      <c r="L173" s="8" t="str">
        <f>IF(A173="","",IF('كشف التوقيع والملخص'!$B$3="نعم",MAX(0,H173-10000)*0.003,0))</f>
        <v/>
      </c>
      <c r="M173" s="8" t="str">
        <f>IF(A173="","",I173+K173+L173)</f>
        <v/>
      </c>
      <c r="N173" s="8" t="str">
        <f>IF(A173="","",H173-M173)</f>
        <v/>
      </c>
    </row>
    <row r="174" spans="1:14" ht="14.25" x14ac:dyDescent="0.15">
      <c r="A174" s="5" t="str">
        <f>IF('بيانات الموظفين'!A174="","",'بيانات الموظفين'!A174)</f>
        <v/>
      </c>
      <c r="B174" s="5" t="str">
        <f>IF(A174="","",'بيانات الموظفين'!B174)</f>
        <v/>
      </c>
      <c r="C174" s="6" t="s">
        <v>25</v>
      </c>
      <c r="D174" s="6">
        <v>2026</v>
      </c>
      <c r="E174" s="6">
        <v>30</v>
      </c>
      <c r="F174" s="7"/>
      <c r="G174" s="7"/>
      <c r="H174" s="8" t="str">
        <f>IF(A174="","",(('بيانات الموظفين'!G174+'بيانات الموظفين'!H174)/30)*MIN(30,MAX(0,E174))+F174+G174)</f>
        <v/>
      </c>
      <c r="I174" s="8" t="str">
        <f>IF(A174="","",MIN(16700,MAX(2700,'بيانات الموظفين'!I174))*11%)</f>
        <v/>
      </c>
      <c r="J174" s="8" t="str">
        <f>IF(A174="","",MAX(0,ROUNDDOWN(H174*12-I174*12-20000,-1)))</f>
        <v/>
      </c>
      <c r="K174" s="8" t="str">
        <f>IF(A174="","",MAX(0,(IF(J174&lt;=40000,0,IF(J174&lt;=60000,(J174-40000)*10%,IF(J174&lt;=70000,2000+(J174-60000)*15%,IF(J174&lt;=200000,3500+(J174-70000)*20%,IF(J174&lt;=400000,29500+(J174-200000)*22.5%,IF(J174&lt;=1000000,74500+(J174-400000)*25%,224500+(J174-1000000)*27.5%)))))))/12))</f>
        <v/>
      </c>
      <c r="L174" s="8" t="str">
        <f>IF(A174="","",IF('كشف التوقيع والملخص'!$B$3="نعم",MAX(0,H174-10000)*0.003,0))</f>
        <v/>
      </c>
      <c r="M174" s="8" t="str">
        <f>IF(A174="","",I174+K174+L174)</f>
        <v/>
      </c>
      <c r="N174" s="8" t="str">
        <f>IF(A174="","",H174-M174)</f>
        <v/>
      </c>
    </row>
    <row r="175" spans="1:14" ht="14.25" x14ac:dyDescent="0.15">
      <c r="A175" s="5" t="str">
        <f>IF('بيانات الموظفين'!A175="","",'بيانات الموظفين'!A175)</f>
        <v/>
      </c>
      <c r="B175" s="5" t="str">
        <f>IF(A175="","",'بيانات الموظفين'!B175)</f>
        <v/>
      </c>
      <c r="C175" s="6" t="s">
        <v>25</v>
      </c>
      <c r="D175" s="6">
        <v>2026</v>
      </c>
      <c r="E175" s="6">
        <v>30</v>
      </c>
      <c r="F175" s="7"/>
      <c r="G175" s="7"/>
      <c r="H175" s="8" t="str">
        <f>IF(A175="","",(('بيانات الموظفين'!G175+'بيانات الموظفين'!H175)/30)*MIN(30,MAX(0,E175))+F175+G175)</f>
        <v/>
      </c>
      <c r="I175" s="8" t="str">
        <f>IF(A175="","",MIN(16700,MAX(2700,'بيانات الموظفين'!I175))*11%)</f>
        <v/>
      </c>
      <c r="J175" s="8" t="str">
        <f>IF(A175="","",MAX(0,ROUNDDOWN(H175*12-I175*12-20000,-1)))</f>
        <v/>
      </c>
      <c r="K175" s="8" t="str">
        <f>IF(A175="","",MAX(0,(IF(J175&lt;=40000,0,IF(J175&lt;=60000,(J175-40000)*10%,IF(J175&lt;=70000,2000+(J175-60000)*15%,IF(J175&lt;=200000,3500+(J175-70000)*20%,IF(J175&lt;=400000,29500+(J175-200000)*22.5%,IF(J175&lt;=1000000,74500+(J175-400000)*25%,224500+(J175-1000000)*27.5%)))))))/12))</f>
        <v/>
      </c>
      <c r="L175" s="8" t="str">
        <f>IF(A175="","",IF('كشف التوقيع والملخص'!$B$3="نعم",MAX(0,H175-10000)*0.003,0))</f>
        <v/>
      </c>
      <c r="M175" s="8" t="str">
        <f>IF(A175="","",I175+K175+L175)</f>
        <v/>
      </c>
      <c r="N175" s="8" t="str">
        <f>IF(A175="","",H175-M175)</f>
        <v/>
      </c>
    </row>
    <row r="176" spans="1:14" ht="14.25" x14ac:dyDescent="0.15">
      <c r="A176" s="5" t="str">
        <f>IF('بيانات الموظفين'!A176="","",'بيانات الموظفين'!A176)</f>
        <v/>
      </c>
      <c r="B176" s="5" t="str">
        <f>IF(A176="","",'بيانات الموظفين'!B176)</f>
        <v/>
      </c>
      <c r="C176" s="6" t="s">
        <v>25</v>
      </c>
      <c r="D176" s="6">
        <v>2026</v>
      </c>
      <c r="E176" s="6">
        <v>30</v>
      </c>
      <c r="F176" s="7"/>
      <c r="G176" s="7"/>
      <c r="H176" s="8" t="str">
        <f>IF(A176="","",(('بيانات الموظفين'!G176+'بيانات الموظفين'!H176)/30)*MIN(30,MAX(0,E176))+F176+G176)</f>
        <v/>
      </c>
      <c r="I176" s="8" t="str">
        <f>IF(A176="","",MIN(16700,MAX(2700,'بيانات الموظفين'!I176))*11%)</f>
        <v/>
      </c>
      <c r="J176" s="8" t="str">
        <f>IF(A176="","",MAX(0,ROUNDDOWN(H176*12-I176*12-20000,-1)))</f>
        <v/>
      </c>
      <c r="K176" s="8" t="str">
        <f>IF(A176="","",MAX(0,(IF(J176&lt;=40000,0,IF(J176&lt;=60000,(J176-40000)*10%,IF(J176&lt;=70000,2000+(J176-60000)*15%,IF(J176&lt;=200000,3500+(J176-70000)*20%,IF(J176&lt;=400000,29500+(J176-200000)*22.5%,IF(J176&lt;=1000000,74500+(J176-400000)*25%,224500+(J176-1000000)*27.5%)))))))/12))</f>
        <v/>
      </c>
      <c r="L176" s="8" t="str">
        <f>IF(A176="","",IF('كشف التوقيع والملخص'!$B$3="نعم",MAX(0,H176-10000)*0.003,0))</f>
        <v/>
      </c>
      <c r="M176" s="8" t="str">
        <f>IF(A176="","",I176+K176+L176)</f>
        <v/>
      </c>
      <c r="N176" s="8" t="str">
        <f>IF(A176="","",H176-M176)</f>
        <v/>
      </c>
    </row>
    <row r="177" spans="1:14" ht="14.25" x14ac:dyDescent="0.15">
      <c r="A177" s="5" t="str">
        <f>IF('بيانات الموظفين'!A177="","",'بيانات الموظفين'!A177)</f>
        <v/>
      </c>
      <c r="B177" s="5" t="str">
        <f>IF(A177="","",'بيانات الموظفين'!B177)</f>
        <v/>
      </c>
      <c r="C177" s="6" t="s">
        <v>25</v>
      </c>
      <c r="D177" s="6">
        <v>2026</v>
      </c>
      <c r="E177" s="6">
        <v>30</v>
      </c>
      <c r="F177" s="7"/>
      <c r="G177" s="7"/>
      <c r="H177" s="8" t="str">
        <f>IF(A177="","",(('بيانات الموظفين'!G177+'بيانات الموظفين'!H177)/30)*MIN(30,MAX(0,E177))+F177+G177)</f>
        <v/>
      </c>
      <c r="I177" s="8" t="str">
        <f>IF(A177="","",MIN(16700,MAX(2700,'بيانات الموظفين'!I177))*11%)</f>
        <v/>
      </c>
      <c r="J177" s="8" t="str">
        <f>IF(A177="","",MAX(0,ROUNDDOWN(H177*12-I177*12-20000,-1)))</f>
        <v/>
      </c>
      <c r="K177" s="8" t="str">
        <f>IF(A177="","",MAX(0,(IF(J177&lt;=40000,0,IF(J177&lt;=60000,(J177-40000)*10%,IF(J177&lt;=70000,2000+(J177-60000)*15%,IF(J177&lt;=200000,3500+(J177-70000)*20%,IF(J177&lt;=400000,29500+(J177-200000)*22.5%,IF(J177&lt;=1000000,74500+(J177-400000)*25%,224500+(J177-1000000)*27.5%)))))))/12))</f>
        <v/>
      </c>
      <c r="L177" s="8" t="str">
        <f>IF(A177="","",IF('كشف التوقيع والملخص'!$B$3="نعم",MAX(0,H177-10000)*0.003,0))</f>
        <v/>
      </c>
      <c r="M177" s="8" t="str">
        <f>IF(A177="","",I177+K177+L177)</f>
        <v/>
      </c>
      <c r="N177" s="8" t="str">
        <f>IF(A177="","",H177-M177)</f>
        <v/>
      </c>
    </row>
    <row r="178" spans="1:14" ht="14.25" x14ac:dyDescent="0.15">
      <c r="A178" s="5" t="str">
        <f>IF('بيانات الموظفين'!A178="","",'بيانات الموظفين'!A178)</f>
        <v/>
      </c>
      <c r="B178" s="5" t="str">
        <f>IF(A178="","",'بيانات الموظفين'!B178)</f>
        <v/>
      </c>
      <c r="C178" s="6" t="s">
        <v>25</v>
      </c>
      <c r="D178" s="6">
        <v>2026</v>
      </c>
      <c r="E178" s="6">
        <v>30</v>
      </c>
      <c r="F178" s="7"/>
      <c r="G178" s="7"/>
      <c r="H178" s="8" t="str">
        <f>IF(A178="","",(('بيانات الموظفين'!G178+'بيانات الموظفين'!H178)/30)*MIN(30,MAX(0,E178))+F178+G178)</f>
        <v/>
      </c>
      <c r="I178" s="8" t="str">
        <f>IF(A178="","",MIN(16700,MAX(2700,'بيانات الموظفين'!I178))*11%)</f>
        <v/>
      </c>
      <c r="J178" s="8" t="str">
        <f>IF(A178="","",MAX(0,ROUNDDOWN(H178*12-I178*12-20000,-1)))</f>
        <v/>
      </c>
      <c r="K178" s="8" t="str">
        <f>IF(A178="","",MAX(0,(IF(J178&lt;=40000,0,IF(J178&lt;=60000,(J178-40000)*10%,IF(J178&lt;=70000,2000+(J178-60000)*15%,IF(J178&lt;=200000,3500+(J178-70000)*20%,IF(J178&lt;=400000,29500+(J178-200000)*22.5%,IF(J178&lt;=1000000,74500+(J178-400000)*25%,224500+(J178-1000000)*27.5%)))))))/12))</f>
        <v/>
      </c>
      <c r="L178" s="8" t="str">
        <f>IF(A178="","",IF('كشف التوقيع والملخص'!$B$3="نعم",MAX(0,H178-10000)*0.003,0))</f>
        <v/>
      </c>
      <c r="M178" s="8" t="str">
        <f>IF(A178="","",I178+K178+L178)</f>
        <v/>
      </c>
      <c r="N178" s="8" t="str">
        <f>IF(A178="","",H178-M178)</f>
        <v/>
      </c>
    </row>
    <row r="179" spans="1:14" ht="14.25" x14ac:dyDescent="0.15">
      <c r="A179" s="5" t="str">
        <f>IF('بيانات الموظفين'!A179="","",'بيانات الموظفين'!A179)</f>
        <v/>
      </c>
      <c r="B179" s="5" t="str">
        <f>IF(A179="","",'بيانات الموظفين'!B179)</f>
        <v/>
      </c>
      <c r="C179" s="6" t="s">
        <v>25</v>
      </c>
      <c r="D179" s="6">
        <v>2026</v>
      </c>
      <c r="E179" s="6">
        <v>30</v>
      </c>
      <c r="F179" s="7"/>
      <c r="G179" s="7"/>
      <c r="H179" s="8" t="str">
        <f>IF(A179="","",(('بيانات الموظفين'!G179+'بيانات الموظفين'!H179)/30)*MIN(30,MAX(0,E179))+F179+G179)</f>
        <v/>
      </c>
      <c r="I179" s="8" t="str">
        <f>IF(A179="","",MIN(16700,MAX(2700,'بيانات الموظفين'!I179))*11%)</f>
        <v/>
      </c>
      <c r="J179" s="8" t="str">
        <f>IF(A179="","",MAX(0,ROUNDDOWN(H179*12-I179*12-20000,-1)))</f>
        <v/>
      </c>
      <c r="K179" s="8" t="str">
        <f>IF(A179="","",MAX(0,(IF(J179&lt;=40000,0,IF(J179&lt;=60000,(J179-40000)*10%,IF(J179&lt;=70000,2000+(J179-60000)*15%,IF(J179&lt;=200000,3500+(J179-70000)*20%,IF(J179&lt;=400000,29500+(J179-200000)*22.5%,IF(J179&lt;=1000000,74500+(J179-400000)*25%,224500+(J179-1000000)*27.5%)))))))/12))</f>
        <v/>
      </c>
      <c r="L179" s="8" t="str">
        <f>IF(A179="","",IF('كشف التوقيع والملخص'!$B$3="نعم",MAX(0,H179-10000)*0.003,0))</f>
        <v/>
      </c>
      <c r="M179" s="8" t="str">
        <f>IF(A179="","",I179+K179+L179)</f>
        <v/>
      </c>
      <c r="N179" s="8" t="str">
        <f>IF(A179="","",H179-M179)</f>
        <v/>
      </c>
    </row>
    <row r="180" spans="1:14" ht="14.25" x14ac:dyDescent="0.15">
      <c r="A180" s="5" t="str">
        <f>IF('بيانات الموظفين'!A180="","",'بيانات الموظفين'!A180)</f>
        <v/>
      </c>
      <c r="B180" s="5" t="str">
        <f>IF(A180="","",'بيانات الموظفين'!B180)</f>
        <v/>
      </c>
      <c r="C180" s="6" t="s">
        <v>25</v>
      </c>
      <c r="D180" s="6">
        <v>2026</v>
      </c>
      <c r="E180" s="6">
        <v>30</v>
      </c>
      <c r="F180" s="7"/>
      <c r="G180" s="7"/>
      <c r="H180" s="8" t="str">
        <f>IF(A180="","",(('بيانات الموظفين'!G180+'بيانات الموظفين'!H180)/30)*MIN(30,MAX(0,E180))+F180+G180)</f>
        <v/>
      </c>
      <c r="I180" s="8" t="str">
        <f>IF(A180="","",MIN(16700,MAX(2700,'بيانات الموظفين'!I180))*11%)</f>
        <v/>
      </c>
      <c r="J180" s="8" t="str">
        <f>IF(A180="","",MAX(0,ROUNDDOWN(H180*12-I180*12-20000,-1)))</f>
        <v/>
      </c>
      <c r="K180" s="8" t="str">
        <f>IF(A180="","",MAX(0,(IF(J180&lt;=40000,0,IF(J180&lt;=60000,(J180-40000)*10%,IF(J180&lt;=70000,2000+(J180-60000)*15%,IF(J180&lt;=200000,3500+(J180-70000)*20%,IF(J180&lt;=400000,29500+(J180-200000)*22.5%,IF(J180&lt;=1000000,74500+(J180-400000)*25%,224500+(J180-1000000)*27.5%)))))))/12))</f>
        <v/>
      </c>
      <c r="L180" s="8" t="str">
        <f>IF(A180="","",IF('كشف التوقيع والملخص'!$B$3="نعم",MAX(0,H180-10000)*0.003,0))</f>
        <v/>
      </c>
      <c r="M180" s="8" t="str">
        <f>IF(A180="","",I180+K180+L180)</f>
        <v/>
      </c>
      <c r="N180" s="8" t="str">
        <f>IF(A180="","",H180-M180)</f>
        <v/>
      </c>
    </row>
    <row r="181" spans="1:14" ht="14.25" x14ac:dyDescent="0.15">
      <c r="A181" s="5" t="str">
        <f>IF('بيانات الموظفين'!A181="","",'بيانات الموظفين'!A181)</f>
        <v/>
      </c>
      <c r="B181" s="5" t="str">
        <f>IF(A181="","",'بيانات الموظفين'!B181)</f>
        <v/>
      </c>
      <c r="C181" s="6" t="s">
        <v>25</v>
      </c>
      <c r="D181" s="6">
        <v>2026</v>
      </c>
      <c r="E181" s="6">
        <v>30</v>
      </c>
      <c r="F181" s="7"/>
      <c r="G181" s="7"/>
      <c r="H181" s="8" t="str">
        <f>IF(A181="","",(('بيانات الموظفين'!G181+'بيانات الموظفين'!H181)/30)*MIN(30,MAX(0,E181))+F181+G181)</f>
        <v/>
      </c>
      <c r="I181" s="8" t="str">
        <f>IF(A181="","",MIN(16700,MAX(2700,'بيانات الموظفين'!I181))*11%)</f>
        <v/>
      </c>
      <c r="J181" s="8" t="str">
        <f>IF(A181="","",MAX(0,ROUNDDOWN(H181*12-I181*12-20000,-1)))</f>
        <v/>
      </c>
      <c r="K181" s="8" t="str">
        <f>IF(A181="","",MAX(0,(IF(J181&lt;=40000,0,IF(J181&lt;=60000,(J181-40000)*10%,IF(J181&lt;=70000,2000+(J181-60000)*15%,IF(J181&lt;=200000,3500+(J181-70000)*20%,IF(J181&lt;=400000,29500+(J181-200000)*22.5%,IF(J181&lt;=1000000,74500+(J181-400000)*25%,224500+(J181-1000000)*27.5%)))))))/12))</f>
        <v/>
      </c>
      <c r="L181" s="8" t="str">
        <f>IF(A181="","",IF('كشف التوقيع والملخص'!$B$3="نعم",MAX(0,H181-10000)*0.003,0))</f>
        <v/>
      </c>
      <c r="M181" s="8" t="str">
        <f>IF(A181="","",I181+K181+L181)</f>
        <v/>
      </c>
      <c r="N181" s="8" t="str">
        <f>IF(A181="","",H181-M181)</f>
        <v/>
      </c>
    </row>
    <row r="182" spans="1:14" ht="14.25" x14ac:dyDescent="0.15">
      <c r="A182" s="5" t="str">
        <f>IF('بيانات الموظفين'!A182="","",'بيانات الموظفين'!A182)</f>
        <v/>
      </c>
      <c r="B182" s="5" t="str">
        <f>IF(A182="","",'بيانات الموظفين'!B182)</f>
        <v/>
      </c>
      <c r="C182" s="6" t="s">
        <v>25</v>
      </c>
      <c r="D182" s="6">
        <v>2026</v>
      </c>
      <c r="E182" s="6">
        <v>30</v>
      </c>
      <c r="F182" s="7"/>
      <c r="G182" s="7"/>
      <c r="H182" s="8" t="str">
        <f>IF(A182="","",(('بيانات الموظفين'!G182+'بيانات الموظفين'!H182)/30)*MIN(30,MAX(0,E182))+F182+G182)</f>
        <v/>
      </c>
      <c r="I182" s="8" t="str">
        <f>IF(A182="","",MIN(16700,MAX(2700,'بيانات الموظفين'!I182))*11%)</f>
        <v/>
      </c>
      <c r="J182" s="8" t="str">
        <f>IF(A182="","",MAX(0,ROUNDDOWN(H182*12-I182*12-20000,-1)))</f>
        <v/>
      </c>
      <c r="K182" s="8" t="str">
        <f>IF(A182="","",MAX(0,(IF(J182&lt;=40000,0,IF(J182&lt;=60000,(J182-40000)*10%,IF(J182&lt;=70000,2000+(J182-60000)*15%,IF(J182&lt;=200000,3500+(J182-70000)*20%,IF(J182&lt;=400000,29500+(J182-200000)*22.5%,IF(J182&lt;=1000000,74500+(J182-400000)*25%,224500+(J182-1000000)*27.5%)))))))/12))</f>
        <v/>
      </c>
      <c r="L182" s="8" t="str">
        <f>IF(A182="","",IF('كشف التوقيع والملخص'!$B$3="نعم",MAX(0,H182-10000)*0.003,0))</f>
        <v/>
      </c>
      <c r="M182" s="8" t="str">
        <f>IF(A182="","",I182+K182+L182)</f>
        <v/>
      </c>
      <c r="N182" s="8" t="str">
        <f>IF(A182="","",H182-M182)</f>
        <v/>
      </c>
    </row>
    <row r="183" spans="1:14" ht="14.25" x14ac:dyDescent="0.15">
      <c r="A183" s="5" t="str">
        <f>IF('بيانات الموظفين'!A183="","",'بيانات الموظفين'!A183)</f>
        <v/>
      </c>
      <c r="B183" s="5" t="str">
        <f>IF(A183="","",'بيانات الموظفين'!B183)</f>
        <v/>
      </c>
      <c r="C183" s="6" t="s">
        <v>25</v>
      </c>
      <c r="D183" s="6">
        <v>2026</v>
      </c>
      <c r="E183" s="6">
        <v>30</v>
      </c>
      <c r="F183" s="7"/>
      <c r="G183" s="7"/>
      <c r="H183" s="8" t="str">
        <f>IF(A183="","",(('بيانات الموظفين'!G183+'بيانات الموظفين'!H183)/30)*MIN(30,MAX(0,E183))+F183+G183)</f>
        <v/>
      </c>
      <c r="I183" s="8" t="str">
        <f>IF(A183="","",MIN(16700,MAX(2700,'بيانات الموظفين'!I183))*11%)</f>
        <v/>
      </c>
      <c r="J183" s="8" t="str">
        <f>IF(A183="","",MAX(0,ROUNDDOWN(H183*12-I183*12-20000,-1)))</f>
        <v/>
      </c>
      <c r="K183" s="8" t="str">
        <f>IF(A183="","",MAX(0,(IF(J183&lt;=40000,0,IF(J183&lt;=60000,(J183-40000)*10%,IF(J183&lt;=70000,2000+(J183-60000)*15%,IF(J183&lt;=200000,3500+(J183-70000)*20%,IF(J183&lt;=400000,29500+(J183-200000)*22.5%,IF(J183&lt;=1000000,74500+(J183-400000)*25%,224500+(J183-1000000)*27.5%)))))))/12))</f>
        <v/>
      </c>
      <c r="L183" s="8" t="str">
        <f>IF(A183="","",IF('كشف التوقيع والملخص'!$B$3="نعم",MAX(0,H183-10000)*0.003,0))</f>
        <v/>
      </c>
      <c r="M183" s="8" t="str">
        <f>IF(A183="","",I183+K183+L183)</f>
        <v/>
      </c>
      <c r="N183" s="8" t="str">
        <f>IF(A183="","",H183-M183)</f>
        <v/>
      </c>
    </row>
    <row r="184" spans="1:14" ht="14.25" x14ac:dyDescent="0.15">
      <c r="A184" s="5" t="str">
        <f>IF('بيانات الموظفين'!A184="","",'بيانات الموظفين'!A184)</f>
        <v/>
      </c>
      <c r="B184" s="5" t="str">
        <f>IF(A184="","",'بيانات الموظفين'!B184)</f>
        <v/>
      </c>
      <c r="C184" s="6" t="s">
        <v>25</v>
      </c>
      <c r="D184" s="6">
        <v>2026</v>
      </c>
      <c r="E184" s="6">
        <v>30</v>
      </c>
      <c r="F184" s="7"/>
      <c r="G184" s="7"/>
      <c r="H184" s="8" t="str">
        <f>IF(A184="","",(('بيانات الموظفين'!G184+'بيانات الموظفين'!H184)/30)*MIN(30,MAX(0,E184))+F184+G184)</f>
        <v/>
      </c>
      <c r="I184" s="8" t="str">
        <f>IF(A184="","",MIN(16700,MAX(2700,'بيانات الموظفين'!I184))*11%)</f>
        <v/>
      </c>
      <c r="J184" s="8" t="str">
        <f>IF(A184="","",MAX(0,ROUNDDOWN(H184*12-I184*12-20000,-1)))</f>
        <v/>
      </c>
      <c r="K184" s="8" t="str">
        <f>IF(A184="","",MAX(0,(IF(J184&lt;=40000,0,IF(J184&lt;=60000,(J184-40000)*10%,IF(J184&lt;=70000,2000+(J184-60000)*15%,IF(J184&lt;=200000,3500+(J184-70000)*20%,IF(J184&lt;=400000,29500+(J184-200000)*22.5%,IF(J184&lt;=1000000,74500+(J184-400000)*25%,224500+(J184-1000000)*27.5%)))))))/12))</f>
        <v/>
      </c>
      <c r="L184" s="8" t="str">
        <f>IF(A184="","",IF('كشف التوقيع والملخص'!$B$3="نعم",MAX(0,H184-10000)*0.003,0))</f>
        <v/>
      </c>
      <c r="M184" s="8" t="str">
        <f>IF(A184="","",I184+K184+L184)</f>
        <v/>
      </c>
      <c r="N184" s="8" t="str">
        <f>IF(A184="","",H184-M184)</f>
        <v/>
      </c>
    </row>
    <row r="185" spans="1:14" ht="14.25" x14ac:dyDescent="0.15">
      <c r="A185" s="5" t="str">
        <f>IF('بيانات الموظفين'!A185="","",'بيانات الموظفين'!A185)</f>
        <v/>
      </c>
      <c r="B185" s="5" t="str">
        <f>IF(A185="","",'بيانات الموظفين'!B185)</f>
        <v/>
      </c>
      <c r="C185" s="6" t="s">
        <v>25</v>
      </c>
      <c r="D185" s="6">
        <v>2026</v>
      </c>
      <c r="E185" s="6">
        <v>30</v>
      </c>
      <c r="F185" s="7"/>
      <c r="G185" s="7"/>
      <c r="H185" s="8" t="str">
        <f>IF(A185="","",(('بيانات الموظفين'!G185+'بيانات الموظفين'!H185)/30)*MIN(30,MAX(0,E185))+F185+G185)</f>
        <v/>
      </c>
      <c r="I185" s="8" t="str">
        <f>IF(A185="","",MIN(16700,MAX(2700,'بيانات الموظفين'!I185))*11%)</f>
        <v/>
      </c>
      <c r="J185" s="8" t="str">
        <f>IF(A185="","",MAX(0,ROUNDDOWN(H185*12-I185*12-20000,-1)))</f>
        <v/>
      </c>
      <c r="K185" s="8" t="str">
        <f>IF(A185="","",MAX(0,(IF(J185&lt;=40000,0,IF(J185&lt;=60000,(J185-40000)*10%,IF(J185&lt;=70000,2000+(J185-60000)*15%,IF(J185&lt;=200000,3500+(J185-70000)*20%,IF(J185&lt;=400000,29500+(J185-200000)*22.5%,IF(J185&lt;=1000000,74500+(J185-400000)*25%,224500+(J185-1000000)*27.5%)))))))/12))</f>
        <v/>
      </c>
      <c r="L185" s="8" t="str">
        <f>IF(A185="","",IF('كشف التوقيع والملخص'!$B$3="نعم",MAX(0,H185-10000)*0.003,0))</f>
        <v/>
      </c>
      <c r="M185" s="8" t="str">
        <f>IF(A185="","",I185+K185+L185)</f>
        <v/>
      </c>
      <c r="N185" s="8" t="str">
        <f>IF(A185="","",H185-M185)</f>
        <v/>
      </c>
    </row>
    <row r="186" spans="1:14" ht="14.25" x14ac:dyDescent="0.15">
      <c r="A186" s="5" t="str">
        <f>IF('بيانات الموظفين'!A186="","",'بيانات الموظفين'!A186)</f>
        <v/>
      </c>
      <c r="B186" s="5" t="str">
        <f>IF(A186="","",'بيانات الموظفين'!B186)</f>
        <v/>
      </c>
      <c r="C186" s="6" t="s">
        <v>25</v>
      </c>
      <c r="D186" s="6">
        <v>2026</v>
      </c>
      <c r="E186" s="6">
        <v>30</v>
      </c>
      <c r="F186" s="7"/>
      <c r="G186" s="7"/>
      <c r="H186" s="8" t="str">
        <f>IF(A186="","",(('بيانات الموظفين'!G186+'بيانات الموظفين'!H186)/30)*MIN(30,MAX(0,E186))+F186+G186)</f>
        <v/>
      </c>
      <c r="I186" s="8" t="str">
        <f>IF(A186="","",MIN(16700,MAX(2700,'بيانات الموظفين'!I186))*11%)</f>
        <v/>
      </c>
      <c r="J186" s="8" t="str">
        <f>IF(A186="","",MAX(0,ROUNDDOWN(H186*12-I186*12-20000,-1)))</f>
        <v/>
      </c>
      <c r="K186" s="8" t="str">
        <f>IF(A186="","",MAX(0,(IF(J186&lt;=40000,0,IF(J186&lt;=60000,(J186-40000)*10%,IF(J186&lt;=70000,2000+(J186-60000)*15%,IF(J186&lt;=200000,3500+(J186-70000)*20%,IF(J186&lt;=400000,29500+(J186-200000)*22.5%,IF(J186&lt;=1000000,74500+(J186-400000)*25%,224500+(J186-1000000)*27.5%)))))))/12))</f>
        <v/>
      </c>
      <c r="L186" s="8" t="str">
        <f>IF(A186="","",IF('كشف التوقيع والملخص'!$B$3="نعم",MAX(0,H186-10000)*0.003,0))</f>
        <v/>
      </c>
      <c r="M186" s="8" t="str">
        <f>IF(A186="","",I186+K186+L186)</f>
        <v/>
      </c>
      <c r="N186" s="8" t="str">
        <f>IF(A186="","",H186-M186)</f>
        <v/>
      </c>
    </row>
    <row r="187" spans="1:14" ht="14.25" x14ac:dyDescent="0.15">
      <c r="A187" s="5" t="str">
        <f>IF('بيانات الموظفين'!A187="","",'بيانات الموظفين'!A187)</f>
        <v/>
      </c>
      <c r="B187" s="5" t="str">
        <f>IF(A187="","",'بيانات الموظفين'!B187)</f>
        <v/>
      </c>
      <c r="C187" s="6" t="s">
        <v>25</v>
      </c>
      <c r="D187" s="6">
        <v>2026</v>
      </c>
      <c r="E187" s="6">
        <v>30</v>
      </c>
      <c r="F187" s="7"/>
      <c r="G187" s="7"/>
      <c r="H187" s="8" t="str">
        <f>IF(A187="","",(('بيانات الموظفين'!G187+'بيانات الموظفين'!H187)/30)*MIN(30,MAX(0,E187))+F187+G187)</f>
        <v/>
      </c>
      <c r="I187" s="8" t="str">
        <f>IF(A187="","",MIN(16700,MAX(2700,'بيانات الموظفين'!I187))*11%)</f>
        <v/>
      </c>
      <c r="J187" s="8" t="str">
        <f>IF(A187="","",MAX(0,ROUNDDOWN(H187*12-I187*12-20000,-1)))</f>
        <v/>
      </c>
      <c r="K187" s="8" t="str">
        <f>IF(A187="","",MAX(0,(IF(J187&lt;=40000,0,IF(J187&lt;=60000,(J187-40000)*10%,IF(J187&lt;=70000,2000+(J187-60000)*15%,IF(J187&lt;=200000,3500+(J187-70000)*20%,IF(J187&lt;=400000,29500+(J187-200000)*22.5%,IF(J187&lt;=1000000,74500+(J187-400000)*25%,224500+(J187-1000000)*27.5%)))))))/12))</f>
        <v/>
      </c>
      <c r="L187" s="8" t="str">
        <f>IF(A187="","",IF('كشف التوقيع والملخص'!$B$3="نعم",MAX(0,H187-10000)*0.003,0))</f>
        <v/>
      </c>
      <c r="M187" s="8" t="str">
        <f>IF(A187="","",I187+K187+L187)</f>
        <v/>
      </c>
      <c r="N187" s="8" t="str">
        <f>IF(A187="","",H187-M187)</f>
        <v/>
      </c>
    </row>
    <row r="188" spans="1:14" ht="14.25" x14ac:dyDescent="0.15">
      <c r="A188" s="5" t="str">
        <f>IF('بيانات الموظفين'!A188="","",'بيانات الموظفين'!A188)</f>
        <v/>
      </c>
      <c r="B188" s="5" t="str">
        <f>IF(A188="","",'بيانات الموظفين'!B188)</f>
        <v/>
      </c>
      <c r="C188" s="6" t="s">
        <v>25</v>
      </c>
      <c r="D188" s="6">
        <v>2026</v>
      </c>
      <c r="E188" s="6">
        <v>30</v>
      </c>
      <c r="F188" s="7"/>
      <c r="G188" s="7"/>
      <c r="H188" s="8" t="str">
        <f>IF(A188="","",(('بيانات الموظفين'!G188+'بيانات الموظفين'!H188)/30)*MIN(30,MAX(0,E188))+F188+G188)</f>
        <v/>
      </c>
      <c r="I188" s="8" t="str">
        <f>IF(A188="","",MIN(16700,MAX(2700,'بيانات الموظفين'!I188))*11%)</f>
        <v/>
      </c>
      <c r="J188" s="8" t="str">
        <f>IF(A188="","",MAX(0,ROUNDDOWN(H188*12-I188*12-20000,-1)))</f>
        <v/>
      </c>
      <c r="K188" s="8" t="str">
        <f>IF(A188="","",MAX(0,(IF(J188&lt;=40000,0,IF(J188&lt;=60000,(J188-40000)*10%,IF(J188&lt;=70000,2000+(J188-60000)*15%,IF(J188&lt;=200000,3500+(J188-70000)*20%,IF(J188&lt;=400000,29500+(J188-200000)*22.5%,IF(J188&lt;=1000000,74500+(J188-400000)*25%,224500+(J188-1000000)*27.5%)))))))/12))</f>
        <v/>
      </c>
      <c r="L188" s="8" t="str">
        <f>IF(A188="","",IF('كشف التوقيع والملخص'!$B$3="نعم",MAX(0,H188-10000)*0.003,0))</f>
        <v/>
      </c>
      <c r="M188" s="8" t="str">
        <f>IF(A188="","",I188+K188+L188)</f>
        <v/>
      </c>
      <c r="N188" s="8" t="str">
        <f>IF(A188="","",H188-M188)</f>
        <v/>
      </c>
    </row>
    <row r="189" spans="1:14" ht="14.25" x14ac:dyDescent="0.15">
      <c r="A189" s="5" t="str">
        <f>IF('بيانات الموظفين'!A189="","",'بيانات الموظفين'!A189)</f>
        <v/>
      </c>
      <c r="B189" s="5" t="str">
        <f>IF(A189="","",'بيانات الموظفين'!B189)</f>
        <v/>
      </c>
      <c r="C189" s="6" t="s">
        <v>25</v>
      </c>
      <c r="D189" s="6">
        <v>2026</v>
      </c>
      <c r="E189" s="6">
        <v>30</v>
      </c>
      <c r="F189" s="7"/>
      <c r="G189" s="7"/>
      <c r="H189" s="8" t="str">
        <f>IF(A189="","",(('بيانات الموظفين'!G189+'بيانات الموظفين'!H189)/30)*MIN(30,MAX(0,E189))+F189+G189)</f>
        <v/>
      </c>
      <c r="I189" s="8" t="str">
        <f>IF(A189="","",MIN(16700,MAX(2700,'بيانات الموظفين'!I189))*11%)</f>
        <v/>
      </c>
      <c r="J189" s="8" t="str">
        <f>IF(A189="","",MAX(0,ROUNDDOWN(H189*12-I189*12-20000,-1)))</f>
        <v/>
      </c>
      <c r="K189" s="8" t="str">
        <f>IF(A189="","",MAX(0,(IF(J189&lt;=40000,0,IF(J189&lt;=60000,(J189-40000)*10%,IF(J189&lt;=70000,2000+(J189-60000)*15%,IF(J189&lt;=200000,3500+(J189-70000)*20%,IF(J189&lt;=400000,29500+(J189-200000)*22.5%,IF(J189&lt;=1000000,74500+(J189-400000)*25%,224500+(J189-1000000)*27.5%)))))))/12))</f>
        <v/>
      </c>
      <c r="L189" s="8" t="str">
        <f>IF(A189="","",IF('كشف التوقيع والملخص'!$B$3="نعم",MAX(0,H189-10000)*0.003,0))</f>
        <v/>
      </c>
      <c r="M189" s="8" t="str">
        <f>IF(A189="","",I189+K189+L189)</f>
        <v/>
      </c>
      <c r="N189" s="8" t="str">
        <f>IF(A189="","",H189-M189)</f>
        <v/>
      </c>
    </row>
    <row r="190" spans="1:14" ht="14.25" x14ac:dyDescent="0.15">
      <c r="A190" s="5" t="str">
        <f>IF('بيانات الموظفين'!A190="","",'بيانات الموظفين'!A190)</f>
        <v/>
      </c>
      <c r="B190" s="5" t="str">
        <f>IF(A190="","",'بيانات الموظفين'!B190)</f>
        <v/>
      </c>
      <c r="C190" s="6" t="s">
        <v>25</v>
      </c>
      <c r="D190" s="6">
        <v>2026</v>
      </c>
      <c r="E190" s="6">
        <v>30</v>
      </c>
      <c r="F190" s="7"/>
      <c r="G190" s="7"/>
      <c r="H190" s="8" t="str">
        <f>IF(A190="","",(('بيانات الموظفين'!G190+'بيانات الموظفين'!H190)/30)*MIN(30,MAX(0,E190))+F190+G190)</f>
        <v/>
      </c>
      <c r="I190" s="8" t="str">
        <f>IF(A190="","",MIN(16700,MAX(2700,'بيانات الموظفين'!I190))*11%)</f>
        <v/>
      </c>
      <c r="J190" s="8" t="str">
        <f>IF(A190="","",MAX(0,ROUNDDOWN(H190*12-I190*12-20000,-1)))</f>
        <v/>
      </c>
      <c r="K190" s="8" t="str">
        <f>IF(A190="","",MAX(0,(IF(J190&lt;=40000,0,IF(J190&lt;=60000,(J190-40000)*10%,IF(J190&lt;=70000,2000+(J190-60000)*15%,IF(J190&lt;=200000,3500+(J190-70000)*20%,IF(J190&lt;=400000,29500+(J190-200000)*22.5%,IF(J190&lt;=1000000,74500+(J190-400000)*25%,224500+(J190-1000000)*27.5%)))))))/12))</f>
        <v/>
      </c>
      <c r="L190" s="8" t="str">
        <f>IF(A190="","",IF('كشف التوقيع والملخص'!$B$3="نعم",MAX(0,H190-10000)*0.003,0))</f>
        <v/>
      </c>
      <c r="M190" s="8" t="str">
        <f>IF(A190="","",I190+K190+L190)</f>
        <v/>
      </c>
      <c r="N190" s="8" t="str">
        <f>IF(A190="","",H190-M190)</f>
        <v/>
      </c>
    </row>
    <row r="191" spans="1:14" ht="14.25" x14ac:dyDescent="0.15">
      <c r="A191" s="5" t="str">
        <f>IF('بيانات الموظفين'!A191="","",'بيانات الموظفين'!A191)</f>
        <v/>
      </c>
      <c r="B191" s="5" t="str">
        <f>IF(A191="","",'بيانات الموظفين'!B191)</f>
        <v/>
      </c>
      <c r="C191" s="6" t="s">
        <v>25</v>
      </c>
      <c r="D191" s="6">
        <v>2026</v>
      </c>
      <c r="E191" s="6">
        <v>30</v>
      </c>
      <c r="F191" s="7"/>
      <c r="G191" s="7"/>
      <c r="H191" s="8" t="str">
        <f>IF(A191="","",(('بيانات الموظفين'!G191+'بيانات الموظفين'!H191)/30)*MIN(30,MAX(0,E191))+F191+G191)</f>
        <v/>
      </c>
      <c r="I191" s="8" t="str">
        <f>IF(A191="","",MIN(16700,MAX(2700,'بيانات الموظفين'!I191))*11%)</f>
        <v/>
      </c>
      <c r="J191" s="8" t="str">
        <f>IF(A191="","",MAX(0,ROUNDDOWN(H191*12-I191*12-20000,-1)))</f>
        <v/>
      </c>
      <c r="K191" s="8" t="str">
        <f>IF(A191="","",MAX(0,(IF(J191&lt;=40000,0,IF(J191&lt;=60000,(J191-40000)*10%,IF(J191&lt;=70000,2000+(J191-60000)*15%,IF(J191&lt;=200000,3500+(J191-70000)*20%,IF(J191&lt;=400000,29500+(J191-200000)*22.5%,IF(J191&lt;=1000000,74500+(J191-400000)*25%,224500+(J191-1000000)*27.5%)))))))/12))</f>
        <v/>
      </c>
      <c r="L191" s="8" t="str">
        <f>IF(A191="","",IF('كشف التوقيع والملخص'!$B$3="نعم",MAX(0,H191-10000)*0.003,0))</f>
        <v/>
      </c>
      <c r="M191" s="8" t="str">
        <f>IF(A191="","",I191+K191+L191)</f>
        <v/>
      </c>
      <c r="N191" s="8" t="str">
        <f>IF(A191="","",H191-M191)</f>
        <v/>
      </c>
    </row>
    <row r="192" spans="1:14" ht="14.25" x14ac:dyDescent="0.15">
      <c r="A192" s="5" t="str">
        <f>IF('بيانات الموظفين'!A192="","",'بيانات الموظفين'!A192)</f>
        <v/>
      </c>
      <c r="B192" s="5" t="str">
        <f>IF(A192="","",'بيانات الموظفين'!B192)</f>
        <v/>
      </c>
      <c r="C192" s="6" t="s">
        <v>25</v>
      </c>
      <c r="D192" s="6">
        <v>2026</v>
      </c>
      <c r="E192" s="6">
        <v>30</v>
      </c>
      <c r="F192" s="7"/>
      <c r="G192" s="7"/>
      <c r="H192" s="8" t="str">
        <f>IF(A192="","",(('بيانات الموظفين'!G192+'بيانات الموظفين'!H192)/30)*MIN(30,MAX(0,E192))+F192+G192)</f>
        <v/>
      </c>
      <c r="I192" s="8" t="str">
        <f>IF(A192="","",MIN(16700,MAX(2700,'بيانات الموظفين'!I192))*11%)</f>
        <v/>
      </c>
      <c r="J192" s="8" t="str">
        <f>IF(A192="","",MAX(0,ROUNDDOWN(H192*12-I192*12-20000,-1)))</f>
        <v/>
      </c>
      <c r="K192" s="8" t="str">
        <f>IF(A192="","",MAX(0,(IF(J192&lt;=40000,0,IF(J192&lt;=60000,(J192-40000)*10%,IF(J192&lt;=70000,2000+(J192-60000)*15%,IF(J192&lt;=200000,3500+(J192-70000)*20%,IF(J192&lt;=400000,29500+(J192-200000)*22.5%,IF(J192&lt;=1000000,74500+(J192-400000)*25%,224500+(J192-1000000)*27.5%)))))))/12))</f>
        <v/>
      </c>
      <c r="L192" s="8" t="str">
        <f>IF(A192="","",IF('كشف التوقيع والملخص'!$B$3="نعم",MAX(0,H192-10000)*0.003,0))</f>
        <v/>
      </c>
      <c r="M192" s="8" t="str">
        <f>IF(A192="","",I192+K192+L192)</f>
        <v/>
      </c>
      <c r="N192" s="8" t="str">
        <f>IF(A192="","",H192-M192)</f>
        <v/>
      </c>
    </row>
    <row r="193" spans="1:14" ht="14.25" x14ac:dyDescent="0.15">
      <c r="A193" s="5" t="str">
        <f>IF('بيانات الموظفين'!A193="","",'بيانات الموظفين'!A193)</f>
        <v/>
      </c>
      <c r="B193" s="5" t="str">
        <f>IF(A193="","",'بيانات الموظفين'!B193)</f>
        <v/>
      </c>
      <c r="C193" s="6" t="s">
        <v>25</v>
      </c>
      <c r="D193" s="6">
        <v>2026</v>
      </c>
      <c r="E193" s="6">
        <v>30</v>
      </c>
      <c r="F193" s="7"/>
      <c r="G193" s="7"/>
      <c r="H193" s="8" t="str">
        <f>IF(A193="","",(('بيانات الموظفين'!G193+'بيانات الموظفين'!H193)/30)*MIN(30,MAX(0,E193))+F193+G193)</f>
        <v/>
      </c>
      <c r="I193" s="8" t="str">
        <f>IF(A193="","",MIN(16700,MAX(2700,'بيانات الموظفين'!I193))*11%)</f>
        <v/>
      </c>
      <c r="J193" s="8" t="str">
        <f>IF(A193="","",MAX(0,ROUNDDOWN(H193*12-I193*12-20000,-1)))</f>
        <v/>
      </c>
      <c r="K193" s="8" t="str">
        <f>IF(A193="","",MAX(0,(IF(J193&lt;=40000,0,IF(J193&lt;=60000,(J193-40000)*10%,IF(J193&lt;=70000,2000+(J193-60000)*15%,IF(J193&lt;=200000,3500+(J193-70000)*20%,IF(J193&lt;=400000,29500+(J193-200000)*22.5%,IF(J193&lt;=1000000,74500+(J193-400000)*25%,224500+(J193-1000000)*27.5%)))))))/12))</f>
        <v/>
      </c>
      <c r="L193" s="8" t="str">
        <f>IF(A193="","",IF('كشف التوقيع والملخص'!$B$3="نعم",MAX(0,H193-10000)*0.003,0))</f>
        <v/>
      </c>
      <c r="M193" s="8" t="str">
        <f>IF(A193="","",I193+K193+L193)</f>
        <v/>
      </c>
      <c r="N193" s="8" t="str">
        <f>IF(A193="","",H193-M193)</f>
        <v/>
      </c>
    </row>
    <row r="194" spans="1:14" ht="14.25" x14ac:dyDescent="0.15">
      <c r="A194" s="5" t="str">
        <f>IF('بيانات الموظفين'!A194="","",'بيانات الموظفين'!A194)</f>
        <v/>
      </c>
      <c r="B194" s="5" t="str">
        <f>IF(A194="","",'بيانات الموظفين'!B194)</f>
        <v/>
      </c>
      <c r="C194" s="6" t="s">
        <v>25</v>
      </c>
      <c r="D194" s="6">
        <v>2026</v>
      </c>
      <c r="E194" s="6">
        <v>30</v>
      </c>
      <c r="F194" s="7"/>
      <c r="G194" s="7"/>
      <c r="H194" s="8" t="str">
        <f>IF(A194="","",(('بيانات الموظفين'!G194+'بيانات الموظفين'!H194)/30)*MIN(30,MAX(0,E194))+F194+G194)</f>
        <v/>
      </c>
      <c r="I194" s="8" t="str">
        <f>IF(A194="","",MIN(16700,MAX(2700,'بيانات الموظفين'!I194))*11%)</f>
        <v/>
      </c>
      <c r="J194" s="8" t="str">
        <f>IF(A194="","",MAX(0,ROUNDDOWN(H194*12-I194*12-20000,-1)))</f>
        <v/>
      </c>
      <c r="K194" s="8" t="str">
        <f>IF(A194="","",MAX(0,(IF(J194&lt;=40000,0,IF(J194&lt;=60000,(J194-40000)*10%,IF(J194&lt;=70000,2000+(J194-60000)*15%,IF(J194&lt;=200000,3500+(J194-70000)*20%,IF(J194&lt;=400000,29500+(J194-200000)*22.5%,IF(J194&lt;=1000000,74500+(J194-400000)*25%,224500+(J194-1000000)*27.5%)))))))/12))</f>
        <v/>
      </c>
      <c r="L194" s="8" t="str">
        <f>IF(A194="","",IF('كشف التوقيع والملخص'!$B$3="نعم",MAX(0,H194-10000)*0.003,0))</f>
        <v/>
      </c>
      <c r="M194" s="8" t="str">
        <f>IF(A194="","",I194+K194+L194)</f>
        <v/>
      </c>
      <c r="N194" s="8" t="str">
        <f>IF(A194="","",H194-M194)</f>
        <v/>
      </c>
    </row>
    <row r="195" spans="1:14" ht="14.25" x14ac:dyDescent="0.15">
      <c r="A195" s="5" t="str">
        <f>IF('بيانات الموظفين'!A195="","",'بيانات الموظفين'!A195)</f>
        <v/>
      </c>
      <c r="B195" s="5" t="str">
        <f>IF(A195="","",'بيانات الموظفين'!B195)</f>
        <v/>
      </c>
      <c r="C195" s="6" t="s">
        <v>25</v>
      </c>
      <c r="D195" s="6">
        <v>2026</v>
      </c>
      <c r="E195" s="6">
        <v>30</v>
      </c>
      <c r="F195" s="7"/>
      <c r="G195" s="7"/>
      <c r="H195" s="8" t="str">
        <f>IF(A195="","",(('بيانات الموظفين'!G195+'بيانات الموظفين'!H195)/30)*MIN(30,MAX(0,E195))+F195+G195)</f>
        <v/>
      </c>
      <c r="I195" s="8" t="str">
        <f>IF(A195="","",MIN(16700,MAX(2700,'بيانات الموظفين'!I195))*11%)</f>
        <v/>
      </c>
      <c r="J195" s="8" t="str">
        <f>IF(A195="","",MAX(0,ROUNDDOWN(H195*12-I195*12-20000,-1)))</f>
        <v/>
      </c>
      <c r="K195" s="8" t="str">
        <f>IF(A195="","",MAX(0,(IF(J195&lt;=40000,0,IF(J195&lt;=60000,(J195-40000)*10%,IF(J195&lt;=70000,2000+(J195-60000)*15%,IF(J195&lt;=200000,3500+(J195-70000)*20%,IF(J195&lt;=400000,29500+(J195-200000)*22.5%,IF(J195&lt;=1000000,74500+(J195-400000)*25%,224500+(J195-1000000)*27.5%)))))))/12))</f>
        <v/>
      </c>
      <c r="L195" s="8" t="str">
        <f>IF(A195="","",IF('كشف التوقيع والملخص'!$B$3="نعم",MAX(0,H195-10000)*0.003,0))</f>
        <v/>
      </c>
      <c r="M195" s="8" t="str">
        <f>IF(A195="","",I195+K195+L195)</f>
        <v/>
      </c>
      <c r="N195" s="8" t="str">
        <f>IF(A195="","",H195-M195)</f>
        <v/>
      </c>
    </row>
    <row r="196" spans="1:14" ht="14.25" x14ac:dyDescent="0.15">
      <c r="A196" s="5" t="str">
        <f>IF('بيانات الموظفين'!A196="","",'بيانات الموظفين'!A196)</f>
        <v/>
      </c>
      <c r="B196" s="5" t="str">
        <f>IF(A196="","",'بيانات الموظفين'!B196)</f>
        <v/>
      </c>
      <c r="C196" s="6" t="s">
        <v>25</v>
      </c>
      <c r="D196" s="6">
        <v>2026</v>
      </c>
      <c r="E196" s="6">
        <v>30</v>
      </c>
      <c r="F196" s="7"/>
      <c r="G196" s="7"/>
      <c r="H196" s="8" t="str">
        <f>IF(A196="","",(('بيانات الموظفين'!G196+'بيانات الموظفين'!H196)/30)*MIN(30,MAX(0,E196))+F196+G196)</f>
        <v/>
      </c>
      <c r="I196" s="8" t="str">
        <f>IF(A196="","",MIN(16700,MAX(2700,'بيانات الموظفين'!I196))*11%)</f>
        <v/>
      </c>
      <c r="J196" s="8" t="str">
        <f>IF(A196="","",MAX(0,ROUNDDOWN(H196*12-I196*12-20000,-1)))</f>
        <v/>
      </c>
      <c r="K196" s="8" t="str">
        <f>IF(A196="","",MAX(0,(IF(J196&lt;=40000,0,IF(J196&lt;=60000,(J196-40000)*10%,IF(J196&lt;=70000,2000+(J196-60000)*15%,IF(J196&lt;=200000,3500+(J196-70000)*20%,IF(J196&lt;=400000,29500+(J196-200000)*22.5%,IF(J196&lt;=1000000,74500+(J196-400000)*25%,224500+(J196-1000000)*27.5%)))))))/12))</f>
        <v/>
      </c>
      <c r="L196" s="8" t="str">
        <f>IF(A196="","",IF('كشف التوقيع والملخص'!$B$3="نعم",MAX(0,H196-10000)*0.003,0))</f>
        <v/>
      </c>
      <c r="M196" s="8" t="str">
        <f>IF(A196="","",I196+K196+L196)</f>
        <v/>
      </c>
      <c r="N196" s="8" t="str">
        <f>IF(A196="","",H196-M196)</f>
        <v/>
      </c>
    </row>
    <row r="197" spans="1:14" ht="14.25" x14ac:dyDescent="0.15">
      <c r="A197" s="5" t="str">
        <f>IF('بيانات الموظفين'!A197="","",'بيانات الموظفين'!A197)</f>
        <v/>
      </c>
      <c r="B197" s="5" t="str">
        <f>IF(A197="","",'بيانات الموظفين'!B197)</f>
        <v/>
      </c>
      <c r="C197" s="6" t="s">
        <v>25</v>
      </c>
      <c r="D197" s="6">
        <v>2026</v>
      </c>
      <c r="E197" s="6">
        <v>30</v>
      </c>
      <c r="F197" s="7"/>
      <c r="G197" s="7"/>
      <c r="H197" s="8" t="str">
        <f>IF(A197="","",(('بيانات الموظفين'!G197+'بيانات الموظفين'!H197)/30)*MIN(30,MAX(0,E197))+F197+G197)</f>
        <v/>
      </c>
      <c r="I197" s="8" t="str">
        <f>IF(A197="","",MIN(16700,MAX(2700,'بيانات الموظفين'!I197))*11%)</f>
        <v/>
      </c>
      <c r="J197" s="8" t="str">
        <f>IF(A197="","",MAX(0,ROUNDDOWN(H197*12-I197*12-20000,-1)))</f>
        <v/>
      </c>
      <c r="K197" s="8" t="str">
        <f>IF(A197="","",MAX(0,(IF(J197&lt;=40000,0,IF(J197&lt;=60000,(J197-40000)*10%,IF(J197&lt;=70000,2000+(J197-60000)*15%,IF(J197&lt;=200000,3500+(J197-70000)*20%,IF(J197&lt;=400000,29500+(J197-200000)*22.5%,IF(J197&lt;=1000000,74500+(J197-400000)*25%,224500+(J197-1000000)*27.5%)))))))/12))</f>
        <v/>
      </c>
      <c r="L197" s="8" t="str">
        <f>IF(A197="","",IF('كشف التوقيع والملخص'!$B$3="نعم",MAX(0,H197-10000)*0.003,0))</f>
        <v/>
      </c>
      <c r="M197" s="8" t="str">
        <f>IF(A197="","",I197+K197+L197)</f>
        <v/>
      </c>
      <c r="N197" s="8" t="str">
        <f>IF(A197="","",H197-M197)</f>
        <v/>
      </c>
    </row>
    <row r="198" spans="1:14" ht="14.25" x14ac:dyDescent="0.15">
      <c r="A198" s="5" t="str">
        <f>IF('بيانات الموظفين'!A198="","",'بيانات الموظفين'!A198)</f>
        <v/>
      </c>
      <c r="B198" s="5" t="str">
        <f>IF(A198="","",'بيانات الموظفين'!B198)</f>
        <v/>
      </c>
      <c r="C198" s="6" t="s">
        <v>25</v>
      </c>
      <c r="D198" s="6">
        <v>2026</v>
      </c>
      <c r="E198" s="6">
        <v>30</v>
      </c>
      <c r="F198" s="7"/>
      <c r="G198" s="7"/>
      <c r="H198" s="8" t="str">
        <f>IF(A198="","",(('بيانات الموظفين'!G198+'بيانات الموظفين'!H198)/30)*MIN(30,MAX(0,E198))+F198+G198)</f>
        <v/>
      </c>
      <c r="I198" s="8" t="str">
        <f>IF(A198="","",MIN(16700,MAX(2700,'بيانات الموظفين'!I198))*11%)</f>
        <v/>
      </c>
      <c r="J198" s="8" t="str">
        <f>IF(A198="","",MAX(0,ROUNDDOWN(H198*12-I198*12-20000,-1)))</f>
        <v/>
      </c>
      <c r="K198" s="8" t="str">
        <f>IF(A198="","",MAX(0,(IF(J198&lt;=40000,0,IF(J198&lt;=60000,(J198-40000)*10%,IF(J198&lt;=70000,2000+(J198-60000)*15%,IF(J198&lt;=200000,3500+(J198-70000)*20%,IF(J198&lt;=400000,29500+(J198-200000)*22.5%,IF(J198&lt;=1000000,74500+(J198-400000)*25%,224500+(J198-1000000)*27.5%)))))))/12))</f>
        <v/>
      </c>
      <c r="L198" s="8" t="str">
        <f>IF(A198="","",IF('كشف التوقيع والملخص'!$B$3="نعم",MAX(0,H198-10000)*0.003,0))</f>
        <v/>
      </c>
      <c r="M198" s="8" t="str">
        <f>IF(A198="","",I198+K198+L198)</f>
        <v/>
      </c>
      <c r="N198" s="8" t="str">
        <f>IF(A198="","",H198-M198)</f>
        <v/>
      </c>
    </row>
    <row r="199" spans="1:14" ht="14.25" x14ac:dyDescent="0.15">
      <c r="A199" s="5" t="str">
        <f>IF('بيانات الموظفين'!A199="","",'بيانات الموظفين'!A199)</f>
        <v/>
      </c>
      <c r="B199" s="5" t="str">
        <f>IF(A199="","",'بيانات الموظفين'!B199)</f>
        <v/>
      </c>
      <c r="C199" s="6" t="s">
        <v>25</v>
      </c>
      <c r="D199" s="6">
        <v>2026</v>
      </c>
      <c r="E199" s="6">
        <v>30</v>
      </c>
      <c r="F199" s="7"/>
      <c r="G199" s="7"/>
      <c r="H199" s="8" t="str">
        <f>IF(A199="","",(('بيانات الموظفين'!G199+'بيانات الموظفين'!H199)/30)*MIN(30,MAX(0,E199))+F199+G199)</f>
        <v/>
      </c>
      <c r="I199" s="8" t="str">
        <f>IF(A199="","",MIN(16700,MAX(2700,'بيانات الموظفين'!I199))*11%)</f>
        <v/>
      </c>
      <c r="J199" s="8" t="str">
        <f>IF(A199="","",MAX(0,ROUNDDOWN(H199*12-I199*12-20000,-1)))</f>
        <v/>
      </c>
      <c r="K199" s="8" t="str">
        <f>IF(A199="","",MAX(0,(IF(J199&lt;=40000,0,IF(J199&lt;=60000,(J199-40000)*10%,IF(J199&lt;=70000,2000+(J199-60000)*15%,IF(J199&lt;=200000,3500+(J199-70000)*20%,IF(J199&lt;=400000,29500+(J199-200000)*22.5%,IF(J199&lt;=1000000,74500+(J199-400000)*25%,224500+(J199-1000000)*27.5%)))))))/12))</f>
        <v/>
      </c>
      <c r="L199" s="8" t="str">
        <f>IF(A199="","",IF('كشف التوقيع والملخص'!$B$3="نعم",MAX(0,H199-10000)*0.003,0))</f>
        <v/>
      </c>
      <c r="M199" s="8" t="str">
        <f>IF(A199="","",I199+K199+L199)</f>
        <v/>
      </c>
      <c r="N199" s="8" t="str">
        <f>IF(A199="","",H199-M199)</f>
        <v/>
      </c>
    </row>
    <row r="200" spans="1:14" ht="14.25" x14ac:dyDescent="0.15">
      <c r="A200" s="5" t="str">
        <f>IF('بيانات الموظفين'!A200="","",'بيانات الموظفين'!A200)</f>
        <v/>
      </c>
      <c r="B200" s="5" t="str">
        <f>IF(A200="","",'بيانات الموظفين'!B200)</f>
        <v/>
      </c>
      <c r="C200" s="6" t="s">
        <v>25</v>
      </c>
      <c r="D200" s="6">
        <v>2026</v>
      </c>
      <c r="E200" s="6">
        <v>30</v>
      </c>
      <c r="F200" s="7"/>
      <c r="G200" s="7"/>
      <c r="H200" s="8" t="str">
        <f>IF(A200="","",(('بيانات الموظفين'!G200+'بيانات الموظفين'!H200)/30)*MIN(30,MAX(0,E200))+F200+G200)</f>
        <v/>
      </c>
      <c r="I200" s="8" t="str">
        <f>IF(A200="","",MIN(16700,MAX(2700,'بيانات الموظفين'!I200))*11%)</f>
        <v/>
      </c>
      <c r="J200" s="8" t="str">
        <f>IF(A200="","",MAX(0,ROUNDDOWN(H200*12-I200*12-20000,-1)))</f>
        <v/>
      </c>
      <c r="K200" s="8" t="str">
        <f>IF(A200="","",MAX(0,(IF(J200&lt;=40000,0,IF(J200&lt;=60000,(J200-40000)*10%,IF(J200&lt;=70000,2000+(J200-60000)*15%,IF(J200&lt;=200000,3500+(J200-70000)*20%,IF(J200&lt;=400000,29500+(J200-200000)*22.5%,IF(J200&lt;=1000000,74500+(J200-400000)*25%,224500+(J200-1000000)*27.5%)))))))/12))</f>
        <v/>
      </c>
      <c r="L200" s="8" t="str">
        <f>IF(A200="","",IF('كشف التوقيع والملخص'!$B$3="نعم",MAX(0,H200-10000)*0.003,0))</f>
        <v/>
      </c>
      <c r="M200" s="8" t="str">
        <f>IF(A200="","",I200+K200+L200)</f>
        <v/>
      </c>
      <c r="N200" s="8" t="str">
        <f>IF(A200="","",H200-M200)</f>
        <v/>
      </c>
    </row>
    <row r="201" spans="1:14" ht="14.25" x14ac:dyDescent="0.15">
      <c r="A201" s="5" t="str">
        <f>IF('بيانات الموظفين'!A201="","",'بيانات الموظفين'!A201)</f>
        <v/>
      </c>
      <c r="B201" s="5" t="str">
        <f>IF(A201="","",'بيانات الموظفين'!B201)</f>
        <v/>
      </c>
      <c r="C201" s="6" t="s">
        <v>25</v>
      </c>
      <c r="D201" s="6">
        <v>2026</v>
      </c>
      <c r="E201" s="6">
        <v>30</v>
      </c>
      <c r="F201" s="7"/>
      <c r="G201" s="7"/>
      <c r="H201" s="8" t="str">
        <f>IF(A201="","",(('بيانات الموظفين'!G201+'بيانات الموظفين'!H201)/30)*MIN(30,MAX(0,E201))+F201+G201)</f>
        <v/>
      </c>
      <c r="I201" s="8" t="str">
        <f>IF(A201="","",MIN(16700,MAX(2700,'بيانات الموظفين'!I201))*11%)</f>
        <v/>
      </c>
      <c r="J201" s="8" t="str">
        <f>IF(A201="","",MAX(0,ROUNDDOWN(H201*12-I201*12-20000,-1)))</f>
        <v/>
      </c>
      <c r="K201" s="8" t="str">
        <f>IF(A201="","",MAX(0,(IF(J201&lt;=40000,0,IF(J201&lt;=60000,(J201-40000)*10%,IF(J201&lt;=70000,2000+(J201-60000)*15%,IF(J201&lt;=200000,3500+(J201-70000)*20%,IF(J201&lt;=400000,29500+(J201-200000)*22.5%,IF(J201&lt;=1000000,74500+(J201-400000)*25%,224500+(J201-1000000)*27.5%)))))))/12))</f>
        <v/>
      </c>
      <c r="L201" s="8" t="str">
        <f>IF(A201="","",IF('كشف التوقيع والملخص'!$B$3="نعم",MAX(0,H201-10000)*0.003,0))</f>
        <v/>
      </c>
      <c r="M201" s="8" t="str">
        <f>IF(A201="","",I201+K201+L201)</f>
        <v/>
      </c>
      <c r="N201" s="8" t="str">
        <f>IF(A201="","",H201-M201)</f>
        <v/>
      </c>
    </row>
    <row r="202" spans="1:14" ht="14.25" x14ac:dyDescent="0.15">
      <c r="A202" s="5" t="str">
        <f>IF('بيانات الموظفين'!A202="","",'بيانات الموظفين'!A202)</f>
        <v/>
      </c>
      <c r="B202" s="5" t="str">
        <f>IF(A202="","",'بيانات الموظفين'!B202)</f>
        <v/>
      </c>
      <c r="C202" s="6" t="s">
        <v>25</v>
      </c>
      <c r="D202" s="6">
        <v>2026</v>
      </c>
      <c r="E202" s="6">
        <v>30</v>
      </c>
      <c r="F202" s="7"/>
      <c r="G202" s="7"/>
      <c r="H202" s="8" t="str">
        <f>IF(A202="","",(('بيانات الموظفين'!G202+'بيانات الموظفين'!H202)/30)*MIN(30,MAX(0,E202))+F202+G202)</f>
        <v/>
      </c>
      <c r="I202" s="8" t="str">
        <f>IF(A202="","",MIN(16700,MAX(2700,'بيانات الموظفين'!I202))*11%)</f>
        <v/>
      </c>
      <c r="J202" s="8" t="str">
        <f>IF(A202="","",MAX(0,ROUNDDOWN(H202*12-I202*12-20000,-1)))</f>
        <v/>
      </c>
      <c r="K202" s="8" t="str">
        <f>IF(A202="","",MAX(0,(IF(J202&lt;=40000,0,IF(J202&lt;=60000,(J202-40000)*10%,IF(J202&lt;=70000,2000+(J202-60000)*15%,IF(J202&lt;=200000,3500+(J202-70000)*20%,IF(J202&lt;=400000,29500+(J202-200000)*22.5%,IF(J202&lt;=1000000,74500+(J202-400000)*25%,224500+(J202-1000000)*27.5%)))))))/12))</f>
        <v/>
      </c>
      <c r="L202" s="8" t="str">
        <f>IF(A202="","",IF('كشف التوقيع والملخص'!$B$3="نعم",MAX(0,H202-10000)*0.003,0))</f>
        <v/>
      </c>
      <c r="M202" s="8" t="str">
        <f>IF(A202="","",I202+K202+L202)</f>
        <v/>
      </c>
      <c r="N202" s="8" t="str">
        <f>IF(A202="","",H202-M202)</f>
        <v/>
      </c>
    </row>
    <row r="203" spans="1:14" ht="14.25" x14ac:dyDescent="0.15">
      <c r="A203" s="5" t="str">
        <f>IF('بيانات الموظفين'!A203="","",'بيانات الموظفين'!A203)</f>
        <v/>
      </c>
      <c r="B203" s="5" t="str">
        <f>IF(A203="","",'بيانات الموظفين'!B203)</f>
        <v/>
      </c>
      <c r="C203" s="6" t="s">
        <v>25</v>
      </c>
      <c r="D203" s="6">
        <v>2026</v>
      </c>
      <c r="E203" s="6">
        <v>30</v>
      </c>
      <c r="F203" s="7"/>
      <c r="G203" s="7"/>
      <c r="H203" s="8" t="str">
        <f>IF(A203="","",(('بيانات الموظفين'!G203+'بيانات الموظفين'!H203)/30)*MIN(30,MAX(0,E203))+F203+G203)</f>
        <v/>
      </c>
      <c r="I203" s="8" t="str">
        <f>IF(A203="","",MIN(16700,MAX(2700,'بيانات الموظفين'!I203))*11%)</f>
        <v/>
      </c>
      <c r="J203" s="8" t="str">
        <f>IF(A203="","",MAX(0,ROUNDDOWN(H203*12-I203*12-20000,-1)))</f>
        <v/>
      </c>
      <c r="K203" s="8" t="str">
        <f>IF(A203="","",MAX(0,(IF(J203&lt;=40000,0,IF(J203&lt;=60000,(J203-40000)*10%,IF(J203&lt;=70000,2000+(J203-60000)*15%,IF(J203&lt;=200000,3500+(J203-70000)*20%,IF(J203&lt;=400000,29500+(J203-200000)*22.5%,IF(J203&lt;=1000000,74500+(J203-400000)*25%,224500+(J203-1000000)*27.5%)))))))/12))</f>
        <v/>
      </c>
      <c r="L203" s="8" t="str">
        <f>IF(A203="","",IF('كشف التوقيع والملخص'!$B$3="نعم",MAX(0,H203-10000)*0.003,0))</f>
        <v/>
      </c>
      <c r="M203" s="8" t="str">
        <f>IF(A203="","",I203+K203+L203)</f>
        <v/>
      </c>
      <c r="N203" s="8" t="str">
        <f>IF(A203="","",H203-M203)</f>
        <v/>
      </c>
    </row>
    <row r="204" spans="1:14" ht="14.25" x14ac:dyDescent="0.15">
      <c r="A204" s="5" t="str">
        <f>IF('بيانات الموظفين'!A204="","",'بيانات الموظفين'!A204)</f>
        <v/>
      </c>
      <c r="B204" s="5" t="str">
        <f>IF(A204="","",'بيانات الموظفين'!B204)</f>
        <v/>
      </c>
      <c r="C204" s="6" t="s">
        <v>25</v>
      </c>
      <c r="D204" s="6">
        <v>2026</v>
      </c>
      <c r="E204" s="6">
        <v>30</v>
      </c>
      <c r="F204" s="7"/>
      <c r="G204" s="7"/>
      <c r="H204" s="8" t="str">
        <f>IF(A204="","",(('بيانات الموظفين'!G204+'بيانات الموظفين'!H204)/30)*MIN(30,MAX(0,E204))+F204+G204)</f>
        <v/>
      </c>
      <c r="I204" s="8" t="str">
        <f>IF(A204="","",MIN(16700,MAX(2700,'بيانات الموظفين'!I204))*11%)</f>
        <v/>
      </c>
      <c r="J204" s="8" t="str">
        <f>IF(A204="","",MAX(0,ROUNDDOWN(H204*12-I204*12-20000,-1)))</f>
        <v/>
      </c>
      <c r="K204" s="8" t="str">
        <f>IF(A204="","",MAX(0,(IF(J204&lt;=40000,0,IF(J204&lt;=60000,(J204-40000)*10%,IF(J204&lt;=70000,2000+(J204-60000)*15%,IF(J204&lt;=200000,3500+(J204-70000)*20%,IF(J204&lt;=400000,29500+(J204-200000)*22.5%,IF(J204&lt;=1000000,74500+(J204-400000)*25%,224500+(J204-1000000)*27.5%)))))))/12))</f>
        <v/>
      </c>
      <c r="L204" s="8" t="str">
        <f>IF(A204="","",IF('كشف التوقيع والملخص'!$B$3="نعم",MAX(0,H204-10000)*0.003,0))</f>
        <v/>
      </c>
      <c r="M204" s="8" t="str">
        <f>IF(A204="","",I204+K204+L204)</f>
        <v/>
      </c>
      <c r="N204" s="8" t="str">
        <f>IF(A204="","",H204-M204)</f>
        <v/>
      </c>
    </row>
    <row r="205" spans="1:14" ht="14.25" x14ac:dyDescent="0.15">
      <c r="A205" s="5" t="str">
        <f>IF('بيانات الموظفين'!A205="","",'بيانات الموظفين'!A205)</f>
        <v/>
      </c>
      <c r="B205" s="5" t="str">
        <f>IF(A205="","",'بيانات الموظفين'!B205)</f>
        <v/>
      </c>
      <c r="C205" s="6" t="s">
        <v>25</v>
      </c>
      <c r="D205" s="6">
        <v>2026</v>
      </c>
      <c r="E205" s="6">
        <v>30</v>
      </c>
      <c r="F205" s="7"/>
      <c r="G205" s="7"/>
      <c r="H205" s="8" t="str">
        <f>IF(A205="","",(('بيانات الموظفين'!G205+'بيانات الموظفين'!H205)/30)*MIN(30,MAX(0,E205))+F205+G205)</f>
        <v/>
      </c>
      <c r="I205" s="8" t="str">
        <f>IF(A205="","",MIN(16700,MAX(2700,'بيانات الموظفين'!I205))*11%)</f>
        <v/>
      </c>
      <c r="J205" s="8" t="str">
        <f>IF(A205="","",MAX(0,ROUNDDOWN(H205*12-I205*12-20000,-1)))</f>
        <v/>
      </c>
      <c r="K205" s="8" t="str">
        <f>IF(A205="","",MAX(0,(IF(J205&lt;=40000,0,IF(J205&lt;=60000,(J205-40000)*10%,IF(J205&lt;=70000,2000+(J205-60000)*15%,IF(J205&lt;=200000,3500+(J205-70000)*20%,IF(J205&lt;=400000,29500+(J205-200000)*22.5%,IF(J205&lt;=1000000,74500+(J205-400000)*25%,224500+(J205-1000000)*27.5%)))))))/12))</f>
        <v/>
      </c>
      <c r="L205" s="8" t="str">
        <f>IF(A205="","",IF('كشف التوقيع والملخص'!$B$3="نعم",MAX(0,H205-10000)*0.003,0))</f>
        <v/>
      </c>
      <c r="M205" s="8" t="str">
        <f>IF(A205="","",I205+K205+L205)</f>
        <v/>
      </c>
      <c r="N205" s="8" t="str">
        <f>IF(A205="","",H205-M205)</f>
        <v/>
      </c>
    </row>
    <row r="206" spans="1:14" ht="14.25" x14ac:dyDescent="0.15">
      <c r="A206" s="5" t="str">
        <f>IF('بيانات الموظفين'!A206="","",'بيانات الموظفين'!A206)</f>
        <v/>
      </c>
      <c r="B206" s="5" t="str">
        <f>IF(A206="","",'بيانات الموظفين'!B206)</f>
        <v/>
      </c>
      <c r="C206" s="6" t="s">
        <v>25</v>
      </c>
      <c r="D206" s="6">
        <v>2026</v>
      </c>
      <c r="E206" s="6">
        <v>30</v>
      </c>
      <c r="F206" s="7"/>
      <c r="G206" s="7"/>
      <c r="H206" s="8" t="str">
        <f>IF(A206="","",(('بيانات الموظفين'!G206+'بيانات الموظفين'!H206)/30)*MIN(30,MAX(0,E206))+F206+G206)</f>
        <v/>
      </c>
      <c r="I206" s="8" t="str">
        <f>IF(A206="","",MIN(16700,MAX(2700,'بيانات الموظفين'!I206))*11%)</f>
        <v/>
      </c>
      <c r="J206" s="8" t="str">
        <f>IF(A206="","",MAX(0,ROUNDDOWN(H206*12-I206*12-20000,-1)))</f>
        <v/>
      </c>
      <c r="K206" s="8" t="str">
        <f>IF(A206="","",MAX(0,(IF(J206&lt;=40000,0,IF(J206&lt;=60000,(J206-40000)*10%,IF(J206&lt;=70000,2000+(J206-60000)*15%,IF(J206&lt;=200000,3500+(J206-70000)*20%,IF(J206&lt;=400000,29500+(J206-200000)*22.5%,IF(J206&lt;=1000000,74500+(J206-400000)*25%,224500+(J206-1000000)*27.5%)))))))/12))</f>
        <v/>
      </c>
      <c r="L206" s="8" t="str">
        <f>IF(A206="","",IF('كشف التوقيع والملخص'!$B$3="نعم",MAX(0,H206-10000)*0.003,0))</f>
        <v/>
      </c>
      <c r="M206" s="8" t="str">
        <f>IF(A206="","",I206+K206+L206)</f>
        <v/>
      </c>
      <c r="N206" s="8" t="str">
        <f>IF(A206="","",H206-M206)</f>
        <v/>
      </c>
    </row>
    <row r="207" spans="1:14" ht="14.25" x14ac:dyDescent="0.15">
      <c r="A207" s="5" t="str">
        <f>IF('بيانات الموظفين'!A207="","",'بيانات الموظفين'!A207)</f>
        <v/>
      </c>
      <c r="B207" s="5" t="str">
        <f>IF(A207="","",'بيانات الموظفين'!B207)</f>
        <v/>
      </c>
      <c r="C207" s="6" t="s">
        <v>25</v>
      </c>
      <c r="D207" s="6">
        <v>2026</v>
      </c>
      <c r="E207" s="6">
        <v>30</v>
      </c>
      <c r="F207" s="7"/>
      <c r="G207" s="7"/>
      <c r="H207" s="8" t="str">
        <f>IF(A207="","",(('بيانات الموظفين'!G207+'بيانات الموظفين'!H207)/30)*MIN(30,MAX(0,E207))+F207+G207)</f>
        <v/>
      </c>
      <c r="I207" s="8" t="str">
        <f>IF(A207="","",MIN(16700,MAX(2700,'بيانات الموظفين'!I207))*11%)</f>
        <v/>
      </c>
      <c r="J207" s="8" t="str">
        <f>IF(A207="","",MAX(0,ROUNDDOWN(H207*12-I207*12-20000,-1)))</f>
        <v/>
      </c>
      <c r="K207" s="8" t="str">
        <f>IF(A207="","",MAX(0,(IF(J207&lt;=40000,0,IF(J207&lt;=60000,(J207-40000)*10%,IF(J207&lt;=70000,2000+(J207-60000)*15%,IF(J207&lt;=200000,3500+(J207-70000)*20%,IF(J207&lt;=400000,29500+(J207-200000)*22.5%,IF(J207&lt;=1000000,74500+(J207-400000)*25%,224500+(J207-1000000)*27.5%)))))))/12))</f>
        <v/>
      </c>
      <c r="L207" s="8" t="str">
        <f>IF(A207="","",IF('كشف التوقيع والملخص'!$B$3="نعم",MAX(0,H207-10000)*0.003,0))</f>
        <v/>
      </c>
      <c r="M207" s="8" t="str">
        <f>IF(A207="","",I207+K207+L207)</f>
        <v/>
      </c>
      <c r="N207" s="8" t="str">
        <f>IF(A207="","",H207-M207)</f>
        <v/>
      </c>
    </row>
    <row r="208" spans="1:14" ht="14.25" x14ac:dyDescent="0.15">
      <c r="A208" s="5" t="str">
        <f>IF('بيانات الموظفين'!A208="","",'بيانات الموظفين'!A208)</f>
        <v/>
      </c>
      <c r="B208" s="5" t="str">
        <f>IF(A208="","",'بيانات الموظفين'!B208)</f>
        <v/>
      </c>
      <c r="C208" s="6" t="s">
        <v>25</v>
      </c>
      <c r="D208" s="6">
        <v>2026</v>
      </c>
      <c r="E208" s="6">
        <v>30</v>
      </c>
      <c r="F208" s="7"/>
      <c r="G208" s="7"/>
      <c r="H208" s="8" t="str">
        <f>IF(A208="","",(('بيانات الموظفين'!G208+'بيانات الموظفين'!H208)/30)*MIN(30,MAX(0,E208))+F208+G208)</f>
        <v/>
      </c>
      <c r="I208" s="8" t="str">
        <f>IF(A208="","",MIN(16700,MAX(2700,'بيانات الموظفين'!I208))*11%)</f>
        <v/>
      </c>
      <c r="J208" s="8" t="str">
        <f>IF(A208="","",MAX(0,ROUNDDOWN(H208*12-I208*12-20000,-1)))</f>
        <v/>
      </c>
      <c r="K208" s="8" t="str">
        <f>IF(A208="","",MAX(0,(IF(J208&lt;=40000,0,IF(J208&lt;=60000,(J208-40000)*10%,IF(J208&lt;=70000,2000+(J208-60000)*15%,IF(J208&lt;=200000,3500+(J208-70000)*20%,IF(J208&lt;=400000,29500+(J208-200000)*22.5%,IF(J208&lt;=1000000,74500+(J208-400000)*25%,224500+(J208-1000000)*27.5%)))))))/12))</f>
        <v/>
      </c>
      <c r="L208" s="8" t="str">
        <f>IF(A208="","",IF('كشف التوقيع والملخص'!$B$3="نعم",MAX(0,H208-10000)*0.003,0))</f>
        <v/>
      </c>
      <c r="M208" s="8" t="str">
        <f>IF(A208="","",I208+K208+L208)</f>
        <v/>
      </c>
      <c r="N208" s="8" t="str">
        <f>IF(A208="","",H208-M208)</f>
        <v/>
      </c>
    </row>
    <row r="209" spans="1:14" ht="14.25" x14ac:dyDescent="0.15">
      <c r="A209" s="5" t="str">
        <f>IF('بيانات الموظفين'!A209="","",'بيانات الموظفين'!A209)</f>
        <v/>
      </c>
      <c r="B209" s="5" t="str">
        <f>IF(A209="","",'بيانات الموظفين'!B209)</f>
        <v/>
      </c>
      <c r="C209" s="6" t="s">
        <v>25</v>
      </c>
      <c r="D209" s="6">
        <v>2026</v>
      </c>
      <c r="E209" s="6">
        <v>30</v>
      </c>
      <c r="F209" s="7"/>
      <c r="G209" s="7"/>
      <c r="H209" s="8" t="str">
        <f>IF(A209="","",(('بيانات الموظفين'!G209+'بيانات الموظفين'!H209)/30)*MIN(30,MAX(0,E209))+F209+G209)</f>
        <v/>
      </c>
      <c r="I209" s="8" t="str">
        <f>IF(A209="","",MIN(16700,MAX(2700,'بيانات الموظفين'!I209))*11%)</f>
        <v/>
      </c>
      <c r="J209" s="8" t="str">
        <f>IF(A209="","",MAX(0,ROUNDDOWN(H209*12-I209*12-20000,-1)))</f>
        <v/>
      </c>
      <c r="K209" s="8" t="str">
        <f>IF(A209="","",MAX(0,(IF(J209&lt;=40000,0,IF(J209&lt;=60000,(J209-40000)*10%,IF(J209&lt;=70000,2000+(J209-60000)*15%,IF(J209&lt;=200000,3500+(J209-70000)*20%,IF(J209&lt;=400000,29500+(J209-200000)*22.5%,IF(J209&lt;=1000000,74500+(J209-400000)*25%,224500+(J209-1000000)*27.5%)))))))/12))</f>
        <v/>
      </c>
      <c r="L209" s="8" t="str">
        <f>IF(A209="","",IF('كشف التوقيع والملخص'!$B$3="نعم",MAX(0,H209-10000)*0.003,0))</f>
        <v/>
      </c>
      <c r="M209" s="8" t="str">
        <f>IF(A209="","",I209+K209+L209)</f>
        <v/>
      </c>
      <c r="N209" s="8" t="str">
        <f>IF(A209="","",H209-M209)</f>
        <v/>
      </c>
    </row>
    <row r="210" spans="1:14" ht="14.25" x14ac:dyDescent="0.15">
      <c r="A210" s="5" t="str">
        <f>IF('بيانات الموظفين'!A210="","",'بيانات الموظفين'!A210)</f>
        <v/>
      </c>
      <c r="B210" s="5" t="str">
        <f>IF(A210="","",'بيانات الموظفين'!B210)</f>
        <v/>
      </c>
      <c r="C210" s="6" t="s">
        <v>25</v>
      </c>
      <c r="D210" s="6">
        <v>2026</v>
      </c>
      <c r="E210" s="6">
        <v>30</v>
      </c>
      <c r="F210" s="7"/>
      <c r="G210" s="7"/>
      <c r="H210" s="8" t="str">
        <f>IF(A210="","",(('بيانات الموظفين'!G210+'بيانات الموظفين'!H210)/30)*MIN(30,MAX(0,E210))+F210+G210)</f>
        <v/>
      </c>
      <c r="I210" s="8" t="str">
        <f>IF(A210="","",MIN(16700,MAX(2700,'بيانات الموظفين'!I210))*11%)</f>
        <v/>
      </c>
      <c r="J210" s="8" t="str">
        <f>IF(A210="","",MAX(0,ROUNDDOWN(H210*12-I210*12-20000,-1)))</f>
        <v/>
      </c>
      <c r="K210" s="8" t="str">
        <f>IF(A210="","",MAX(0,(IF(J210&lt;=40000,0,IF(J210&lt;=60000,(J210-40000)*10%,IF(J210&lt;=70000,2000+(J210-60000)*15%,IF(J210&lt;=200000,3500+(J210-70000)*20%,IF(J210&lt;=400000,29500+(J210-200000)*22.5%,IF(J210&lt;=1000000,74500+(J210-400000)*25%,224500+(J210-1000000)*27.5%)))))))/12))</f>
        <v/>
      </c>
      <c r="L210" s="8" t="str">
        <f>IF(A210="","",IF('كشف التوقيع والملخص'!$B$3="نعم",MAX(0,H210-10000)*0.003,0))</f>
        <v/>
      </c>
      <c r="M210" s="8" t="str">
        <f>IF(A210="","",I210+K210+L210)</f>
        <v/>
      </c>
      <c r="N210" s="8" t="str">
        <f>IF(A210="","",H210-M210)</f>
        <v/>
      </c>
    </row>
    <row r="211" spans="1:14" ht="14.25" x14ac:dyDescent="0.15">
      <c r="A211" s="5" t="str">
        <f>IF('بيانات الموظفين'!A211="","",'بيانات الموظفين'!A211)</f>
        <v/>
      </c>
      <c r="B211" s="5" t="str">
        <f>IF(A211="","",'بيانات الموظفين'!B211)</f>
        <v/>
      </c>
      <c r="C211" s="6" t="s">
        <v>25</v>
      </c>
      <c r="D211" s="6">
        <v>2026</v>
      </c>
      <c r="E211" s="6">
        <v>30</v>
      </c>
      <c r="F211" s="7"/>
      <c r="G211" s="7"/>
      <c r="H211" s="8" t="str">
        <f>IF(A211="","",(('بيانات الموظفين'!G211+'بيانات الموظفين'!H211)/30)*MIN(30,MAX(0,E211))+F211+G211)</f>
        <v/>
      </c>
      <c r="I211" s="8" t="str">
        <f>IF(A211="","",MIN(16700,MAX(2700,'بيانات الموظفين'!I211))*11%)</f>
        <v/>
      </c>
      <c r="J211" s="8" t="str">
        <f>IF(A211="","",MAX(0,ROUNDDOWN(H211*12-I211*12-20000,-1)))</f>
        <v/>
      </c>
      <c r="K211" s="8" t="str">
        <f>IF(A211="","",MAX(0,(IF(J211&lt;=40000,0,IF(J211&lt;=60000,(J211-40000)*10%,IF(J211&lt;=70000,2000+(J211-60000)*15%,IF(J211&lt;=200000,3500+(J211-70000)*20%,IF(J211&lt;=400000,29500+(J211-200000)*22.5%,IF(J211&lt;=1000000,74500+(J211-400000)*25%,224500+(J211-1000000)*27.5%)))))))/12))</f>
        <v/>
      </c>
      <c r="L211" s="8" t="str">
        <f>IF(A211="","",IF('كشف التوقيع والملخص'!$B$3="نعم",MAX(0,H211-10000)*0.003,0))</f>
        <v/>
      </c>
      <c r="M211" s="8" t="str">
        <f>IF(A211="","",I211+K211+L211)</f>
        <v/>
      </c>
      <c r="N211" s="8" t="str">
        <f>IF(A211="","",H211-M211)</f>
        <v/>
      </c>
    </row>
    <row r="212" spans="1:14" ht="14.25" x14ac:dyDescent="0.15">
      <c r="A212" s="5" t="str">
        <f>IF('بيانات الموظفين'!A212="","",'بيانات الموظفين'!A212)</f>
        <v/>
      </c>
      <c r="B212" s="5" t="str">
        <f>IF(A212="","",'بيانات الموظفين'!B212)</f>
        <v/>
      </c>
      <c r="C212" s="6" t="s">
        <v>25</v>
      </c>
      <c r="D212" s="6">
        <v>2026</v>
      </c>
      <c r="E212" s="6">
        <v>30</v>
      </c>
      <c r="F212" s="7"/>
      <c r="G212" s="7"/>
      <c r="H212" s="8" t="str">
        <f>IF(A212="","",(('بيانات الموظفين'!G212+'بيانات الموظفين'!H212)/30)*MIN(30,MAX(0,E212))+F212+G212)</f>
        <v/>
      </c>
      <c r="I212" s="8" t="str">
        <f>IF(A212="","",MIN(16700,MAX(2700,'بيانات الموظفين'!I212))*11%)</f>
        <v/>
      </c>
      <c r="J212" s="8" t="str">
        <f>IF(A212="","",MAX(0,ROUNDDOWN(H212*12-I212*12-20000,-1)))</f>
        <v/>
      </c>
      <c r="K212" s="8" t="str">
        <f>IF(A212="","",MAX(0,(IF(J212&lt;=40000,0,IF(J212&lt;=60000,(J212-40000)*10%,IF(J212&lt;=70000,2000+(J212-60000)*15%,IF(J212&lt;=200000,3500+(J212-70000)*20%,IF(J212&lt;=400000,29500+(J212-200000)*22.5%,IF(J212&lt;=1000000,74500+(J212-400000)*25%,224500+(J212-1000000)*27.5%)))))))/12))</f>
        <v/>
      </c>
      <c r="L212" s="8" t="str">
        <f>IF(A212="","",IF('كشف التوقيع والملخص'!$B$3="نعم",MAX(0,H212-10000)*0.003,0))</f>
        <v/>
      </c>
      <c r="M212" s="8" t="str">
        <f>IF(A212="","",I212+K212+L212)</f>
        <v/>
      </c>
      <c r="N212" s="8" t="str">
        <f>IF(A212="","",H212-M212)</f>
        <v/>
      </c>
    </row>
    <row r="213" spans="1:14" ht="14.25" x14ac:dyDescent="0.15">
      <c r="A213" s="5" t="str">
        <f>IF('بيانات الموظفين'!A213="","",'بيانات الموظفين'!A213)</f>
        <v/>
      </c>
      <c r="B213" s="5" t="str">
        <f>IF(A213="","",'بيانات الموظفين'!B213)</f>
        <v/>
      </c>
      <c r="C213" s="6" t="s">
        <v>25</v>
      </c>
      <c r="D213" s="6">
        <v>2026</v>
      </c>
      <c r="E213" s="6">
        <v>30</v>
      </c>
      <c r="F213" s="7"/>
      <c r="G213" s="7"/>
      <c r="H213" s="8" t="str">
        <f>IF(A213="","",(('بيانات الموظفين'!G213+'بيانات الموظفين'!H213)/30)*MIN(30,MAX(0,E213))+F213+G213)</f>
        <v/>
      </c>
      <c r="I213" s="8" t="str">
        <f>IF(A213="","",MIN(16700,MAX(2700,'بيانات الموظفين'!I213))*11%)</f>
        <v/>
      </c>
      <c r="J213" s="8" t="str">
        <f>IF(A213="","",MAX(0,ROUNDDOWN(H213*12-I213*12-20000,-1)))</f>
        <v/>
      </c>
      <c r="K213" s="8" t="str">
        <f>IF(A213="","",MAX(0,(IF(J213&lt;=40000,0,IF(J213&lt;=60000,(J213-40000)*10%,IF(J213&lt;=70000,2000+(J213-60000)*15%,IF(J213&lt;=200000,3500+(J213-70000)*20%,IF(J213&lt;=400000,29500+(J213-200000)*22.5%,IF(J213&lt;=1000000,74500+(J213-400000)*25%,224500+(J213-1000000)*27.5%)))))))/12))</f>
        <v/>
      </c>
      <c r="L213" s="8" t="str">
        <f>IF(A213="","",IF('كشف التوقيع والملخص'!$B$3="نعم",MAX(0,H213-10000)*0.003,0))</f>
        <v/>
      </c>
      <c r="M213" s="8" t="str">
        <f>IF(A213="","",I213+K213+L213)</f>
        <v/>
      </c>
      <c r="N213" s="8" t="str">
        <f>IF(A213="","",H213-M213)</f>
        <v/>
      </c>
    </row>
    <row r="214" spans="1:14" ht="14.25" x14ac:dyDescent="0.15">
      <c r="A214" s="5" t="str">
        <f>IF('بيانات الموظفين'!A214="","",'بيانات الموظفين'!A214)</f>
        <v/>
      </c>
      <c r="B214" s="5" t="str">
        <f>IF(A214="","",'بيانات الموظفين'!B214)</f>
        <v/>
      </c>
      <c r="C214" s="6" t="s">
        <v>25</v>
      </c>
      <c r="D214" s="6">
        <v>2026</v>
      </c>
      <c r="E214" s="6">
        <v>30</v>
      </c>
      <c r="F214" s="7"/>
      <c r="G214" s="7"/>
      <c r="H214" s="8" t="str">
        <f>IF(A214="","",(('بيانات الموظفين'!G214+'بيانات الموظفين'!H214)/30)*MIN(30,MAX(0,E214))+F214+G214)</f>
        <v/>
      </c>
      <c r="I214" s="8" t="str">
        <f>IF(A214="","",MIN(16700,MAX(2700,'بيانات الموظفين'!I214))*11%)</f>
        <v/>
      </c>
      <c r="J214" s="8" t="str">
        <f>IF(A214="","",MAX(0,ROUNDDOWN(H214*12-I214*12-20000,-1)))</f>
        <v/>
      </c>
      <c r="K214" s="8" t="str">
        <f>IF(A214="","",MAX(0,(IF(J214&lt;=40000,0,IF(J214&lt;=60000,(J214-40000)*10%,IF(J214&lt;=70000,2000+(J214-60000)*15%,IF(J214&lt;=200000,3500+(J214-70000)*20%,IF(J214&lt;=400000,29500+(J214-200000)*22.5%,IF(J214&lt;=1000000,74500+(J214-400000)*25%,224500+(J214-1000000)*27.5%)))))))/12))</f>
        <v/>
      </c>
      <c r="L214" s="8" t="str">
        <f>IF(A214="","",IF('كشف التوقيع والملخص'!$B$3="نعم",MAX(0,H214-10000)*0.003,0))</f>
        <v/>
      </c>
      <c r="M214" s="8" t="str">
        <f>IF(A214="","",I214+K214+L214)</f>
        <v/>
      </c>
      <c r="N214" s="8" t="str">
        <f>IF(A214="","",H214-M214)</f>
        <v/>
      </c>
    </row>
    <row r="215" spans="1:14" ht="14.25" x14ac:dyDescent="0.15">
      <c r="A215" s="5" t="str">
        <f>IF('بيانات الموظفين'!A215="","",'بيانات الموظفين'!A215)</f>
        <v/>
      </c>
      <c r="B215" s="5" t="str">
        <f>IF(A215="","",'بيانات الموظفين'!B215)</f>
        <v/>
      </c>
      <c r="C215" s="6" t="s">
        <v>25</v>
      </c>
      <c r="D215" s="6">
        <v>2026</v>
      </c>
      <c r="E215" s="6">
        <v>30</v>
      </c>
      <c r="F215" s="7"/>
      <c r="G215" s="7"/>
      <c r="H215" s="8" t="str">
        <f>IF(A215="","",(('بيانات الموظفين'!G215+'بيانات الموظفين'!H215)/30)*MIN(30,MAX(0,E215))+F215+G215)</f>
        <v/>
      </c>
      <c r="I215" s="8" t="str">
        <f>IF(A215="","",MIN(16700,MAX(2700,'بيانات الموظفين'!I215))*11%)</f>
        <v/>
      </c>
      <c r="J215" s="8" t="str">
        <f>IF(A215="","",MAX(0,ROUNDDOWN(H215*12-I215*12-20000,-1)))</f>
        <v/>
      </c>
      <c r="K215" s="8" t="str">
        <f>IF(A215="","",MAX(0,(IF(J215&lt;=40000,0,IF(J215&lt;=60000,(J215-40000)*10%,IF(J215&lt;=70000,2000+(J215-60000)*15%,IF(J215&lt;=200000,3500+(J215-70000)*20%,IF(J215&lt;=400000,29500+(J215-200000)*22.5%,IF(J215&lt;=1000000,74500+(J215-400000)*25%,224500+(J215-1000000)*27.5%)))))))/12))</f>
        <v/>
      </c>
      <c r="L215" s="8" t="str">
        <f>IF(A215="","",IF('كشف التوقيع والملخص'!$B$3="نعم",MAX(0,H215-10000)*0.003,0))</f>
        <v/>
      </c>
      <c r="M215" s="8" t="str">
        <f>IF(A215="","",I215+K215+L215)</f>
        <v/>
      </c>
      <c r="N215" s="8" t="str">
        <f>IF(A215="","",H215-M215)</f>
        <v/>
      </c>
    </row>
    <row r="216" spans="1:14" ht="14.25" x14ac:dyDescent="0.15">
      <c r="A216" s="5" t="str">
        <f>IF('بيانات الموظفين'!A216="","",'بيانات الموظفين'!A216)</f>
        <v/>
      </c>
      <c r="B216" s="5" t="str">
        <f>IF(A216="","",'بيانات الموظفين'!B216)</f>
        <v/>
      </c>
      <c r="C216" s="6" t="s">
        <v>25</v>
      </c>
      <c r="D216" s="6">
        <v>2026</v>
      </c>
      <c r="E216" s="6">
        <v>30</v>
      </c>
      <c r="F216" s="7"/>
      <c r="G216" s="7"/>
      <c r="H216" s="8" t="str">
        <f>IF(A216="","",(('بيانات الموظفين'!G216+'بيانات الموظفين'!H216)/30)*MIN(30,MAX(0,E216))+F216+G216)</f>
        <v/>
      </c>
      <c r="I216" s="8" t="str">
        <f>IF(A216="","",MIN(16700,MAX(2700,'بيانات الموظفين'!I216))*11%)</f>
        <v/>
      </c>
      <c r="J216" s="8" t="str">
        <f>IF(A216="","",MAX(0,ROUNDDOWN(H216*12-I216*12-20000,-1)))</f>
        <v/>
      </c>
      <c r="K216" s="8" t="str">
        <f>IF(A216="","",MAX(0,(IF(J216&lt;=40000,0,IF(J216&lt;=60000,(J216-40000)*10%,IF(J216&lt;=70000,2000+(J216-60000)*15%,IF(J216&lt;=200000,3500+(J216-70000)*20%,IF(J216&lt;=400000,29500+(J216-200000)*22.5%,IF(J216&lt;=1000000,74500+(J216-400000)*25%,224500+(J216-1000000)*27.5%)))))))/12))</f>
        <v/>
      </c>
      <c r="L216" s="8" t="str">
        <f>IF(A216="","",IF('كشف التوقيع والملخص'!$B$3="نعم",MAX(0,H216-10000)*0.003,0))</f>
        <v/>
      </c>
      <c r="M216" s="8" t="str">
        <f>IF(A216="","",I216+K216+L216)</f>
        <v/>
      </c>
      <c r="N216" s="8" t="str">
        <f>IF(A216="","",H216-M216)</f>
        <v/>
      </c>
    </row>
    <row r="217" spans="1:14" ht="14.25" x14ac:dyDescent="0.15">
      <c r="A217" s="5" t="str">
        <f>IF('بيانات الموظفين'!A217="","",'بيانات الموظفين'!A217)</f>
        <v/>
      </c>
      <c r="B217" s="5" t="str">
        <f>IF(A217="","",'بيانات الموظفين'!B217)</f>
        <v/>
      </c>
      <c r="C217" s="6" t="s">
        <v>25</v>
      </c>
      <c r="D217" s="6">
        <v>2026</v>
      </c>
      <c r="E217" s="6">
        <v>30</v>
      </c>
      <c r="F217" s="7"/>
      <c r="G217" s="7"/>
      <c r="H217" s="8" t="str">
        <f>IF(A217="","",(('بيانات الموظفين'!G217+'بيانات الموظفين'!H217)/30)*MIN(30,MAX(0,E217))+F217+G217)</f>
        <v/>
      </c>
      <c r="I217" s="8" t="str">
        <f>IF(A217="","",MIN(16700,MAX(2700,'بيانات الموظفين'!I217))*11%)</f>
        <v/>
      </c>
      <c r="J217" s="8" t="str">
        <f>IF(A217="","",MAX(0,ROUNDDOWN(H217*12-I217*12-20000,-1)))</f>
        <v/>
      </c>
      <c r="K217" s="8" t="str">
        <f>IF(A217="","",MAX(0,(IF(J217&lt;=40000,0,IF(J217&lt;=60000,(J217-40000)*10%,IF(J217&lt;=70000,2000+(J217-60000)*15%,IF(J217&lt;=200000,3500+(J217-70000)*20%,IF(J217&lt;=400000,29500+(J217-200000)*22.5%,IF(J217&lt;=1000000,74500+(J217-400000)*25%,224500+(J217-1000000)*27.5%)))))))/12))</f>
        <v/>
      </c>
      <c r="L217" s="8" t="str">
        <f>IF(A217="","",IF('كشف التوقيع والملخص'!$B$3="نعم",MAX(0,H217-10000)*0.003,0))</f>
        <v/>
      </c>
      <c r="M217" s="8" t="str">
        <f>IF(A217="","",I217+K217+L217)</f>
        <v/>
      </c>
      <c r="N217" s="8" t="str">
        <f>IF(A217="","",H217-M217)</f>
        <v/>
      </c>
    </row>
    <row r="218" spans="1:14" ht="14.25" x14ac:dyDescent="0.15">
      <c r="A218" s="5" t="str">
        <f>IF('بيانات الموظفين'!A218="","",'بيانات الموظفين'!A218)</f>
        <v/>
      </c>
      <c r="B218" s="5" t="str">
        <f>IF(A218="","",'بيانات الموظفين'!B218)</f>
        <v/>
      </c>
      <c r="C218" s="6" t="s">
        <v>25</v>
      </c>
      <c r="D218" s="6">
        <v>2026</v>
      </c>
      <c r="E218" s="6">
        <v>30</v>
      </c>
      <c r="F218" s="7"/>
      <c r="G218" s="7"/>
      <c r="H218" s="8" t="str">
        <f>IF(A218="","",(('بيانات الموظفين'!G218+'بيانات الموظفين'!H218)/30)*MIN(30,MAX(0,E218))+F218+G218)</f>
        <v/>
      </c>
      <c r="I218" s="8" t="str">
        <f>IF(A218="","",MIN(16700,MAX(2700,'بيانات الموظفين'!I218))*11%)</f>
        <v/>
      </c>
      <c r="J218" s="8" t="str">
        <f>IF(A218="","",MAX(0,ROUNDDOWN(H218*12-I218*12-20000,-1)))</f>
        <v/>
      </c>
      <c r="K218" s="8" t="str">
        <f>IF(A218="","",MAX(0,(IF(J218&lt;=40000,0,IF(J218&lt;=60000,(J218-40000)*10%,IF(J218&lt;=70000,2000+(J218-60000)*15%,IF(J218&lt;=200000,3500+(J218-70000)*20%,IF(J218&lt;=400000,29500+(J218-200000)*22.5%,IF(J218&lt;=1000000,74500+(J218-400000)*25%,224500+(J218-1000000)*27.5%)))))))/12))</f>
        <v/>
      </c>
      <c r="L218" s="8" t="str">
        <f>IF(A218="","",IF('كشف التوقيع والملخص'!$B$3="نعم",MAX(0,H218-10000)*0.003,0))</f>
        <v/>
      </c>
      <c r="M218" s="8" t="str">
        <f>IF(A218="","",I218+K218+L218)</f>
        <v/>
      </c>
      <c r="N218" s="8" t="str">
        <f>IF(A218="","",H218-M218)</f>
        <v/>
      </c>
    </row>
    <row r="219" spans="1:14" ht="14.25" x14ac:dyDescent="0.15">
      <c r="A219" s="5" t="str">
        <f>IF('بيانات الموظفين'!A219="","",'بيانات الموظفين'!A219)</f>
        <v/>
      </c>
      <c r="B219" s="5" t="str">
        <f>IF(A219="","",'بيانات الموظفين'!B219)</f>
        <v/>
      </c>
      <c r="C219" s="6" t="s">
        <v>25</v>
      </c>
      <c r="D219" s="6">
        <v>2026</v>
      </c>
      <c r="E219" s="6">
        <v>30</v>
      </c>
      <c r="F219" s="7"/>
      <c r="G219" s="7"/>
      <c r="H219" s="8" t="str">
        <f>IF(A219="","",(('بيانات الموظفين'!G219+'بيانات الموظفين'!H219)/30)*MIN(30,MAX(0,E219))+F219+G219)</f>
        <v/>
      </c>
      <c r="I219" s="8" t="str">
        <f>IF(A219="","",MIN(16700,MAX(2700,'بيانات الموظفين'!I219))*11%)</f>
        <v/>
      </c>
      <c r="J219" s="8" t="str">
        <f>IF(A219="","",MAX(0,ROUNDDOWN(H219*12-I219*12-20000,-1)))</f>
        <v/>
      </c>
      <c r="K219" s="8" t="str">
        <f>IF(A219="","",MAX(0,(IF(J219&lt;=40000,0,IF(J219&lt;=60000,(J219-40000)*10%,IF(J219&lt;=70000,2000+(J219-60000)*15%,IF(J219&lt;=200000,3500+(J219-70000)*20%,IF(J219&lt;=400000,29500+(J219-200000)*22.5%,IF(J219&lt;=1000000,74500+(J219-400000)*25%,224500+(J219-1000000)*27.5%)))))))/12))</f>
        <v/>
      </c>
      <c r="L219" s="8" t="str">
        <f>IF(A219="","",IF('كشف التوقيع والملخص'!$B$3="نعم",MAX(0,H219-10000)*0.003,0))</f>
        <v/>
      </c>
      <c r="M219" s="8" t="str">
        <f>IF(A219="","",I219+K219+L219)</f>
        <v/>
      </c>
      <c r="N219" s="8" t="str">
        <f>IF(A219="","",H219-M219)</f>
        <v/>
      </c>
    </row>
    <row r="220" spans="1:14" ht="14.25" x14ac:dyDescent="0.15">
      <c r="A220" s="5" t="str">
        <f>IF('بيانات الموظفين'!A220="","",'بيانات الموظفين'!A220)</f>
        <v/>
      </c>
      <c r="B220" s="5" t="str">
        <f>IF(A220="","",'بيانات الموظفين'!B220)</f>
        <v/>
      </c>
      <c r="C220" s="6" t="s">
        <v>25</v>
      </c>
      <c r="D220" s="6">
        <v>2026</v>
      </c>
      <c r="E220" s="6">
        <v>30</v>
      </c>
      <c r="F220" s="7"/>
      <c r="G220" s="7"/>
      <c r="H220" s="8" t="str">
        <f>IF(A220="","",(('بيانات الموظفين'!G220+'بيانات الموظفين'!H220)/30)*MIN(30,MAX(0,E220))+F220+G220)</f>
        <v/>
      </c>
      <c r="I220" s="8" t="str">
        <f>IF(A220="","",MIN(16700,MAX(2700,'بيانات الموظفين'!I220))*11%)</f>
        <v/>
      </c>
      <c r="J220" s="8" t="str">
        <f>IF(A220="","",MAX(0,ROUNDDOWN(H220*12-I220*12-20000,-1)))</f>
        <v/>
      </c>
      <c r="K220" s="8" t="str">
        <f>IF(A220="","",MAX(0,(IF(J220&lt;=40000,0,IF(J220&lt;=60000,(J220-40000)*10%,IF(J220&lt;=70000,2000+(J220-60000)*15%,IF(J220&lt;=200000,3500+(J220-70000)*20%,IF(J220&lt;=400000,29500+(J220-200000)*22.5%,IF(J220&lt;=1000000,74500+(J220-400000)*25%,224500+(J220-1000000)*27.5%)))))))/12))</f>
        <v/>
      </c>
      <c r="L220" s="8" t="str">
        <f>IF(A220="","",IF('كشف التوقيع والملخص'!$B$3="نعم",MAX(0,H220-10000)*0.003,0))</f>
        <v/>
      </c>
      <c r="M220" s="8" t="str">
        <f>IF(A220="","",I220+K220+L220)</f>
        <v/>
      </c>
      <c r="N220" s="8" t="str">
        <f>IF(A220="","",H220-M220)</f>
        <v/>
      </c>
    </row>
    <row r="221" spans="1:14" ht="14.25" x14ac:dyDescent="0.15">
      <c r="A221" s="5" t="str">
        <f>IF('بيانات الموظفين'!A221="","",'بيانات الموظفين'!A221)</f>
        <v/>
      </c>
      <c r="B221" s="5" t="str">
        <f>IF(A221="","",'بيانات الموظفين'!B221)</f>
        <v/>
      </c>
      <c r="C221" s="6" t="s">
        <v>25</v>
      </c>
      <c r="D221" s="6">
        <v>2026</v>
      </c>
      <c r="E221" s="6">
        <v>30</v>
      </c>
      <c r="F221" s="7"/>
      <c r="G221" s="7"/>
      <c r="H221" s="8" t="str">
        <f>IF(A221="","",(('بيانات الموظفين'!G221+'بيانات الموظفين'!H221)/30)*MIN(30,MAX(0,E221))+F221+G221)</f>
        <v/>
      </c>
      <c r="I221" s="8" t="str">
        <f>IF(A221="","",MIN(16700,MAX(2700,'بيانات الموظفين'!I221))*11%)</f>
        <v/>
      </c>
      <c r="J221" s="8" t="str">
        <f>IF(A221="","",MAX(0,ROUNDDOWN(H221*12-I221*12-20000,-1)))</f>
        <v/>
      </c>
      <c r="K221" s="8" t="str">
        <f>IF(A221="","",MAX(0,(IF(J221&lt;=40000,0,IF(J221&lt;=60000,(J221-40000)*10%,IF(J221&lt;=70000,2000+(J221-60000)*15%,IF(J221&lt;=200000,3500+(J221-70000)*20%,IF(J221&lt;=400000,29500+(J221-200000)*22.5%,IF(J221&lt;=1000000,74500+(J221-400000)*25%,224500+(J221-1000000)*27.5%)))))))/12))</f>
        <v/>
      </c>
      <c r="L221" s="8" t="str">
        <f>IF(A221="","",IF('كشف التوقيع والملخص'!$B$3="نعم",MAX(0,H221-10000)*0.003,0))</f>
        <v/>
      </c>
      <c r="M221" s="8" t="str">
        <f>IF(A221="","",I221+K221+L221)</f>
        <v/>
      </c>
      <c r="N221" s="8" t="str">
        <f>IF(A221="","",H221-M221)</f>
        <v/>
      </c>
    </row>
    <row r="222" spans="1:14" ht="14.25" x14ac:dyDescent="0.15">
      <c r="A222" s="5" t="str">
        <f>IF('بيانات الموظفين'!A222="","",'بيانات الموظفين'!A222)</f>
        <v/>
      </c>
      <c r="B222" s="5" t="str">
        <f>IF(A222="","",'بيانات الموظفين'!B222)</f>
        <v/>
      </c>
      <c r="C222" s="6" t="s">
        <v>25</v>
      </c>
      <c r="D222" s="6">
        <v>2026</v>
      </c>
      <c r="E222" s="6">
        <v>30</v>
      </c>
      <c r="F222" s="7"/>
      <c r="G222" s="7"/>
      <c r="H222" s="8" t="str">
        <f>IF(A222="","",(('بيانات الموظفين'!G222+'بيانات الموظفين'!H222)/30)*MIN(30,MAX(0,E222))+F222+G222)</f>
        <v/>
      </c>
      <c r="I222" s="8" t="str">
        <f>IF(A222="","",MIN(16700,MAX(2700,'بيانات الموظفين'!I222))*11%)</f>
        <v/>
      </c>
      <c r="J222" s="8" t="str">
        <f>IF(A222="","",MAX(0,ROUNDDOWN(H222*12-I222*12-20000,-1)))</f>
        <v/>
      </c>
      <c r="K222" s="8" t="str">
        <f>IF(A222="","",MAX(0,(IF(J222&lt;=40000,0,IF(J222&lt;=60000,(J222-40000)*10%,IF(J222&lt;=70000,2000+(J222-60000)*15%,IF(J222&lt;=200000,3500+(J222-70000)*20%,IF(J222&lt;=400000,29500+(J222-200000)*22.5%,IF(J222&lt;=1000000,74500+(J222-400000)*25%,224500+(J222-1000000)*27.5%)))))))/12))</f>
        <v/>
      </c>
      <c r="L222" s="8" t="str">
        <f>IF(A222="","",IF('كشف التوقيع والملخص'!$B$3="نعم",MAX(0,H222-10000)*0.003,0))</f>
        <v/>
      </c>
      <c r="M222" s="8" t="str">
        <f>IF(A222="","",I222+K222+L222)</f>
        <v/>
      </c>
      <c r="N222" s="8" t="str">
        <f>IF(A222="","",H222-M222)</f>
        <v/>
      </c>
    </row>
    <row r="223" spans="1:14" ht="14.25" x14ac:dyDescent="0.15">
      <c r="A223" s="5" t="str">
        <f>IF('بيانات الموظفين'!A223="","",'بيانات الموظفين'!A223)</f>
        <v/>
      </c>
      <c r="B223" s="5" t="str">
        <f>IF(A223="","",'بيانات الموظفين'!B223)</f>
        <v/>
      </c>
      <c r="C223" s="6" t="s">
        <v>25</v>
      </c>
      <c r="D223" s="6">
        <v>2026</v>
      </c>
      <c r="E223" s="6">
        <v>30</v>
      </c>
      <c r="F223" s="7"/>
      <c r="G223" s="7"/>
      <c r="H223" s="8" t="str">
        <f>IF(A223="","",(('بيانات الموظفين'!G223+'بيانات الموظفين'!H223)/30)*MIN(30,MAX(0,E223))+F223+G223)</f>
        <v/>
      </c>
      <c r="I223" s="8" t="str">
        <f>IF(A223="","",MIN(16700,MAX(2700,'بيانات الموظفين'!I223))*11%)</f>
        <v/>
      </c>
      <c r="J223" s="8" t="str">
        <f>IF(A223="","",MAX(0,ROUNDDOWN(H223*12-I223*12-20000,-1)))</f>
        <v/>
      </c>
      <c r="K223" s="8" t="str">
        <f>IF(A223="","",MAX(0,(IF(J223&lt;=40000,0,IF(J223&lt;=60000,(J223-40000)*10%,IF(J223&lt;=70000,2000+(J223-60000)*15%,IF(J223&lt;=200000,3500+(J223-70000)*20%,IF(J223&lt;=400000,29500+(J223-200000)*22.5%,IF(J223&lt;=1000000,74500+(J223-400000)*25%,224500+(J223-1000000)*27.5%)))))))/12))</f>
        <v/>
      </c>
      <c r="L223" s="8" t="str">
        <f>IF(A223="","",IF('كشف التوقيع والملخص'!$B$3="نعم",MAX(0,H223-10000)*0.003,0))</f>
        <v/>
      </c>
      <c r="M223" s="8" t="str">
        <f>IF(A223="","",I223+K223+L223)</f>
        <v/>
      </c>
      <c r="N223" s="8" t="str">
        <f>IF(A223="","",H223-M223)</f>
        <v/>
      </c>
    </row>
    <row r="224" spans="1:14" ht="14.25" x14ac:dyDescent="0.15">
      <c r="A224" s="5" t="str">
        <f>IF('بيانات الموظفين'!A224="","",'بيانات الموظفين'!A224)</f>
        <v/>
      </c>
      <c r="B224" s="5" t="str">
        <f>IF(A224="","",'بيانات الموظفين'!B224)</f>
        <v/>
      </c>
      <c r="C224" s="6" t="s">
        <v>25</v>
      </c>
      <c r="D224" s="6">
        <v>2026</v>
      </c>
      <c r="E224" s="6">
        <v>30</v>
      </c>
      <c r="F224" s="7"/>
      <c r="G224" s="7"/>
      <c r="H224" s="8" t="str">
        <f>IF(A224="","",(('بيانات الموظفين'!G224+'بيانات الموظفين'!H224)/30)*MIN(30,MAX(0,E224))+F224+G224)</f>
        <v/>
      </c>
      <c r="I224" s="8" t="str">
        <f>IF(A224="","",MIN(16700,MAX(2700,'بيانات الموظفين'!I224))*11%)</f>
        <v/>
      </c>
      <c r="J224" s="8" t="str">
        <f>IF(A224="","",MAX(0,ROUNDDOWN(H224*12-I224*12-20000,-1)))</f>
        <v/>
      </c>
      <c r="K224" s="8" t="str">
        <f>IF(A224="","",MAX(0,(IF(J224&lt;=40000,0,IF(J224&lt;=60000,(J224-40000)*10%,IF(J224&lt;=70000,2000+(J224-60000)*15%,IF(J224&lt;=200000,3500+(J224-70000)*20%,IF(J224&lt;=400000,29500+(J224-200000)*22.5%,IF(J224&lt;=1000000,74500+(J224-400000)*25%,224500+(J224-1000000)*27.5%)))))))/12))</f>
        <v/>
      </c>
      <c r="L224" s="8" t="str">
        <f>IF(A224="","",IF('كشف التوقيع والملخص'!$B$3="نعم",MAX(0,H224-10000)*0.003,0))</f>
        <v/>
      </c>
      <c r="M224" s="8" t="str">
        <f>IF(A224="","",I224+K224+L224)</f>
        <v/>
      </c>
      <c r="N224" s="8" t="str">
        <f>IF(A224="","",H224-M224)</f>
        <v/>
      </c>
    </row>
    <row r="225" spans="1:14" ht="14.25" x14ac:dyDescent="0.15">
      <c r="A225" s="5" t="str">
        <f>IF('بيانات الموظفين'!A225="","",'بيانات الموظفين'!A225)</f>
        <v/>
      </c>
      <c r="B225" s="5" t="str">
        <f>IF(A225="","",'بيانات الموظفين'!B225)</f>
        <v/>
      </c>
      <c r="C225" s="6" t="s">
        <v>25</v>
      </c>
      <c r="D225" s="6">
        <v>2026</v>
      </c>
      <c r="E225" s="6">
        <v>30</v>
      </c>
      <c r="F225" s="7"/>
      <c r="G225" s="7"/>
      <c r="H225" s="8" t="str">
        <f>IF(A225="","",(('بيانات الموظفين'!G225+'بيانات الموظفين'!H225)/30)*MIN(30,MAX(0,E225))+F225+G225)</f>
        <v/>
      </c>
      <c r="I225" s="8" t="str">
        <f>IF(A225="","",MIN(16700,MAX(2700,'بيانات الموظفين'!I225))*11%)</f>
        <v/>
      </c>
      <c r="J225" s="8" t="str">
        <f>IF(A225="","",MAX(0,ROUNDDOWN(H225*12-I225*12-20000,-1)))</f>
        <v/>
      </c>
      <c r="K225" s="8" t="str">
        <f>IF(A225="","",MAX(0,(IF(J225&lt;=40000,0,IF(J225&lt;=60000,(J225-40000)*10%,IF(J225&lt;=70000,2000+(J225-60000)*15%,IF(J225&lt;=200000,3500+(J225-70000)*20%,IF(J225&lt;=400000,29500+(J225-200000)*22.5%,IF(J225&lt;=1000000,74500+(J225-400000)*25%,224500+(J225-1000000)*27.5%)))))))/12))</f>
        <v/>
      </c>
      <c r="L225" s="8" t="str">
        <f>IF(A225="","",IF('كشف التوقيع والملخص'!$B$3="نعم",MAX(0,H225-10000)*0.003,0))</f>
        <v/>
      </c>
      <c r="M225" s="8" t="str">
        <f>IF(A225="","",I225+K225+L225)</f>
        <v/>
      </c>
      <c r="N225" s="8" t="str">
        <f>IF(A225="","",H225-M225)</f>
        <v/>
      </c>
    </row>
    <row r="226" spans="1:14" ht="14.25" x14ac:dyDescent="0.15">
      <c r="A226" s="5" t="str">
        <f>IF('بيانات الموظفين'!A226="","",'بيانات الموظفين'!A226)</f>
        <v/>
      </c>
      <c r="B226" s="5" t="str">
        <f>IF(A226="","",'بيانات الموظفين'!B226)</f>
        <v/>
      </c>
      <c r="C226" s="6" t="s">
        <v>25</v>
      </c>
      <c r="D226" s="6">
        <v>2026</v>
      </c>
      <c r="E226" s="6">
        <v>30</v>
      </c>
      <c r="F226" s="7"/>
      <c r="G226" s="7"/>
      <c r="H226" s="8" t="str">
        <f>IF(A226="","",(('بيانات الموظفين'!G226+'بيانات الموظفين'!H226)/30)*MIN(30,MAX(0,E226))+F226+G226)</f>
        <v/>
      </c>
      <c r="I226" s="8" t="str">
        <f>IF(A226="","",MIN(16700,MAX(2700,'بيانات الموظفين'!I226))*11%)</f>
        <v/>
      </c>
      <c r="J226" s="8" t="str">
        <f>IF(A226="","",MAX(0,ROUNDDOWN(H226*12-I226*12-20000,-1)))</f>
        <v/>
      </c>
      <c r="K226" s="8" t="str">
        <f>IF(A226="","",MAX(0,(IF(J226&lt;=40000,0,IF(J226&lt;=60000,(J226-40000)*10%,IF(J226&lt;=70000,2000+(J226-60000)*15%,IF(J226&lt;=200000,3500+(J226-70000)*20%,IF(J226&lt;=400000,29500+(J226-200000)*22.5%,IF(J226&lt;=1000000,74500+(J226-400000)*25%,224500+(J226-1000000)*27.5%)))))))/12))</f>
        <v/>
      </c>
      <c r="L226" s="8" t="str">
        <f>IF(A226="","",IF('كشف التوقيع والملخص'!$B$3="نعم",MAX(0,H226-10000)*0.003,0))</f>
        <v/>
      </c>
      <c r="M226" s="8" t="str">
        <f>IF(A226="","",I226+K226+L226)</f>
        <v/>
      </c>
      <c r="N226" s="8" t="str">
        <f>IF(A226="","",H226-M226)</f>
        <v/>
      </c>
    </row>
    <row r="227" spans="1:14" ht="14.25" x14ac:dyDescent="0.15">
      <c r="A227" s="5" t="str">
        <f>IF('بيانات الموظفين'!A227="","",'بيانات الموظفين'!A227)</f>
        <v/>
      </c>
      <c r="B227" s="5" t="str">
        <f>IF(A227="","",'بيانات الموظفين'!B227)</f>
        <v/>
      </c>
      <c r="C227" s="6" t="s">
        <v>25</v>
      </c>
      <c r="D227" s="6">
        <v>2026</v>
      </c>
      <c r="E227" s="6">
        <v>30</v>
      </c>
      <c r="F227" s="7"/>
      <c r="G227" s="7"/>
      <c r="H227" s="8" t="str">
        <f>IF(A227="","",(('بيانات الموظفين'!G227+'بيانات الموظفين'!H227)/30)*MIN(30,MAX(0,E227))+F227+G227)</f>
        <v/>
      </c>
      <c r="I227" s="8" t="str">
        <f>IF(A227="","",MIN(16700,MAX(2700,'بيانات الموظفين'!I227))*11%)</f>
        <v/>
      </c>
      <c r="J227" s="8" t="str">
        <f>IF(A227="","",MAX(0,ROUNDDOWN(H227*12-I227*12-20000,-1)))</f>
        <v/>
      </c>
      <c r="K227" s="8" t="str">
        <f>IF(A227="","",MAX(0,(IF(J227&lt;=40000,0,IF(J227&lt;=60000,(J227-40000)*10%,IF(J227&lt;=70000,2000+(J227-60000)*15%,IF(J227&lt;=200000,3500+(J227-70000)*20%,IF(J227&lt;=400000,29500+(J227-200000)*22.5%,IF(J227&lt;=1000000,74500+(J227-400000)*25%,224500+(J227-1000000)*27.5%)))))))/12))</f>
        <v/>
      </c>
      <c r="L227" s="8" t="str">
        <f>IF(A227="","",IF('كشف التوقيع والملخص'!$B$3="نعم",MAX(0,H227-10000)*0.003,0))</f>
        <v/>
      </c>
      <c r="M227" s="8" t="str">
        <f>IF(A227="","",I227+K227+L227)</f>
        <v/>
      </c>
      <c r="N227" s="8" t="str">
        <f>IF(A227="","",H227-M227)</f>
        <v/>
      </c>
    </row>
    <row r="228" spans="1:14" ht="14.25" x14ac:dyDescent="0.15">
      <c r="A228" s="5" t="str">
        <f>IF('بيانات الموظفين'!A228="","",'بيانات الموظفين'!A228)</f>
        <v/>
      </c>
      <c r="B228" s="5" t="str">
        <f>IF(A228="","",'بيانات الموظفين'!B228)</f>
        <v/>
      </c>
      <c r="C228" s="6" t="s">
        <v>25</v>
      </c>
      <c r="D228" s="6">
        <v>2026</v>
      </c>
      <c r="E228" s="6">
        <v>30</v>
      </c>
      <c r="F228" s="7"/>
      <c r="G228" s="7"/>
      <c r="H228" s="8" t="str">
        <f>IF(A228="","",(('بيانات الموظفين'!G228+'بيانات الموظفين'!H228)/30)*MIN(30,MAX(0,E228))+F228+G228)</f>
        <v/>
      </c>
      <c r="I228" s="8" t="str">
        <f>IF(A228="","",MIN(16700,MAX(2700,'بيانات الموظفين'!I228))*11%)</f>
        <v/>
      </c>
      <c r="J228" s="8" t="str">
        <f>IF(A228="","",MAX(0,ROUNDDOWN(H228*12-I228*12-20000,-1)))</f>
        <v/>
      </c>
      <c r="K228" s="8" t="str">
        <f>IF(A228="","",MAX(0,(IF(J228&lt;=40000,0,IF(J228&lt;=60000,(J228-40000)*10%,IF(J228&lt;=70000,2000+(J228-60000)*15%,IF(J228&lt;=200000,3500+(J228-70000)*20%,IF(J228&lt;=400000,29500+(J228-200000)*22.5%,IF(J228&lt;=1000000,74500+(J228-400000)*25%,224500+(J228-1000000)*27.5%)))))))/12))</f>
        <v/>
      </c>
      <c r="L228" s="8" t="str">
        <f>IF(A228="","",IF('كشف التوقيع والملخص'!$B$3="نعم",MAX(0,H228-10000)*0.003,0))</f>
        <v/>
      </c>
      <c r="M228" s="8" t="str">
        <f>IF(A228="","",I228+K228+L228)</f>
        <v/>
      </c>
      <c r="N228" s="8" t="str">
        <f>IF(A228="","",H228-M228)</f>
        <v/>
      </c>
    </row>
    <row r="229" spans="1:14" ht="14.25" x14ac:dyDescent="0.15">
      <c r="A229" s="5" t="str">
        <f>IF('بيانات الموظفين'!A229="","",'بيانات الموظفين'!A229)</f>
        <v/>
      </c>
      <c r="B229" s="5" t="str">
        <f>IF(A229="","",'بيانات الموظفين'!B229)</f>
        <v/>
      </c>
      <c r="C229" s="6" t="s">
        <v>25</v>
      </c>
      <c r="D229" s="6">
        <v>2026</v>
      </c>
      <c r="E229" s="6">
        <v>30</v>
      </c>
      <c r="F229" s="7"/>
      <c r="G229" s="7"/>
      <c r="H229" s="8" t="str">
        <f>IF(A229="","",(('بيانات الموظفين'!G229+'بيانات الموظفين'!H229)/30)*MIN(30,MAX(0,E229))+F229+G229)</f>
        <v/>
      </c>
      <c r="I229" s="8" t="str">
        <f>IF(A229="","",MIN(16700,MAX(2700,'بيانات الموظفين'!I229))*11%)</f>
        <v/>
      </c>
      <c r="J229" s="8" t="str">
        <f>IF(A229="","",MAX(0,ROUNDDOWN(H229*12-I229*12-20000,-1)))</f>
        <v/>
      </c>
      <c r="K229" s="8" t="str">
        <f>IF(A229="","",MAX(0,(IF(J229&lt;=40000,0,IF(J229&lt;=60000,(J229-40000)*10%,IF(J229&lt;=70000,2000+(J229-60000)*15%,IF(J229&lt;=200000,3500+(J229-70000)*20%,IF(J229&lt;=400000,29500+(J229-200000)*22.5%,IF(J229&lt;=1000000,74500+(J229-400000)*25%,224500+(J229-1000000)*27.5%)))))))/12))</f>
        <v/>
      </c>
      <c r="L229" s="8" t="str">
        <f>IF(A229="","",IF('كشف التوقيع والملخص'!$B$3="نعم",MAX(0,H229-10000)*0.003,0))</f>
        <v/>
      </c>
      <c r="M229" s="8" t="str">
        <f>IF(A229="","",I229+K229+L229)</f>
        <v/>
      </c>
      <c r="N229" s="8" t="str">
        <f>IF(A229="","",H229-M229)</f>
        <v/>
      </c>
    </row>
    <row r="230" spans="1:14" ht="14.25" x14ac:dyDescent="0.15">
      <c r="A230" s="5" t="str">
        <f>IF('بيانات الموظفين'!A230="","",'بيانات الموظفين'!A230)</f>
        <v/>
      </c>
      <c r="B230" s="5" t="str">
        <f>IF(A230="","",'بيانات الموظفين'!B230)</f>
        <v/>
      </c>
      <c r="C230" s="6" t="s">
        <v>25</v>
      </c>
      <c r="D230" s="6">
        <v>2026</v>
      </c>
      <c r="E230" s="6">
        <v>30</v>
      </c>
      <c r="F230" s="7"/>
      <c r="G230" s="7"/>
      <c r="H230" s="8" t="str">
        <f>IF(A230="","",(('بيانات الموظفين'!G230+'بيانات الموظفين'!H230)/30)*MIN(30,MAX(0,E230))+F230+G230)</f>
        <v/>
      </c>
      <c r="I230" s="8" t="str">
        <f>IF(A230="","",MIN(16700,MAX(2700,'بيانات الموظفين'!I230))*11%)</f>
        <v/>
      </c>
      <c r="J230" s="8" t="str">
        <f>IF(A230="","",MAX(0,ROUNDDOWN(H230*12-I230*12-20000,-1)))</f>
        <v/>
      </c>
      <c r="K230" s="8" t="str">
        <f>IF(A230="","",MAX(0,(IF(J230&lt;=40000,0,IF(J230&lt;=60000,(J230-40000)*10%,IF(J230&lt;=70000,2000+(J230-60000)*15%,IF(J230&lt;=200000,3500+(J230-70000)*20%,IF(J230&lt;=400000,29500+(J230-200000)*22.5%,IF(J230&lt;=1000000,74500+(J230-400000)*25%,224500+(J230-1000000)*27.5%)))))))/12))</f>
        <v/>
      </c>
      <c r="L230" s="8" t="str">
        <f>IF(A230="","",IF('كشف التوقيع والملخص'!$B$3="نعم",MAX(0,H230-10000)*0.003,0))</f>
        <v/>
      </c>
      <c r="M230" s="8" t="str">
        <f>IF(A230="","",I230+K230+L230)</f>
        <v/>
      </c>
      <c r="N230" s="8" t="str">
        <f>IF(A230="","",H230-M230)</f>
        <v/>
      </c>
    </row>
    <row r="231" spans="1:14" ht="14.25" x14ac:dyDescent="0.15">
      <c r="A231" s="5" t="str">
        <f>IF('بيانات الموظفين'!A231="","",'بيانات الموظفين'!A231)</f>
        <v/>
      </c>
      <c r="B231" s="5" t="str">
        <f>IF(A231="","",'بيانات الموظفين'!B231)</f>
        <v/>
      </c>
      <c r="C231" s="6" t="s">
        <v>25</v>
      </c>
      <c r="D231" s="6">
        <v>2026</v>
      </c>
      <c r="E231" s="6">
        <v>30</v>
      </c>
      <c r="F231" s="7"/>
      <c r="G231" s="7"/>
      <c r="H231" s="8" t="str">
        <f>IF(A231="","",(('بيانات الموظفين'!G231+'بيانات الموظفين'!H231)/30)*MIN(30,MAX(0,E231))+F231+G231)</f>
        <v/>
      </c>
      <c r="I231" s="8" t="str">
        <f>IF(A231="","",MIN(16700,MAX(2700,'بيانات الموظفين'!I231))*11%)</f>
        <v/>
      </c>
      <c r="J231" s="8" t="str">
        <f>IF(A231="","",MAX(0,ROUNDDOWN(H231*12-I231*12-20000,-1)))</f>
        <v/>
      </c>
      <c r="K231" s="8" t="str">
        <f>IF(A231="","",MAX(0,(IF(J231&lt;=40000,0,IF(J231&lt;=60000,(J231-40000)*10%,IF(J231&lt;=70000,2000+(J231-60000)*15%,IF(J231&lt;=200000,3500+(J231-70000)*20%,IF(J231&lt;=400000,29500+(J231-200000)*22.5%,IF(J231&lt;=1000000,74500+(J231-400000)*25%,224500+(J231-1000000)*27.5%)))))))/12))</f>
        <v/>
      </c>
      <c r="L231" s="8" t="str">
        <f>IF(A231="","",IF('كشف التوقيع والملخص'!$B$3="نعم",MAX(0,H231-10000)*0.003,0))</f>
        <v/>
      </c>
      <c r="M231" s="8" t="str">
        <f>IF(A231="","",I231+K231+L231)</f>
        <v/>
      </c>
      <c r="N231" s="8" t="str">
        <f>IF(A231="","",H231-M231)</f>
        <v/>
      </c>
    </row>
    <row r="232" spans="1:14" ht="14.25" x14ac:dyDescent="0.15">
      <c r="A232" s="5" t="str">
        <f>IF('بيانات الموظفين'!A232="","",'بيانات الموظفين'!A232)</f>
        <v/>
      </c>
      <c r="B232" s="5" t="str">
        <f>IF(A232="","",'بيانات الموظفين'!B232)</f>
        <v/>
      </c>
      <c r="C232" s="6" t="s">
        <v>25</v>
      </c>
      <c r="D232" s="6">
        <v>2026</v>
      </c>
      <c r="E232" s="6">
        <v>30</v>
      </c>
      <c r="F232" s="7"/>
      <c r="G232" s="7"/>
      <c r="H232" s="8" t="str">
        <f>IF(A232="","",(('بيانات الموظفين'!G232+'بيانات الموظفين'!H232)/30)*MIN(30,MAX(0,E232))+F232+G232)</f>
        <v/>
      </c>
      <c r="I232" s="8" t="str">
        <f>IF(A232="","",MIN(16700,MAX(2700,'بيانات الموظفين'!I232))*11%)</f>
        <v/>
      </c>
      <c r="J232" s="8" t="str">
        <f>IF(A232="","",MAX(0,ROUNDDOWN(H232*12-I232*12-20000,-1)))</f>
        <v/>
      </c>
      <c r="K232" s="8" t="str">
        <f>IF(A232="","",MAX(0,(IF(J232&lt;=40000,0,IF(J232&lt;=60000,(J232-40000)*10%,IF(J232&lt;=70000,2000+(J232-60000)*15%,IF(J232&lt;=200000,3500+(J232-70000)*20%,IF(J232&lt;=400000,29500+(J232-200000)*22.5%,IF(J232&lt;=1000000,74500+(J232-400000)*25%,224500+(J232-1000000)*27.5%)))))))/12))</f>
        <v/>
      </c>
      <c r="L232" s="8" t="str">
        <f>IF(A232="","",IF('كشف التوقيع والملخص'!$B$3="نعم",MAX(0,H232-10000)*0.003,0))</f>
        <v/>
      </c>
      <c r="M232" s="8" t="str">
        <f>IF(A232="","",I232+K232+L232)</f>
        <v/>
      </c>
      <c r="N232" s="8" t="str">
        <f>IF(A232="","",H232-M232)</f>
        <v/>
      </c>
    </row>
    <row r="233" spans="1:14" ht="14.25" x14ac:dyDescent="0.15">
      <c r="A233" s="5" t="str">
        <f>IF('بيانات الموظفين'!A233="","",'بيانات الموظفين'!A233)</f>
        <v/>
      </c>
      <c r="B233" s="5" t="str">
        <f>IF(A233="","",'بيانات الموظفين'!B233)</f>
        <v/>
      </c>
      <c r="C233" s="6" t="s">
        <v>25</v>
      </c>
      <c r="D233" s="6">
        <v>2026</v>
      </c>
      <c r="E233" s="6">
        <v>30</v>
      </c>
      <c r="F233" s="7"/>
      <c r="G233" s="7"/>
      <c r="H233" s="8" t="str">
        <f>IF(A233="","",(('بيانات الموظفين'!G233+'بيانات الموظفين'!H233)/30)*MIN(30,MAX(0,E233))+F233+G233)</f>
        <v/>
      </c>
      <c r="I233" s="8" t="str">
        <f>IF(A233="","",MIN(16700,MAX(2700,'بيانات الموظفين'!I233))*11%)</f>
        <v/>
      </c>
      <c r="J233" s="8" t="str">
        <f>IF(A233="","",MAX(0,ROUNDDOWN(H233*12-I233*12-20000,-1)))</f>
        <v/>
      </c>
      <c r="K233" s="8" t="str">
        <f>IF(A233="","",MAX(0,(IF(J233&lt;=40000,0,IF(J233&lt;=60000,(J233-40000)*10%,IF(J233&lt;=70000,2000+(J233-60000)*15%,IF(J233&lt;=200000,3500+(J233-70000)*20%,IF(J233&lt;=400000,29500+(J233-200000)*22.5%,IF(J233&lt;=1000000,74500+(J233-400000)*25%,224500+(J233-1000000)*27.5%)))))))/12))</f>
        <v/>
      </c>
      <c r="L233" s="8" t="str">
        <f>IF(A233="","",IF('كشف التوقيع والملخص'!$B$3="نعم",MAX(0,H233-10000)*0.003,0))</f>
        <v/>
      </c>
      <c r="M233" s="8" t="str">
        <f>IF(A233="","",I233+K233+L233)</f>
        <v/>
      </c>
      <c r="N233" s="8" t="str">
        <f>IF(A233="","",H233-M233)</f>
        <v/>
      </c>
    </row>
    <row r="234" spans="1:14" ht="14.25" x14ac:dyDescent="0.15">
      <c r="A234" s="5" t="str">
        <f>IF('بيانات الموظفين'!A234="","",'بيانات الموظفين'!A234)</f>
        <v/>
      </c>
      <c r="B234" s="5" t="str">
        <f>IF(A234="","",'بيانات الموظفين'!B234)</f>
        <v/>
      </c>
      <c r="C234" s="6" t="s">
        <v>25</v>
      </c>
      <c r="D234" s="6">
        <v>2026</v>
      </c>
      <c r="E234" s="6">
        <v>30</v>
      </c>
      <c r="F234" s="7"/>
      <c r="G234" s="7"/>
      <c r="H234" s="8" t="str">
        <f>IF(A234="","",(('بيانات الموظفين'!G234+'بيانات الموظفين'!H234)/30)*MIN(30,MAX(0,E234))+F234+G234)</f>
        <v/>
      </c>
      <c r="I234" s="8" t="str">
        <f>IF(A234="","",MIN(16700,MAX(2700,'بيانات الموظفين'!I234))*11%)</f>
        <v/>
      </c>
      <c r="J234" s="8" t="str">
        <f>IF(A234="","",MAX(0,ROUNDDOWN(H234*12-I234*12-20000,-1)))</f>
        <v/>
      </c>
      <c r="K234" s="8" t="str">
        <f>IF(A234="","",MAX(0,(IF(J234&lt;=40000,0,IF(J234&lt;=60000,(J234-40000)*10%,IF(J234&lt;=70000,2000+(J234-60000)*15%,IF(J234&lt;=200000,3500+(J234-70000)*20%,IF(J234&lt;=400000,29500+(J234-200000)*22.5%,IF(J234&lt;=1000000,74500+(J234-400000)*25%,224500+(J234-1000000)*27.5%)))))))/12))</f>
        <v/>
      </c>
      <c r="L234" s="8" t="str">
        <f>IF(A234="","",IF('كشف التوقيع والملخص'!$B$3="نعم",MAX(0,H234-10000)*0.003,0))</f>
        <v/>
      </c>
      <c r="M234" s="8" t="str">
        <f>IF(A234="","",I234+K234+L234)</f>
        <v/>
      </c>
      <c r="N234" s="8" t="str">
        <f>IF(A234="","",H234-M234)</f>
        <v/>
      </c>
    </row>
    <row r="235" spans="1:14" ht="14.25" x14ac:dyDescent="0.15">
      <c r="A235" s="5" t="str">
        <f>IF('بيانات الموظفين'!A235="","",'بيانات الموظفين'!A235)</f>
        <v/>
      </c>
      <c r="B235" s="5" t="str">
        <f>IF(A235="","",'بيانات الموظفين'!B235)</f>
        <v/>
      </c>
      <c r="C235" s="6" t="s">
        <v>25</v>
      </c>
      <c r="D235" s="6">
        <v>2026</v>
      </c>
      <c r="E235" s="6">
        <v>30</v>
      </c>
      <c r="F235" s="7"/>
      <c r="G235" s="7"/>
      <c r="H235" s="8" t="str">
        <f>IF(A235="","",(('بيانات الموظفين'!G235+'بيانات الموظفين'!H235)/30)*MIN(30,MAX(0,E235))+F235+G235)</f>
        <v/>
      </c>
      <c r="I235" s="8" t="str">
        <f>IF(A235="","",MIN(16700,MAX(2700,'بيانات الموظفين'!I235))*11%)</f>
        <v/>
      </c>
      <c r="J235" s="8" t="str">
        <f>IF(A235="","",MAX(0,ROUNDDOWN(H235*12-I235*12-20000,-1)))</f>
        <v/>
      </c>
      <c r="K235" s="8" t="str">
        <f>IF(A235="","",MAX(0,(IF(J235&lt;=40000,0,IF(J235&lt;=60000,(J235-40000)*10%,IF(J235&lt;=70000,2000+(J235-60000)*15%,IF(J235&lt;=200000,3500+(J235-70000)*20%,IF(J235&lt;=400000,29500+(J235-200000)*22.5%,IF(J235&lt;=1000000,74500+(J235-400000)*25%,224500+(J235-1000000)*27.5%)))))))/12))</f>
        <v/>
      </c>
      <c r="L235" s="8" t="str">
        <f>IF(A235="","",IF('كشف التوقيع والملخص'!$B$3="نعم",MAX(0,H235-10000)*0.003,0))</f>
        <v/>
      </c>
      <c r="M235" s="8" t="str">
        <f>IF(A235="","",I235+K235+L235)</f>
        <v/>
      </c>
      <c r="N235" s="8" t="str">
        <f>IF(A235="","",H235-M235)</f>
        <v/>
      </c>
    </row>
    <row r="236" spans="1:14" ht="14.25" x14ac:dyDescent="0.15">
      <c r="A236" s="5" t="str">
        <f>IF('بيانات الموظفين'!A236="","",'بيانات الموظفين'!A236)</f>
        <v/>
      </c>
      <c r="B236" s="5" t="str">
        <f>IF(A236="","",'بيانات الموظفين'!B236)</f>
        <v/>
      </c>
      <c r="C236" s="6" t="s">
        <v>25</v>
      </c>
      <c r="D236" s="6">
        <v>2026</v>
      </c>
      <c r="E236" s="6">
        <v>30</v>
      </c>
      <c r="F236" s="7"/>
      <c r="G236" s="7"/>
      <c r="H236" s="8" t="str">
        <f>IF(A236="","",(('بيانات الموظفين'!G236+'بيانات الموظفين'!H236)/30)*MIN(30,MAX(0,E236))+F236+G236)</f>
        <v/>
      </c>
      <c r="I236" s="8" t="str">
        <f>IF(A236="","",MIN(16700,MAX(2700,'بيانات الموظفين'!I236))*11%)</f>
        <v/>
      </c>
      <c r="J236" s="8" t="str">
        <f>IF(A236="","",MAX(0,ROUNDDOWN(H236*12-I236*12-20000,-1)))</f>
        <v/>
      </c>
      <c r="K236" s="8" t="str">
        <f>IF(A236="","",MAX(0,(IF(J236&lt;=40000,0,IF(J236&lt;=60000,(J236-40000)*10%,IF(J236&lt;=70000,2000+(J236-60000)*15%,IF(J236&lt;=200000,3500+(J236-70000)*20%,IF(J236&lt;=400000,29500+(J236-200000)*22.5%,IF(J236&lt;=1000000,74500+(J236-400000)*25%,224500+(J236-1000000)*27.5%)))))))/12))</f>
        <v/>
      </c>
      <c r="L236" s="8" t="str">
        <f>IF(A236="","",IF('كشف التوقيع والملخص'!$B$3="نعم",MAX(0,H236-10000)*0.003,0))</f>
        <v/>
      </c>
      <c r="M236" s="8" t="str">
        <f>IF(A236="","",I236+K236+L236)</f>
        <v/>
      </c>
      <c r="N236" s="8" t="str">
        <f>IF(A236="","",H236-M236)</f>
        <v/>
      </c>
    </row>
    <row r="237" spans="1:14" ht="14.25" x14ac:dyDescent="0.15">
      <c r="A237" s="5" t="str">
        <f>IF('بيانات الموظفين'!A237="","",'بيانات الموظفين'!A237)</f>
        <v/>
      </c>
      <c r="B237" s="5" t="str">
        <f>IF(A237="","",'بيانات الموظفين'!B237)</f>
        <v/>
      </c>
      <c r="C237" s="6" t="s">
        <v>25</v>
      </c>
      <c r="D237" s="6">
        <v>2026</v>
      </c>
      <c r="E237" s="6">
        <v>30</v>
      </c>
      <c r="F237" s="7"/>
      <c r="G237" s="7"/>
      <c r="H237" s="8" t="str">
        <f>IF(A237="","",(('بيانات الموظفين'!G237+'بيانات الموظفين'!H237)/30)*MIN(30,MAX(0,E237))+F237+G237)</f>
        <v/>
      </c>
      <c r="I237" s="8" t="str">
        <f>IF(A237="","",MIN(16700,MAX(2700,'بيانات الموظفين'!I237))*11%)</f>
        <v/>
      </c>
      <c r="J237" s="8" t="str">
        <f>IF(A237="","",MAX(0,ROUNDDOWN(H237*12-I237*12-20000,-1)))</f>
        <v/>
      </c>
      <c r="K237" s="8" t="str">
        <f>IF(A237="","",MAX(0,(IF(J237&lt;=40000,0,IF(J237&lt;=60000,(J237-40000)*10%,IF(J237&lt;=70000,2000+(J237-60000)*15%,IF(J237&lt;=200000,3500+(J237-70000)*20%,IF(J237&lt;=400000,29500+(J237-200000)*22.5%,IF(J237&lt;=1000000,74500+(J237-400000)*25%,224500+(J237-1000000)*27.5%)))))))/12))</f>
        <v/>
      </c>
      <c r="L237" s="8" t="str">
        <f>IF(A237="","",IF('كشف التوقيع والملخص'!$B$3="نعم",MAX(0,H237-10000)*0.003,0))</f>
        <v/>
      </c>
      <c r="M237" s="8" t="str">
        <f>IF(A237="","",I237+K237+L237)</f>
        <v/>
      </c>
      <c r="N237" s="8" t="str">
        <f>IF(A237="","",H237-M237)</f>
        <v/>
      </c>
    </row>
    <row r="238" spans="1:14" ht="14.25" x14ac:dyDescent="0.15">
      <c r="A238" s="5" t="str">
        <f>IF('بيانات الموظفين'!A238="","",'بيانات الموظفين'!A238)</f>
        <v/>
      </c>
      <c r="B238" s="5" t="str">
        <f>IF(A238="","",'بيانات الموظفين'!B238)</f>
        <v/>
      </c>
      <c r="C238" s="6" t="s">
        <v>25</v>
      </c>
      <c r="D238" s="6">
        <v>2026</v>
      </c>
      <c r="E238" s="6">
        <v>30</v>
      </c>
      <c r="F238" s="7"/>
      <c r="G238" s="7"/>
      <c r="H238" s="8" t="str">
        <f>IF(A238="","",(('بيانات الموظفين'!G238+'بيانات الموظفين'!H238)/30)*MIN(30,MAX(0,E238))+F238+G238)</f>
        <v/>
      </c>
      <c r="I238" s="8" t="str">
        <f>IF(A238="","",MIN(16700,MAX(2700,'بيانات الموظفين'!I238))*11%)</f>
        <v/>
      </c>
      <c r="J238" s="8" t="str">
        <f>IF(A238="","",MAX(0,ROUNDDOWN(H238*12-I238*12-20000,-1)))</f>
        <v/>
      </c>
      <c r="K238" s="8" t="str">
        <f>IF(A238="","",MAX(0,(IF(J238&lt;=40000,0,IF(J238&lt;=60000,(J238-40000)*10%,IF(J238&lt;=70000,2000+(J238-60000)*15%,IF(J238&lt;=200000,3500+(J238-70000)*20%,IF(J238&lt;=400000,29500+(J238-200000)*22.5%,IF(J238&lt;=1000000,74500+(J238-400000)*25%,224500+(J238-1000000)*27.5%)))))))/12))</f>
        <v/>
      </c>
      <c r="L238" s="8" t="str">
        <f>IF(A238="","",IF('كشف التوقيع والملخص'!$B$3="نعم",MAX(0,H238-10000)*0.003,0))</f>
        <v/>
      </c>
      <c r="M238" s="8" t="str">
        <f>IF(A238="","",I238+K238+L238)</f>
        <v/>
      </c>
      <c r="N238" s="8" t="str">
        <f>IF(A238="","",H238-M238)</f>
        <v/>
      </c>
    </row>
    <row r="239" spans="1:14" ht="14.25" x14ac:dyDescent="0.15">
      <c r="A239" s="5" t="str">
        <f>IF('بيانات الموظفين'!A239="","",'بيانات الموظفين'!A239)</f>
        <v/>
      </c>
      <c r="B239" s="5" t="str">
        <f>IF(A239="","",'بيانات الموظفين'!B239)</f>
        <v/>
      </c>
      <c r="C239" s="6" t="s">
        <v>25</v>
      </c>
      <c r="D239" s="6">
        <v>2026</v>
      </c>
      <c r="E239" s="6">
        <v>30</v>
      </c>
      <c r="F239" s="7"/>
      <c r="G239" s="7"/>
      <c r="H239" s="8" t="str">
        <f>IF(A239="","",(('بيانات الموظفين'!G239+'بيانات الموظفين'!H239)/30)*MIN(30,MAX(0,E239))+F239+G239)</f>
        <v/>
      </c>
      <c r="I239" s="8" t="str">
        <f>IF(A239="","",MIN(16700,MAX(2700,'بيانات الموظفين'!I239))*11%)</f>
        <v/>
      </c>
      <c r="J239" s="8" t="str">
        <f>IF(A239="","",MAX(0,ROUNDDOWN(H239*12-I239*12-20000,-1)))</f>
        <v/>
      </c>
      <c r="K239" s="8" t="str">
        <f>IF(A239="","",MAX(0,(IF(J239&lt;=40000,0,IF(J239&lt;=60000,(J239-40000)*10%,IF(J239&lt;=70000,2000+(J239-60000)*15%,IF(J239&lt;=200000,3500+(J239-70000)*20%,IF(J239&lt;=400000,29500+(J239-200000)*22.5%,IF(J239&lt;=1000000,74500+(J239-400000)*25%,224500+(J239-1000000)*27.5%)))))))/12))</f>
        <v/>
      </c>
      <c r="L239" s="8" t="str">
        <f>IF(A239="","",IF('كشف التوقيع والملخص'!$B$3="نعم",MAX(0,H239-10000)*0.003,0))</f>
        <v/>
      </c>
      <c r="M239" s="8" t="str">
        <f>IF(A239="","",I239+K239+L239)</f>
        <v/>
      </c>
      <c r="N239" s="8" t="str">
        <f>IF(A239="","",H239-M239)</f>
        <v/>
      </c>
    </row>
    <row r="240" spans="1:14" ht="14.25" x14ac:dyDescent="0.15">
      <c r="A240" s="5" t="str">
        <f>IF('بيانات الموظفين'!A240="","",'بيانات الموظفين'!A240)</f>
        <v/>
      </c>
      <c r="B240" s="5" t="str">
        <f>IF(A240="","",'بيانات الموظفين'!B240)</f>
        <v/>
      </c>
      <c r="C240" s="6" t="s">
        <v>25</v>
      </c>
      <c r="D240" s="6">
        <v>2026</v>
      </c>
      <c r="E240" s="6">
        <v>30</v>
      </c>
      <c r="F240" s="7"/>
      <c r="G240" s="7"/>
      <c r="H240" s="8" t="str">
        <f>IF(A240="","",(('بيانات الموظفين'!G240+'بيانات الموظفين'!H240)/30)*MIN(30,MAX(0,E240))+F240+G240)</f>
        <v/>
      </c>
      <c r="I240" s="8" t="str">
        <f>IF(A240="","",MIN(16700,MAX(2700,'بيانات الموظفين'!I240))*11%)</f>
        <v/>
      </c>
      <c r="J240" s="8" t="str">
        <f>IF(A240="","",MAX(0,ROUNDDOWN(H240*12-I240*12-20000,-1)))</f>
        <v/>
      </c>
      <c r="K240" s="8" t="str">
        <f>IF(A240="","",MAX(0,(IF(J240&lt;=40000,0,IF(J240&lt;=60000,(J240-40000)*10%,IF(J240&lt;=70000,2000+(J240-60000)*15%,IF(J240&lt;=200000,3500+(J240-70000)*20%,IF(J240&lt;=400000,29500+(J240-200000)*22.5%,IF(J240&lt;=1000000,74500+(J240-400000)*25%,224500+(J240-1000000)*27.5%)))))))/12))</f>
        <v/>
      </c>
      <c r="L240" s="8" t="str">
        <f>IF(A240="","",IF('كشف التوقيع والملخص'!$B$3="نعم",MAX(0,H240-10000)*0.003,0))</f>
        <v/>
      </c>
      <c r="M240" s="8" t="str">
        <f>IF(A240="","",I240+K240+L240)</f>
        <v/>
      </c>
      <c r="N240" s="8" t="str">
        <f>IF(A240="","",H240-M240)</f>
        <v/>
      </c>
    </row>
    <row r="241" spans="1:14" ht="14.25" x14ac:dyDescent="0.15">
      <c r="A241" s="5" t="str">
        <f>IF('بيانات الموظفين'!A241="","",'بيانات الموظفين'!A241)</f>
        <v/>
      </c>
      <c r="B241" s="5" t="str">
        <f>IF(A241="","",'بيانات الموظفين'!B241)</f>
        <v/>
      </c>
      <c r="C241" s="6" t="s">
        <v>25</v>
      </c>
      <c r="D241" s="6">
        <v>2026</v>
      </c>
      <c r="E241" s="6">
        <v>30</v>
      </c>
      <c r="F241" s="7"/>
      <c r="G241" s="7"/>
      <c r="H241" s="8" t="str">
        <f>IF(A241="","",(('بيانات الموظفين'!G241+'بيانات الموظفين'!H241)/30)*MIN(30,MAX(0,E241))+F241+G241)</f>
        <v/>
      </c>
      <c r="I241" s="8" t="str">
        <f>IF(A241="","",MIN(16700,MAX(2700,'بيانات الموظفين'!I241))*11%)</f>
        <v/>
      </c>
      <c r="J241" s="8" t="str">
        <f>IF(A241="","",MAX(0,ROUNDDOWN(H241*12-I241*12-20000,-1)))</f>
        <v/>
      </c>
      <c r="K241" s="8" t="str">
        <f>IF(A241="","",MAX(0,(IF(J241&lt;=40000,0,IF(J241&lt;=60000,(J241-40000)*10%,IF(J241&lt;=70000,2000+(J241-60000)*15%,IF(J241&lt;=200000,3500+(J241-70000)*20%,IF(J241&lt;=400000,29500+(J241-200000)*22.5%,IF(J241&lt;=1000000,74500+(J241-400000)*25%,224500+(J241-1000000)*27.5%)))))))/12))</f>
        <v/>
      </c>
      <c r="L241" s="8" t="str">
        <f>IF(A241="","",IF('كشف التوقيع والملخص'!$B$3="نعم",MAX(0,H241-10000)*0.003,0))</f>
        <v/>
      </c>
      <c r="M241" s="8" t="str">
        <f>IF(A241="","",I241+K241+L241)</f>
        <v/>
      </c>
      <c r="N241" s="8" t="str">
        <f>IF(A241="","",H241-M241)</f>
        <v/>
      </c>
    </row>
    <row r="242" spans="1:14" ht="14.25" x14ac:dyDescent="0.15">
      <c r="A242" s="5" t="str">
        <f>IF('بيانات الموظفين'!A242="","",'بيانات الموظفين'!A242)</f>
        <v/>
      </c>
      <c r="B242" s="5" t="str">
        <f>IF(A242="","",'بيانات الموظفين'!B242)</f>
        <v/>
      </c>
      <c r="C242" s="6" t="s">
        <v>25</v>
      </c>
      <c r="D242" s="6">
        <v>2026</v>
      </c>
      <c r="E242" s="6">
        <v>30</v>
      </c>
      <c r="F242" s="7"/>
      <c r="G242" s="7"/>
      <c r="H242" s="8" t="str">
        <f>IF(A242="","",(('بيانات الموظفين'!G242+'بيانات الموظفين'!H242)/30)*MIN(30,MAX(0,E242))+F242+G242)</f>
        <v/>
      </c>
      <c r="I242" s="8" t="str">
        <f>IF(A242="","",MIN(16700,MAX(2700,'بيانات الموظفين'!I242))*11%)</f>
        <v/>
      </c>
      <c r="J242" s="8" t="str">
        <f>IF(A242="","",MAX(0,ROUNDDOWN(H242*12-I242*12-20000,-1)))</f>
        <v/>
      </c>
      <c r="K242" s="8" t="str">
        <f>IF(A242="","",MAX(0,(IF(J242&lt;=40000,0,IF(J242&lt;=60000,(J242-40000)*10%,IF(J242&lt;=70000,2000+(J242-60000)*15%,IF(J242&lt;=200000,3500+(J242-70000)*20%,IF(J242&lt;=400000,29500+(J242-200000)*22.5%,IF(J242&lt;=1000000,74500+(J242-400000)*25%,224500+(J242-1000000)*27.5%)))))))/12))</f>
        <v/>
      </c>
      <c r="L242" s="8" t="str">
        <f>IF(A242="","",IF('كشف التوقيع والملخص'!$B$3="نعم",MAX(0,H242-10000)*0.003,0))</f>
        <v/>
      </c>
      <c r="M242" s="8" t="str">
        <f>IF(A242="","",I242+K242+L242)</f>
        <v/>
      </c>
      <c r="N242" s="8" t="str">
        <f>IF(A242="","",H242-M242)</f>
        <v/>
      </c>
    </row>
    <row r="243" spans="1:14" ht="14.25" x14ac:dyDescent="0.15">
      <c r="A243" s="5" t="str">
        <f>IF('بيانات الموظفين'!A243="","",'بيانات الموظفين'!A243)</f>
        <v/>
      </c>
      <c r="B243" s="5" t="str">
        <f>IF(A243="","",'بيانات الموظفين'!B243)</f>
        <v/>
      </c>
      <c r="C243" s="6" t="s">
        <v>25</v>
      </c>
      <c r="D243" s="6">
        <v>2026</v>
      </c>
      <c r="E243" s="6">
        <v>30</v>
      </c>
      <c r="F243" s="7"/>
      <c r="G243" s="7"/>
      <c r="H243" s="8" t="str">
        <f>IF(A243="","",(('بيانات الموظفين'!G243+'بيانات الموظفين'!H243)/30)*MIN(30,MAX(0,E243))+F243+G243)</f>
        <v/>
      </c>
      <c r="I243" s="8" t="str">
        <f>IF(A243="","",MIN(16700,MAX(2700,'بيانات الموظفين'!I243))*11%)</f>
        <v/>
      </c>
      <c r="J243" s="8" t="str">
        <f>IF(A243="","",MAX(0,ROUNDDOWN(H243*12-I243*12-20000,-1)))</f>
        <v/>
      </c>
      <c r="K243" s="8" t="str">
        <f>IF(A243="","",MAX(0,(IF(J243&lt;=40000,0,IF(J243&lt;=60000,(J243-40000)*10%,IF(J243&lt;=70000,2000+(J243-60000)*15%,IF(J243&lt;=200000,3500+(J243-70000)*20%,IF(J243&lt;=400000,29500+(J243-200000)*22.5%,IF(J243&lt;=1000000,74500+(J243-400000)*25%,224500+(J243-1000000)*27.5%)))))))/12))</f>
        <v/>
      </c>
      <c r="L243" s="8" t="str">
        <f>IF(A243="","",IF('كشف التوقيع والملخص'!$B$3="نعم",MAX(0,H243-10000)*0.003,0))</f>
        <v/>
      </c>
      <c r="M243" s="8" t="str">
        <f>IF(A243="","",I243+K243+L243)</f>
        <v/>
      </c>
      <c r="N243" s="8" t="str">
        <f>IF(A243="","",H243-M243)</f>
        <v/>
      </c>
    </row>
    <row r="244" spans="1:14" ht="14.25" x14ac:dyDescent="0.15">
      <c r="A244" s="5" t="str">
        <f>IF('بيانات الموظفين'!A244="","",'بيانات الموظفين'!A244)</f>
        <v/>
      </c>
      <c r="B244" s="5" t="str">
        <f>IF(A244="","",'بيانات الموظفين'!B244)</f>
        <v/>
      </c>
      <c r="C244" s="6" t="s">
        <v>25</v>
      </c>
      <c r="D244" s="6">
        <v>2026</v>
      </c>
      <c r="E244" s="6">
        <v>30</v>
      </c>
      <c r="F244" s="7"/>
      <c r="G244" s="7"/>
      <c r="H244" s="8" t="str">
        <f>IF(A244="","",(('بيانات الموظفين'!G244+'بيانات الموظفين'!H244)/30)*MIN(30,MAX(0,E244))+F244+G244)</f>
        <v/>
      </c>
      <c r="I244" s="8" t="str">
        <f>IF(A244="","",MIN(16700,MAX(2700,'بيانات الموظفين'!I244))*11%)</f>
        <v/>
      </c>
      <c r="J244" s="8" t="str">
        <f>IF(A244="","",MAX(0,ROUNDDOWN(H244*12-I244*12-20000,-1)))</f>
        <v/>
      </c>
      <c r="K244" s="8" t="str">
        <f>IF(A244="","",MAX(0,(IF(J244&lt;=40000,0,IF(J244&lt;=60000,(J244-40000)*10%,IF(J244&lt;=70000,2000+(J244-60000)*15%,IF(J244&lt;=200000,3500+(J244-70000)*20%,IF(J244&lt;=400000,29500+(J244-200000)*22.5%,IF(J244&lt;=1000000,74500+(J244-400000)*25%,224500+(J244-1000000)*27.5%)))))))/12))</f>
        <v/>
      </c>
      <c r="L244" s="8" t="str">
        <f>IF(A244="","",IF('كشف التوقيع والملخص'!$B$3="نعم",MAX(0,H244-10000)*0.003,0))</f>
        <v/>
      </c>
      <c r="M244" s="8" t="str">
        <f>IF(A244="","",I244+K244+L244)</f>
        <v/>
      </c>
      <c r="N244" s="8" t="str">
        <f>IF(A244="","",H244-M244)</f>
        <v/>
      </c>
    </row>
    <row r="245" spans="1:14" ht="14.25" x14ac:dyDescent="0.15">
      <c r="A245" s="5" t="str">
        <f>IF('بيانات الموظفين'!A245="","",'بيانات الموظفين'!A245)</f>
        <v/>
      </c>
      <c r="B245" s="5" t="str">
        <f>IF(A245="","",'بيانات الموظفين'!B245)</f>
        <v/>
      </c>
      <c r="C245" s="6" t="s">
        <v>25</v>
      </c>
      <c r="D245" s="6">
        <v>2026</v>
      </c>
      <c r="E245" s="6">
        <v>30</v>
      </c>
      <c r="F245" s="7"/>
      <c r="G245" s="7"/>
      <c r="H245" s="8" t="str">
        <f>IF(A245="","",(('بيانات الموظفين'!G245+'بيانات الموظفين'!H245)/30)*MIN(30,MAX(0,E245))+F245+G245)</f>
        <v/>
      </c>
      <c r="I245" s="8" t="str">
        <f>IF(A245="","",MIN(16700,MAX(2700,'بيانات الموظفين'!I245))*11%)</f>
        <v/>
      </c>
      <c r="J245" s="8" t="str">
        <f>IF(A245="","",MAX(0,ROUNDDOWN(H245*12-I245*12-20000,-1)))</f>
        <v/>
      </c>
      <c r="K245" s="8" t="str">
        <f>IF(A245="","",MAX(0,(IF(J245&lt;=40000,0,IF(J245&lt;=60000,(J245-40000)*10%,IF(J245&lt;=70000,2000+(J245-60000)*15%,IF(J245&lt;=200000,3500+(J245-70000)*20%,IF(J245&lt;=400000,29500+(J245-200000)*22.5%,IF(J245&lt;=1000000,74500+(J245-400000)*25%,224500+(J245-1000000)*27.5%)))))))/12))</f>
        <v/>
      </c>
      <c r="L245" s="8" t="str">
        <f>IF(A245="","",IF('كشف التوقيع والملخص'!$B$3="نعم",MAX(0,H245-10000)*0.003,0))</f>
        <v/>
      </c>
      <c r="M245" s="8" t="str">
        <f>IF(A245="","",I245+K245+L245)</f>
        <v/>
      </c>
      <c r="N245" s="8" t="str">
        <f>IF(A245="","",H245-M245)</f>
        <v/>
      </c>
    </row>
    <row r="246" spans="1:14" ht="14.25" x14ac:dyDescent="0.15">
      <c r="A246" s="5" t="str">
        <f>IF('بيانات الموظفين'!A246="","",'بيانات الموظفين'!A246)</f>
        <v/>
      </c>
      <c r="B246" s="5" t="str">
        <f>IF(A246="","",'بيانات الموظفين'!B246)</f>
        <v/>
      </c>
      <c r="C246" s="6" t="s">
        <v>25</v>
      </c>
      <c r="D246" s="6">
        <v>2026</v>
      </c>
      <c r="E246" s="6">
        <v>30</v>
      </c>
      <c r="F246" s="7"/>
      <c r="G246" s="7"/>
      <c r="H246" s="8" t="str">
        <f>IF(A246="","",(('بيانات الموظفين'!G246+'بيانات الموظفين'!H246)/30)*MIN(30,MAX(0,E246))+F246+G246)</f>
        <v/>
      </c>
      <c r="I246" s="8" t="str">
        <f>IF(A246="","",MIN(16700,MAX(2700,'بيانات الموظفين'!I246))*11%)</f>
        <v/>
      </c>
      <c r="J246" s="8" t="str">
        <f>IF(A246="","",MAX(0,ROUNDDOWN(H246*12-I246*12-20000,-1)))</f>
        <v/>
      </c>
      <c r="K246" s="8" t="str">
        <f>IF(A246="","",MAX(0,(IF(J246&lt;=40000,0,IF(J246&lt;=60000,(J246-40000)*10%,IF(J246&lt;=70000,2000+(J246-60000)*15%,IF(J246&lt;=200000,3500+(J246-70000)*20%,IF(J246&lt;=400000,29500+(J246-200000)*22.5%,IF(J246&lt;=1000000,74500+(J246-400000)*25%,224500+(J246-1000000)*27.5%)))))))/12))</f>
        <v/>
      </c>
      <c r="L246" s="8" t="str">
        <f>IF(A246="","",IF('كشف التوقيع والملخص'!$B$3="نعم",MAX(0,H246-10000)*0.003,0))</f>
        <v/>
      </c>
      <c r="M246" s="8" t="str">
        <f>IF(A246="","",I246+K246+L246)</f>
        <v/>
      </c>
      <c r="N246" s="8" t="str">
        <f>IF(A246="","",H246-M246)</f>
        <v/>
      </c>
    </row>
    <row r="247" spans="1:14" ht="14.25" x14ac:dyDescent="0.15">
      <c r="A247" s="5" t="str">
        <f>IF('بيانات الموظفين'!A247="","",'بيانات الموظفين'!A247)</f>
        <v/>
      </c>
      <c r="B247" s="5" t="str">
        <f>IF(A247="","",'بيانات الموظفين'!B247)</f>
        <v/>
      </c>
      <c r="C247" s="6" t="s">
        <v>25</v>
      </c>
      <c r="D247" s="6">
        <v>2026</v>
      </c>
      <c r="E247" s="6">
        <v>30</v>
      </c>
      <c r="F247" s="7"/>
      <c r="G247" s="7"/>
      <c r="H247" s="8" t="str">
        <f>IF(A247="","",(('بيانات الموظفين'!G247+'بيانات الموظفين'!H247)/30)*MIN(30,MAX(0,E247))+F247+G247)</f>
        <v/>
      </c>
      <c r="I247" s="8" t="str">
        <f>IF(A247="","",MIN(16700,MAX(2700,'بيانات الموظفين'!I247))*11%)</f>
        <v/>
      </c>
      <c r="J247" s="8" t="str">
        <f>IF(A247="","",MAX(0,ROUNDDOWN(H247*12-I247*12-20000,-1)))</f>
        <v/>
      </c>
      <c r="K247" s="8" t="str">
        <f>IF(A247="","",MAX(0,(IF(J247&lt;=40000,0,IF(J247&lt;=60000,(J247-40000)*10%,IF(J247&lt;=70000,2000+(J247-60000)*15%,IF(J247&lt;=200000,3500+(J247-70000)*20%,IF(J247&lt;=400000,29500+(J247-200000)*22.5%,IF(J247&lt;=1000000,74500+(J247-400000)*25%,224500+(J247-1000000)*27.5%)))))))/12))</f>
        <v/>
      </c>
      <c r="L247" s="8" t="str">
        <f>IF(A247="","",IF('كشف التوقيع والملخص'!$B$3="نعم",MAX(0,H247-10000)*0.003,0))</f>
        <v/>
      </c>
      <c r="M247" s="8" t="str">
        <f>IF(A247="","",I247+K247+L247)</f>
        <v/>
      </c>
      <c r="N247" s="8" t="str">
        <f>IF(A247="","",H247-M247)</f>
        <v/>
      </c>
    </row>
    <row r="248" spans="1:14" ht="14.25" x14ac:dyDescent="0.15">
      <c r="A248" s="5" t="str">
        <f>IF('بيانات الموظفين'!A248="","",'بيانات الموظفين'!A248)</f>
        <v/>
      </c>
      <c r="B248" s="5" t="str">
        <f>IF(A248="","",'بيانات الموظفين'!B248)</f>
        <v/>
      </c>
      <c r="C248" s="6" t="s">
        <v>25</v>
      </c>
      <c r="D248" s="6">
        <v>2026</v>
      </c>
      <c r="E248" s="6">
        <v>30</v>
      </c>
      <c r="F248" s="7"/>
      <c r="G248" s="7"/>
      <c r="H248" s="8" t="str">
        <f>IF(A248="","",(('بيانات الموظفين'!G248+'بيانات الموظفين'!H248)/30)*MIN(30,MAX(0,E248))+F248+G248)</f>
        <v/>
      </c>
      <c r="I248" s="8" t="str">
        <f>IF(A248="","",MIN(16700,MAX(2700,'بيانات الموظفين'!I248))*11%)</f>
        <v/>
      </c>
      <c r="J248" s="8" t="str">
        <f>IF(A248="","",MAX(0,ROUNDDOWN(H248*12-I248*12-20000,-1)))</f>
        <v/>
      </c>
      <c r="K248" s="8" t="str">
        <f>IF(A248="","",MAX(0,(IF(J248&lt;=40000,0,IF(J248&lt;=60000,(J248-40000)*10%,IF(J248&lt;=70000,2000+(J248-60000)*15%,IF(J248&lt;=200000,3500+(J248-70000)*20%,IF(J248&lt;=400000,29500+(J248-200000)*22.5%,IF(J248&lt;=1000000,74500+(J248-400000)*25%,224500+(J248-1000000)*27.5%)))))))/12))</f>
        <v/>
      </c>
      <c r="L248" s="8" t="str">
        <f>IF(A248="","",IF('كشف التوقيع والملخص'!$B$3="نعم",MAX(0,H248-10000)*0.003,0))</f>
        <v/>
      </c>
      <c r="M248" s="8" t="str">
        <f>IF(A248="","",I248+K248+L248)</f>
        <v/>
      </c>
      <c r="N248" s="8" t="str">
        <f>IF(A248="","",H248-M248)</f>
        <v/>
      </c>
    </row>
    <row r="249" spans="1:14" ht="14.25" x14ac:dyDescent="0.15">
      <c r="A249" s="5" t="str">
        <f>IF('بيانات الموظفين'!A249="","",'بيانات الموظفين'!A249)</f>
        <v/>
      </c>
      <c r="B249" s="5" t="str">
        <f>IF(A249="","",'بيانات الموظفين'!B249)</f>
        <v/>
      </c>
      <c r="C249" s="6" t="s">
        <v>25</v>
      </c>
      <c r="D249" s="6">
        <v>2026</v>
      </c>
      <c r="E249" s="6">
        <v>30</v>
      </c>
      <c r="F249" s="7"/>
      <c r="G249" s="7"/>
      <c r="H249" s="8" t="str">
        <f>IF(A249="","",(('بيانات الموظفين'!G249+'بيانات الموظفين'!H249)/30)*MIN(30,MAX(0,E249))+F249+G249)</f>
        <v/>
      </c>
      <c r="I249" s="8" t="str">
        <f>IF(A249="","",MIN(16700,MAX(2700,'بيانات الموظفين'!I249))*11%)</f>
        <v/>
      </c>
      <c r="J249" s="8" t="str">
        <f>IF(A249="","",MAX(0,ROUNDDOWN(H249*12-I249*12-20000,-1)))</f>
        <v/>
      </c>
      <c r="K249" s="8" t="str">
        <f>IF(A249="","",MAX(0,(IF(J249&lt;=40000,0,IF(J249&lt;=60000,(J249-40000)*10%,IF(J249&lt;=70000,2000+(J249-60000)*15%,IF(J249&lt;=200000,3500+(J249-70000)*20%,IF(J249&lt;=400000,29500+(J249-200000)*22.5%,IF(J249&lt;=1000000,74500+(J249-400000)*25%,224500+(J249-1000000)*27.5%)))))))/12))</f>
        <v/>
      </c>
      <c r="L249" s="8" t="str">
        <f>IF(A249="","",IF('كشف التوقيع والملخص'!$B$3="نعم",MAX(0,H249-10000)*0.003,0))</f>
        <v/>
      </c>
      <c r="M249" s="8" t="str">
        <f>IF(A249="","",I249+K249+L249)</f>
        <v/>
      </c>
      <c r="N249" s="8" t="str">
        <f>IF(A249="","",H249-M249)</f>
        <v/>
      </c>
    </row>
    <row r="250" spans="1:14" ht="14.25" x14ac:dyDescent="0.15">
      <c r="A250" s="5" t="str">
        <f>IF('بيانات الموظفين'!A250="","",'بيانات الموظفين'!A250)</f>
        <v/>
      </c>
      <c r="B250" s="5" t="str">
        <f>IF(A250="","",'بيانات الموظفين'!B250)</f>
        <v/>
      </c>
      <c r="C250" s="6" t="s">
        <v>25</v>
      </c>
      <c r="D250" s="6">
        <v>2026</v>
      </c>
      <c r="E250" s="6">
        <v>30</v>
      </c>
      <c r="F250" s="7"/>
      <c r="G250" s="7"/>
      <c r="H250" s="8" t="str">
        <f>IF(A250="","",(('بيانات الموظفين'!G250+'بيانات الموظفين'!H250)/30)*MIN(30,MAX(0,E250))+F250+G250)</f>
        <v/>
      </c>
      <c r="I250" s="8" t="str">
        <f>IF(A250="","",MIN(16700,MAX(2700,'بيانات الموظفين'!I250))*11%)</f>
        <v/>
      </c>
      <c r="J250" s="8" t="str">
        <f>IF(A250="","",MAX(0,ROUNDDOWN(H250*12-I250*12-20000,-1)))</f>
        <v/>
      </c>
      <c r="K250" s="8" t="str">
        <f>IF(A250="","",MAX(0,(IF(J250&lt;=40000,0,IF(J250&lt;=60000,(J250-40000)*10%,IF(J250&lt;=70000,2000+(J250-60000)*15%,IF(J250&lt;=200000,3500+(J250-70000)*20%,IF(J250&lt;=400000,29500+(J250-200000)*22.5%,IF(J250&lt;=1000000,74500+(J250-400000)*25%,224500+(J250-1000000)*27.5%)))))))/12))</f>
        <v/>
      </c>
      <c r="L250" s="8" t="str">
        <f>IF(A250="","",IF('كشف التوقيع والملخص'!$B$3="نعم",MAX(0,H250-10000)*0.003,0))</f>
        <v/>
      </c>
      <c r="M250" s="8" t="str">
        <f>IF(A250="","",I250+K250+L250)</f>
        <v/>
      </c>
      <c r="N250" s="8" t="str">
        <f>IF(A250="","",H250-M250)</f>
        <v/>
      </c>
    </row>
    <row r="251" spans="1:14" ht="14.25" x14ac:dyDescent="0.15">
      <c r="A251" s="5" t="str">
        <f>IF('بيانات الموظفين'!A251="","",'بيانات الموظفين'!A251)</f>
        <v/>
      </c>
      <c r="B251" s="5" t="str">
        <f>IF(A251="","",'بيانات الموظفين'!B251)</f>
        <v/>
      </c>
      <c r="C251" s="6" t="s">
        <v>25</v>
      </c>
      <c r="D251" s="6">
        <v>2026</v>
      </c>
      <c r="E251" s="6">
        <v>30</v>
      </c>
      <c r="F251" s="7"/>
      <c r="G251" s="7"/>
      <c r="H251" s="8" t="str">
        <f>IF(A251="","",(('بيانات الموظفين'!G251+'بيانات الموظفين'!H251)/30)*MIN(30,MAX(0,E251))+F251+G251)</f>
        <v/>
      </c>
      <c r="I251" s="8" t="str">
        <f>IF(A251="","",MIN(16700,MAX(2700,'بيانات الموظفين'!I251))*11%)</f>
        <v/>
      </c>
      <c r="J251" s="8" t="str">
        <f>IF(A251="","",MAX(0,ROUNDDOWN(H251*12-I251*12-20000,-1)))</f>
        <v/>
      </c>
      <c r="K251" s="8" t="str">
        <f>IF(A251="","",MAX(0,(IF(J251&lt;=40000,0,IF(J251&lt;=60000,(J251-40000)*10%,IF(J251&lt;=70000,2000+(J251-60000)*15%,IF(J251&lt;=200000,3500+(J251-70000)*20%,IF(J251&lt;=400000,29500+(J251-200000)*22.5%,IF(J251&lt;=1000000,74500+(J251-400000)*25%,224500+(J251-1000000)*27.5%)))))))/12))</f>
        <v/>
      </c>
      <c r="L251" s="8" t="str">
        <f>IF(A251="","",IF('كشف التوقيع والملخص'!$B$3="نعم",MAX(0,H251-10000)*0.003,0))</f>
        <v/>
      </c>
      <c r="M251" s="8" t="str">
        <f>IF(A251="","",I251+K251+L251)</f>
        <v/>
      </c>
      <c r="N251" s="8" t="str">
        <f>IF(A251="","",H251-M251)</f>
        <v/>
      </c>
    </row>
    <row r="252" spans="1:14" ht="14.25" x14ac:dyDescent="0.15">
      <c r="A252" s="5" t="str">
        <f>IF('بيانات الموظفين'!A252="","",'بيانات الموظفين'!A252)</f>
        <v/>
      </c>
      <c r="B252" s="5" t="str">
        <f>IF(A252="","",'بيانات الموظفين'!B252)</f>
        <v/>
      </c>
      <c r="C252" s="6" t="s">
        <v>25</v>
      </c>
      <c r="D252" s="6">
        <v>2026</v>
      </c>
      <c r="E252" s="6">
        <v>30</v>
      </c>
      <c r="F252" s="7"/>
      <c r="G252" s="7"/>
      <c r="H252" s="8" t="str">
        <f>IF(A252="","",(('بيانات الموظفين'!G252+'بيانات الموظفين'!H252)/30)*MIN(30,MAX(0,E252))+F252+G252)</f>
        <v/>
      </c>
      <c r="I252" s="8" t="str">
        <f>IF(A252="","",MIN(16700,MAX(2700,'بيانات الموظفين'!I252))*11%)</f>
        <v/>
      </c>
      <c r="J252" s="8" t="str">
        <f>IF(A252="","",MAX(0,ROUNDDOWN(H252*12-I252*12-20000,-1)))</f>
        <v/>
      </c>
      <c r="K252" s="8" t="str">
        <f>IF(A252="","",MAX(0,(IF(J252&lt;=40000,0,IF(J252&lt;=60000,(J252-40000)*10%,IF(J252&lt;=70000,2000+(J252-60000)*15%,IF(J252&lt;=200000,3500+(J252-70000)*20%,IF(J252&lt;=400000,29500+(J252-200000)*22.5%,IF(J252&lt;=1000000,74500+(J252-400000)*25%,224500+(J252-1000000)*27.5%)))))))/12))</f>
        <v/>
      </c>
      <c r="L252" s="8" t="str">
        <f>IF(A252="","",IF('كشف التوقيع والملخص'!$B$3="نعم",MAX(0,H252-10000)*0.003,0))</f>
        <v/>
      </c>
      <c r="M252" s="8" t="str">
        <f>IF(A252="","",I252+K252+L252)</f>
        <v/>
      </c>
      <c r="N252" s="8" t="str">
        <f>IF(A252="","",H252-M252)</f>
        <v/>
      </c>
    </row>
    <row r="253" spans="1:14" ht="14.25" x14ac:dyDescent="0.15">
      <c r="A253" s="5" t="str">
        <f>IF('بيانات الموظفين'!A253="","",'بيانات الموظفين'!A253)</f>
        <v/>
      </c>
      <c r="B253" s="5" t="str">
        <f>IF(A253="","",'بيانات الموظفين'!B253)</f>
        <v/>
      </c>
      <c r="C253" s="6" t="s">
        <v>25</v>
      </c>
      <c r="D253" s="6">
        <v>2026</v>
      </c>
      <c r="E253" s="6">
        <v>30</v>
      </c>
      <c r="F253" s="7"/>
      <c r="G253" s="7"/>
      <c r="H253" s="8" t="str">
        <f>IF(A253="","",(('بيانات الموظفين'!G253+'بيانات الموظفين'!H253)/30)*MIN(30,MAX(0,E253))+F253+G253)</f>
        <v/>
      </c>
      <c r="I253" s="8" t="str">
        <f>IF(A253="","",MIN(16700,MAX(2700,'بيانات الموظفين'!I253))*11%)</f>
        <v/>
      </c>
      <c r="J253" s="8" t="str">
        <f>IF(A253="","",MAX(0,ROUNDDOWN(H253*12-I253*12-20000,-1)))</f>
        <v/>
      </c>
      <c r="K253" s="8" t="str">
        <f>IF(A253="","",MAX(0,(IF(J253&lt;=40000,0,IF(J253&lt;=60000,(J253-40000)*10%,IF(J253&lt;=70000,2000+(J253-60000)*15%,IF(J253&lt;=200000,3500+(J253-70000)*20%,IF(J253&lt;=400000,29500+(J253-200000)*22.5%,IF(J253&lt;=1000000,74500+(J253-400000)*25%,224500+(J253-1000000)*27.5%)))))))/12))</f>
        <v/>
      </c>
      <c r="L253" s="8" t="str">
        <f>IF(A253="","",IF('كشف التوقيع والملخص'!$B$3="نعم",MAX(0,H253-10000)*0.003,0))</f>
        <v/>
      </c>
      <c r="M253" s="8" t="str">
        <f>IF(A253="","",I253+K253+L253)</f>
        <v/>
      </c>
      <c r="N253" s="8" t="str">
        <f>IF(A253="","",H253-M253)</f>
        <v/>
      </c>
    </row>
    <row r="254" spans="1:14" ht="14.25" x14ac:dyDescent="0.15">
      <c r="A254" s="5" t="str">
        <f>IF('بيانات الموظفين'!A254="","",'بيانات الموظفين'!A254)</f>
        <v/>
      </c>
      <c r="B254" s="5" t="str">
        <f>IF(A254="","",'بيانات الموظفين'!B254)</f>
        <v/>
      </c>
      <c r="C254" s="6" t="s">
        <v>25</v>
      </c>
      <c r="D254" s="6">
        <v>2026</v>
      </c>
      <c r="E254" s="6">
        <v>30</v>
      </c>
      <c r="F254" s="7"/>
      <c r="G254" s="7"/>
      <c r="H254" s="8" t="str">
        <f>IF(A254="","",(('بيانات الموظفين'!G254+'بيانات الموظفين'!H254)/30)*MIN(30,MAX(0,E254))+F254+G254)</f>
        <v/>
      </c>
      <c r="I254" s="8" t="str">
        <f>IF(A254="","",MIN(16700,MAX(2700,'بيانات الموظفين'!I254))*11%)</f>
        <v/>
      </c>
      <c r="J254" s="8" t="str">
        <f>IF(A254="","",MAX(0,ROUNDDOWN(H254*12-I254*12-20000,-1)))</f>
        <v/>
      </c>
      <c r="K254" s="8" t="str">
        <f>IF(A254="","",MAX(0,(IF(J254&lt;=40000,0,IF(J254&lt;=60000,(J254-40000)*10%,IF(J254&lt;=70000,2000+(J254-60000)*15%,IF(J254&lt;=200000,3500+(J254-70000)*20%,IF(J254&lt;=400000,29500+(J254-200000)*22.5%,IF(J254&lt;=1000000,74500+(J254-400000)*25%,224500+(J254-1000000)*27.5%)))))))/12))</f>
        <v/>
      </c>
      <c r="L254" s="8" t="str">
        <f>IF(A254="","",IF('كشف التوقيع والملخص'!$B$3="نعم",MAX(0,H254-10000)*0.003,0))</f>
        <v/>
      </c>
      <c r="M254" s="8" t="str">
        <f>IF(A254="","",I254+K254+L254)</f>
        <v/>
      </c>
      <c r="N254" s="8" t="str">
        <f>IF(A254="","",H254-M254)</f>
        <v/>
      </c>
    </row>
    <row r="255" spans="1:14" ht="14.25" x14ac:dyDescent="0.15">
      <c r="A255" s="5" t="str">
        <f>IF('بيانات الموظفين'!A255="","",'بيانات الموظفين'!A255)</f>
        <v/>
      </c>
      <c r="B255" s="5" t="str">
        <f>IF(A255="","",'بيانات الموظفين'!B255)</f>
        <v/>
      </c>
      <c r="C255" s="6" t="s">
        <v>25</v>
      </c>
      <c r="D255" s="6">
        <v>2026</v>
      </c>
      <c r="E255" s="6">
        <v>30</v>
      </c>
      <c r="F255" s="7"/>
      <c r="G255" s="7"/>
      <c r="H255" s="8" t="str">
        <f>IF(A255="","",(('بيانات الموظفين'!G255+'بيانات الموظفين'!H255)/30)*MIN(30,MAX(0,E255))+F255+G255)</f>
        <v/>
      </c>
      <c r="I255" s="8" t="str">
        <f>IF(A255="","",MIN(16700,MAX(2700,'بيانات الموظفين'!I255))*11%)</f>
        <v/>
      </c>
      <c r="J255" s="8" t="str">
        <f>IF(A255="","",MAX(0,ROUNDDOWN(H255*12-I255*12-20000,-1)))</f>
        <v/>
      </c>
      <c r="K255" s="8" t="str">
        <f>IF(A255="","",MAX(0,(IF(J255&lt;=40000,0,IF(J255&lt;=60000,(J255-40000)*10%,IF(J255&lt;=70000,2000+(J255-60000)*15%,IF(J255&lt;=200000,3500+(J255-70000)*20%,IF(J255&lt;=400000,29500+(J255-200000)*22.5%,IF(J255&lt;=1000000,74500+(J255-400000)*25%,224500+(J255-1000000)*27.5%)))))))/12))</f>
        <v/>
      </c>
      <c r="L255" s="8" t="str">
        <f>IF(A255="","",IF('كشف التوقيع والملخص'!$B$3="نعم",MAX(0,H255-10000)*0.003,0))</f>
        <v/>
      </c>
      <c r="M255" s="8" t="str">
        <f>IF(A255="","",I255+K255+L255)</f>
        <v/>
      </c>
      <c r="N255" s="8" t="str">
        <f>IF(A255="","",H255-M255)</f>
        <v/>
      </c>
    </row>
    <row r="256" spans="1:14" ht="14.25" x14ac:dyDescent="0.15">
      <c r="A256" s="5" t="str">
        <f>IF('بيانات الموظفين'!A256="","",'بيانات الموظفين'!A256)</f>
        <v/>
      </c>
      <c r="B256" s="5" t="str">
        <f>IF(A256="","",'بيانات الموظفين'!B256)</f>
        <v/>
      </c>
      <c r="C256" s="6" t="s">
        <v>25</v>
      </c>
      <c r="D256" s="6">
        <v>2026</v>
      </c>
      <c r="E256" s="6">
        <v>30</v>
      </c>
      <c r="F256" s="7"/>
      <c r="G256" s="7"/>
      <c r="H256" s="8" t="str">
        <f>IF(A256="","",(('بيانات الموظفين'!G256+'بيانات الموظفين'!H256)/30)*MIN(30,MAX(0,E256))+F256+G256)</f>
        <v/>
      </c>
      <c r="I256" s="8" t="str">
        <f>IF(A256="","",MIN(16700,MAX(2700,'بيانات الموظفين'!I256))*11%)</f>
        <v/>
      </c>
      <c r="J256" s="8" t="str">
        <f>IF(A256="","",MAX(0,ROUNDDOWN(H256*12-I256*12-20000,-1)))</f>
        <v/>
      </c>
      <c r="K256" s="8" t="str">
        <f>IF(A256="","",MAX(0,(IF(J256&lt;=40000,0,IF(J256&lt;=60000,(J256-40000)*10%,IF(J256&lt;=70000,2000+(J256-60000)*15%,IF(J256&lt;=200000,3500+(J256-70000)*20%,IF(J256&lt;=400000,29500+(J256-200000)*22.5%,IF(J256&lt;=1000000,74500+(J256-400000)*25%,224500+(J256-1000000)*27.5%)))))))/12))</f>
        <v/>
      </c>
      <c r="L256" s="8" t="str">
        <f>IF(A256="","",IF('كشف التوقيع والملخص'!$B$3="نعم",MAX(0,H256-10000)*0.003,0))</f>
        <v/>
      </c>
      <c r="M256" s="8" t="str">
        <f>IF(A256="","",I256+K256+L256)</f>
        <v/>
      </c>
      <c r="N256" s="8" t="str">
        <f>IF(A256="","",H256-M256)</f>
        <v/>
      </c>
    </row>
    <row r="257" spans="1:14" ht="14.25" x14ac:dyDescent="0.15">
      <c r="A257" s="5" t="str">
        <f>IF('بيانات الموظفين'!A257="","",'بيانات الموظفين'!A257)</f>
        <v/>
      </c>
      <c r="B257" s="5" t="str">
        <f>IF(A257="","",'بيانات الموظفين'!B257)</f>
        <v/>
      </c>
      <c r="C257" s="6" t="s">
        <v>25</v>
      </c>
      <c r="D257" s="6">
        <v>2026</v>
      </c>
      <c r="E257" s="6">
        <v>30</v>
      </c>
      <c r="F257" s="7"/>
      <c r="G257" s="7"/>
      <c r="H257" s="8" t="str">
        <f>IF(A257="","",(('بيانات الموظفين'!G257+'بيانات الموظفين'!H257)/30)*MIN(30,MAX(0,E257))+F257+G257)</f>
        <v/>
      </c>
      <c r="I257" s="8" t="str">
        <f>IF(A257="","",MIN(16700,MAX(2700,'بيانات الموظفين'!I257))*11%)</f>
        <v/>
      </c>
      <c r="J257" s="8" t="str">
        <f>IF(A257="","",MAX(0,ROUNDDOWN(H257*12-I257*12-20000,-1)))</f>
        <v/>
      </c>
      <c r="K257" s="8" t="str">
        <f>IF(A257="","",MAX(0,(IF(J257&lt;=40000,0,IF(J257&lt;=60000,(J257-40000)*10%,IF(J257&lt;=70000,2000+(J257-60000)*15%,IF(J257&lt;=200000,3500+(J257-70000)*20%,IF(J257&lt;=400000,29500+(J257-200000)*22.5%,IF(J257&lt;=1000000,74500+(J257-400000)*25%,224500+(J257-1000000)*27.5%)))))))/12))</f>
        <v/>
      </c>
      <c r="L257" s="8" t="str">
        <f>IF(A257="","",IF('كشف التوقيع والملخص'!$B$3="نعم",MAX(0,H257-10000)*0.003,0))</f>
        <v/>
      </c>
      <c r="M257" s="8" t="str">
        <f>IF(A257="","",I257+K257+L257)</f>
        <v/>
      </c>
      <c r="N257" s="8" t="str">
        <f>IF(A257="","",H257-M257)</f>
        <v/>
      </c>
    </row>
    <row r="258" spans="1:14" ht="14.25" x14ac:dyDescent="0.15">
      <c r="A258" s="5" t="str">
        <f>IF('بيانات الموظفين'!A258="","",'بيانات الموظفين'!A258)</f>
        <v/>
      </c>
      <c r="B258" s="5" t="str">
        <f>IF(A258="","",'بيانات الموظفين'!B258)</f>
        <v/>
      </c>
      <c r="C258" s="6" t="s">
        <v>25</v>
      </c>
      <c r="D258" s="6">
        <v>2026</v>
      </c>
      <c r="E258" s="6">
        <v>30</v>
      </c>
      <c r="F258" s="7"/>
      <c r="G258" s="7"/>
      <c r="H258" s="8" t="str">
        <f>IF(A258="","",(('بيانات الموظفين'!G258+'بيانات الموظفين'!H258)/30)*MIN(30,MAX(0,E258))+F258+G258)</f>
        <v/>
      </c>
      <c r="I258" s="8" t="str">
        <f>IF(A258="","",MIN(16700,MAX(2700,'بيانات الموظفين'!I258))*11%)</f>
        <v/>
      </c>
      <c r="J258" s="8" t="str">
        <f>IF(A258="","",MAX(0,ROUNDDOWN(H258*12-I258*12-20000,-1)))</f>
        <v/>
      </c>
      <c r="K258" s="8" t="str">
        <f>IF(A258="","",MAX(0,(IF(J258&lt;=40000,0,IF(J258&lt;=60000,(J258-40000)*10%,IF(J258&lt;=70000,2000+(J258-60000)*15%,IF(J258&lt;=200000,3500+(J258-70000)*20%,IF(J258&lt;=400000,29500+(J258-200000)*22.5%,IF(J258&lt;=1000000,74500+(J258-400000)*25%,224500+(J258-1000000)*27.5%)))))))/12))</f>
        <v/>
      </c>
      <c r="L258" s="8" t="str">
        <f>IF(A258="","",IF('كشف التوقيع والملخص'!$B$3="نعم",MAX(0,H258-10000)*0.003,0))</f>
        <v/>
      </c>
      <c r="M258" s="8" t="str">
        <f>IF(A258="","",I258+K258+L258)</f>
        <v/>
      </c>
      <c r="N258" s="8" t="str">
        <f>IF(A258="","",H258-M258)</f>
        <v/>
      </c>
    </row>
    <row r="259" spans="1:14" ht="14.25" x14ac:dyDescent="0.15">
      <c r="A259" s="5" t="str">
        <f>IF('بيانات الموظفين'!A259="","",'بيانات الموظفين'!A259)</f>
        <v/>
      </c>
      <c r="B259" s="5" t="str">
        <f>IF(A259="","",'بيانات الموظفين'!B259)</f>
        <v/>
      </c>
      <c r="C259" s="6" t="s">
        <v>25</v>
      </c>
      <c r="D259" s="6">
        <v>2026</v>
      </c>
      <c r="E259" s="6">
        <v>30</v>
      </c>
      <c r="F259" s="7"/>
      <c r="G259" s="7"/>
      <c r="H259" s="8" t="str">
        <f>IF(A259="","",(('بيانات الموظفين'!G259+'بيانات الموظفين'!H259)/30)*MIN(30,MAX(0,E259))+F259+G259)</f>
        <v/>
      </c>
      <c r="I259" s="8" t="str">
        <f>IF(A259="","",MIN(16700,MAX(2700,'بيانات الموظفين'!I259))*11%)</f>
        <v/>
      </c>
      <c r="J259" s="8" t="str">
        <f>IF(A259="","",MAX(0,ROUNDDOWN(H259*12-I259*12-20000,-1)))</f>
        <v/>
      </c>
      <c r="K259" s="8" t="str">
        <f>IF(A259="","",MAX(0,(IF(J259&lt;=40000,0,IF(J259&lt;=60000,(J259-40000)*10%,IF(J259&lt;=70000,2000+(J259-60000)*15%,IF(J259&lt;=200000,3500+(J259-70000)*20%,IF(J259&lt;=400000,29500+(J259-200000)*22.5%,IF(J259&lt;=1000000,74500+(J259-400000)*25%,224500+(J259-1000000)*27.5%)))))))/12))</f>
        <v/>
      </c>
      <c r="L259" s="8" t="str">
        <f>IF(A259="","",IF('كشف التوقيع والملخص'!$B$3="نعم",MAX(0,H259-10000)*0.003,0))</f>
        <v/>
      </c>
      <c r="M259" s="8" t="str">
        <f>IF(A259="","",I259+K259+L259)</f>
        <v/>
      </c>
      <c r="N259" s="8" t="str">
        <f>IF(A259="","",H259-M259)</f>
        <v/>
      </c>
    </row>
    <row r="260" spans="1:14" ht="14.25" x14ac:dyDescent="0.15">
      <c r="A260" s="5" t="str">
        <f>IF('بيانات الموظفين'!A260="","",'بيانات الموظفين'!A260)</f>
        <v/>
      </c>
      <c r="B260" s="5" t="str">
        <f>IF(A260="","",'بيانات الموظفين'!B260)</f>
        <v/>
      </c>
      <c r="C260" s="6" t="s">
        <v>25</v>
      </c>
      <c r="D260" s="6">
        <v>2026</v>
      </c>
      <c r="E260" s="6">
        <v>30</v>
      </c>
      <c r="F260" s="7"/>
      <c r="G260" s="7"/>
      <c r="H260" s="8" t="str">
        <f>IF(A260="","",(('بيانات الموظفين'!G260+'بيانات الموظفين'!H260)/30)*MIN(30,MAX(0,E260))+F260+G260)</f>
        <v/>
      </c>
      <c r="I260" s="8" t="str">
        <f>IF(A260="","",MIN(16700,MAX(2700,'بيانات الموظفين'!I260))*11%)</f>
        <v/>
      </c>
      <c r="J260" s="8" t="str">
        <f>IF(A260="","",MAX(0,ROUNDDOWN(H260*12-I260*12-20000,-1)))</f>
        <v/>
      </c>
      <c r="K260" s="8" t="str">
        <f>IF(A260="","",MAX(0,(IF(J260&lt;=40000,0,IF(J260&lt;=60000,(J260-40000)*10%,IF(J260&lt;=70000,2000+(J260-60000)*15%,IF(J260&lt;=200000,3500+(J260-70000)*20%,IF(J260&lt;=400000,29500+(J260-200000)*22.5%,IF(J260&lt;=1000000,74500+(J260-400000)*25%,224500+(J260-1000000)*27.5%)))))))/12))</f>
        <v/>
      </c>
      <c r="L260" s="8" t="str">
        <f>IF(A260="","",IF('كشف التوقيع والملخص'!$B$3="نعم",MAX(0,H260-10000)*0.003,0))</f>
        <v/>
      </c>
      <c r="M260" s="8" t="str">
        <f>IF(A260="","",I260+K260+L260)</f>
        <v/>
      </c>
      <c r="N260" s="8" t="str">
        <f>IF(A260="","",H260-M260)</f>
        <v/>
      </c>
    </row>
    <row r="261" spans="1:14" ht="14.25" x14ac:dyDescent="0.15">
      <c r="A261" s="5" t="str">
        <f>IF('بيانات الموظفين'!A261="","",'بيانات الموظفين'!A261)</f>
        <v/>
      </c>
      <c r="B261" s="5" t="str">
        <f>IF(A261="","",'بيانات الموظفين'!B261)</f>
        <v/>
      </c>
      <c r="C261" s="6" t="s">
        <v>25</v>
      </c>
      <c r="D261" s="6">
        <v>2026</v>
      </c>
      <c r="E261" s="6">
        <v>30</v>
      </c>
      <c r="F261" s="7"/>
      <c r="G261" s="7"/>
      <c r="H261" s="8" t="str">
        <f>IF(A261="","",(('بيانات الموظفين'!G261+'بيانات الموظفين'!H261)/30)*MIN(30,MAX(0,E261))+F261+G261)</f>
        <v/>
      </c>
      <c r="I261" s="8" t="str">
        <f>IF(A261="","",MIN(16700,MAX(2700,'بيانات الموظفين'!I261))*11%)</f>
        <v/>
      </c>
      <c r="J261" s="8" t="str">
        <f>IF(A261="","",MAX(0,ROUNDDOWN(H261*12-I261*12-20000,-1)))</f>
        <v/>
      </c>
      <c r="K261" s="8" t="str">
        <f>IF(A261="","",MAX(0,(IF(J261&lt;=40000,0,IF(J261&lt;=60000,(J261-40000)*10%,IF(J261&lt;=70000,2000+(J261-60000)*15%,IF(J261&lt;=200000,3500+(J261-70000)*20%,IF(J261&lt;=400000,29500+(J261-200000)*22.5%,IF(J261&lt;=1000000,74500+(J261-400000)*25%,224500+(J261-1000000)*27.5%)))))))/12))</f>
        <v/>
      </c>
      <c r="L261" s="8" t="str">
        <f>IF(A261="","",IF('كشف التوقيع والملخص'!$B$3="نعم",MAX(0,H261-10000)*0.003,0))</f>
        <v/>
      </c>
      <c r="M261" s="8" t="str">
        <f>IF(A261="","",I261+K261+L261)</f>
        <v/>
      </c>
      <c r="N261" s="8" t="str">
        <f>IF(A261="","",H261-M261)</f>
        <v/>
      </c>
    </row>
    <row r="262" spans="1:14" ht="14.25" x14ac:dyDescent="0.15">
      <c r="A262" s="5" t="str">
        <f>IF('بيانات الموظفين'!A262="","",'بيانات الموظفين'!A262)</f>
        <v/>
      </c>
      <c r="B262" s="5" t="str">
        <f>IF(A262="","",'بيانات الموظفين'!B262)</f>
        <v/>
      </c>
      <c r="C262" s="6" t="s">
        <v>25</v>
      </c>
      <c r="D262" s="6">
        <v>2026</v>
      </c>
      <c r="E262" s="6">
        <v>30</v>
      </c>
      <c r="F262" s="7"/>
      <c r="G262" s="7"/>
      <c r="H262" s="8" t="str">
        <f>IF(A262="","",(('بيانات الموظفين'!G262+'بيانات الموظفين'!H262)/30)*MIN(30,MAX(0,E262))+F262+G262)</f>
        <v/>
      </c>
      <c r="I262" s="8" t="str">
        <f>IF(A262="","",MIN(16700,MAX(2700,'بيانات الموظفين'!I262))*11%)</f>
        <v/>
      </c>
      <c r="J262" s="8" t="str">
        <f>IF(A262="","",MAX(0,ROUNDDOWN(H262*12-I262*12-20000,-1)))</f>
        <v/>
      </c>
      <c r="K262" s="8" t="str">
        <f>IF(A262="","",MAX(0,(IF(J262&lt;=40000,0,IF(J262&lt;=60000,(J262-40000)*10%,IF(J262&lt;=70000,2000+(J262-60000)*15%,IF(J262&lt;=200000,3500+(J262-70000)*20%,IF(J262&lt;=400000,29500+(J262-200000)*22.5%,IF(J262&lt;=1000000,74500+(J262-400000)*25%,224500+(J262-1000000)*27.5%)))))))/12))</f>
        <v/>
      </c>
      <c r="L262" s="8" t="str">
        <f>IF(A262="","",IF('كشف التوقيع والملخص'!$B$3="نعم",MAX(0,H262-10000)*0.003,0))</f>
        <v/>
      </c>
      <c r="M262" s="8" t="str">
        <f>IF(A262="","",I262+K262+L262)</f>
        <v/>
      </c>
      <c r="N262" s="8" t="str">
        <f>IF(A262="","",H262-M262)</f>
        <v/>
      </c>
    </row>
    <row r="263" spans="1:14" ht="14.25" x14ac:dyDescent="0.15">
      <c r="A263" s="5" t="str">
        <f>IF('بيانات الموظفين'!A263="","",'بيانات الموظفين'!A263)</f>
        <v/>
      </c>
      <c r="B263" s="5" t="str">
        <f>IF(A263="","",'بيانات الموظفين'!B263)</f>
        <v/>
      </c>
      <c r="C263" s="6" t="s">
        <v>25</v>
      </c>
      <c r="D263" s="6">
        <v>2026</v>
      </c>
      <c r="E263" s="6">
        <v>30</v>
      </c>
      <c r="F263" s="7"/>
      <c r="G263" s="7"/>
      <c r="H263" s="8" t="str">
        <f>IF(A263="","",(('بيانات الموظفين'!G263+'بيانات الموظفين'!H263)/30)*MIN(30,MAX(0,E263))+F263+G263)</f>
        <v/>
      </c>
      <c r="I263" s="8" t="str">
        <f>IF(A263="","",MIN(16700,MAX(2700,'بيانات الموظفين'!I263))*11%)</f>
        <v/>
      </c>
      <c r="J263" s="8" t="str">
        <f>IF(A263="","",MAX(0,ROUNDDOWN(H263*12-I263*12-20000,-1)))</f>
        <v/>
      </c>
      <c r="K263" s="8" t="str">
        <f>IF(A263="","",MAX(0,(IF(J263&lt;=40000,0,IF(J263&lt;=60000,(J263-40000)*10%,IF(J263&lt;=70000,2000+(J263-60000)*15%,IF(J263&lt;=200000,3500+(J263-70000)*20%,IF(J263&lt;=400000,29500+(J263-200000)*22.5%,IF(J263&lt;=1000000,74500+(J263-400000)*25%,224500+(J263-1000000)*27.5%)))))))/12))</f>
        <v/>
      </c>
      <c r="L263" s="8" t="str">
        <f>IF(A263="","",IF('كشف التوقيع والملخص'!$B$3="نعم",MAX(0,H263-10000)*0.003,0))</f>
        <v/>
      </c>
      <c r="M263" s="8" t="str">
        <f>IF(A263="","",I263+K263+L263)</f>
        <v/>
      </c>
      <c r="N263" s="8" t="str">
        <f>IF(A263="","",H263-M263)</f>
        <v/>
      </c>
    </row>
    <row r="264" spans="1:14" ht="14.25" x14ac:dyDescent="0.15">
      <c r="A264" s="5" t="str">
        <f>IF('بيانات الموظفين'!A264="","",'بيانات الموظفين'!A264)</f>
        <v/>
      </c>
      <c r="B264" s="5" t="str">
        <f>IF(A264="","",'بيانات الموظفين'!B264)</f>
        <v/>
      </c>
      <c r="C264" s="6" t="s">
        <v>25</v>
      </c>
      <c r="D264" s="6">
        <v>2026</v>
      </c>
      <c r="E264" s="6">
        <v>30</v>
      </c>
      <c r="F264" s="7"/>
      <c r="G264" s="7"/>
      <c r="H264" s="8" t="str">
        <f>IF(A264="","",(('بيانات الموظفين'!G264+'بيانات الموظفين'!H264)/30)*MIN(30,MAX(0,E264))+F264+G264)</f>
        <v/>
      </c>
      <c r="I264" s="8" t="str">
        <f>IF(A264="","",MIN(16700,MAX(2700,'بيانات الموظفين'!I264))*11%)</f>
        <v/>
      </c>
      <c r="J264" s="8" t="str">
        <f>IF(A264="","",MAX(0,ROUNDDOWN(H264*12-I264*12-20000,-1)))</f>
        <v/>
      </c>
      <c r="K264" s="8" t="str">
        <f>IF(A264="","",MAX(0,(IF(J264&lt;=40000,0,IF(J264&lt;=60000,(J264-40000)*10%,IF(J264&lt;=70000,2000+(J264-60000)*15%,IF(J264&lt;=200000,3500+(J264-70000)*20%,IF(J264&lt;=400000,29500+(J264-200000)*22.5%,IF(J264&lt;=1000000,74500+(J264-400000)*25%,224500+(J264-1000000)*27.5%)))))))/12))</f>
        <v/>
      </c>
      <c r="L264" s="8" t="str">
        <f>IF(A264="","",IF('كشف التوقيع والملخص'!$B$3="نعم",MAX(0,H264-10000)*0.003,0))</f>
        <v/>
      </c>
      <c r="M264" s="8" t="str">
        <f>IF(A264="","",I264+K264+L264)</f>
        <v/>
      </c>
      <c r="N264" s="8" t="str">
        <f>IF(A264="","",H264-M264)</f>
        <v/>
      </c>
    </row>
    <row r="265" spans="1:14" ht="14.25" x14ac:dyDescent="0.15">
      <c r="A265" s="5" t="str">
        <f>IF('بيانات الموظفين'!A265="","",'بيانات الموظفين'!A265)</f>
        <v/>
      </c>
      <c r="B265" s="5" t="str">
        <f>IF(A265="","",'بيانات الموظفين'!B265)</f>
        <v/>
      </c>
      <c r="C265" s="6" t="s">
        <v>25</v>
      </c>
      <c r="D265" s="6">
        <v>2026</v>
      </c>
      <c r="E265" s="6">
        <v>30</v>
      </c>
      <c r="F265" s="7"/>
      <c r="G265" s="7"/>
      <c r="H265" s="8" t="str">
        <f>IF(A265="","",(('بيانات الموظفين'!G265+'بيانات الموظفين'!H265)/30)*MIN(30,MAX(0,E265))+F265+G265)</f>
        <v/>
      </c>
      <c r="I265" s="8" t="str">
        <f>IF(A265="","",MIN(16700,MAX(2700,'بيانات الموظفين'!I265))*11%)</f>
        <v/>
      </c>
      <c r="J265" s="8" t="str">
        <f>IF(A265="","",MAX(0,ROUNDDOWN(H265*12-I265*12-20000,-1)))</f>
        <v/>
      </c>
      <c r="K265" s="8" t="str">
        <f>IF(A265="","",MAX(0,(IF(J265&lt;=40000,0,IF(J265&lt;=60000,(J265-40000)*10%,IF(J265&lt;=70000,2000+(J265-60000)*15%,IF(J265&lt;=200000,3500+(J265-70000)*20%,IF(J265&lt;=400000,29500+(J265-200000)*22.5%,IF(J265&lt;=1000000,74500+(J265-400000)*25%,224500+(J265-1000000)*27.5%)))))))/12))</f>
        <v/>
      </c>
      <c r="L265" s="8" t="str">
        <f>IF(A265="","",IF('كشف التوقيع والملخص'!$B$3="نعم",MAX(0,H265-10000)*0.003,0))</f>
        <v/>
      </c>
      <c r="M265" s="8" t="str">
        <f>IF(A265="","",I265+K265+L265)</f>
        <v/>
      </c>
      <c r="N265" s="8" t="str">
        <f>IF(A265="","",H265-M265)</f>
        <v/>
      </c>
    </row>
    <row r="266" spans="1:14" ht="14.25" x14ac:dyDescent="0.15">
      <c r="A266" s="5" t="str">
        <f>IF('بيانات الموظفين'!A266="","",'بيانات الموظفين'!A266)</f>
        <v/>
      </c>
      <c r="B266" s="5" t="str">
        <f>IF(A266="","",'بيانات الموظفين'!B266)</f>
        <v/>
      </c>
      <c r="C266" s="6" t="s">
        <v>25</v>
      </c>
      <c r="D266" s="6">
        <v>2026</v>
      </c>
      <c r="E266" s="6">
        <v>30</v>
      </c>
      <c r="F266" s="7"/>
      <c r="G266" s="7"/>
      <c r="H266" s="8" t="str">
        <f>IF(A266="","",(('بيانات الموظفين'!G266+'بيانات الموظفين'!H266)/30)*MIN(30,MAX(0,E266))+F266+G266)</f>
        <v/>
      </c>
      <c r="I266" s="8" t="str">
        <f>IF(A266="","",MIN(16700,MAX(2700,'بيانات الموظفين'!I266))*11%)</f>
        <v/>
      </c>
      <c r="J266" s="8" t="str">
        <f>IF(A266="","",MAX(0,ROUNDDOWN(H266*12-I266*12-20000,-1)))</f>
        <v/>
      </c>
      <c r="K266" s="8" t="str">
        <f>IF(A266="","",MAX(0,(IF(J266&lt;=40000,0,IF(J266&lt;=60000,(J266-40000)*10%,IF(J266&lt;=70000,2000+(J266-60000)*15%,IF(J266&lt;=200000,3500+(J266-70000)*20%,IF(J266&lt;=400000,29500+(J266-200000)*22.5%,IF(J266&lt;=1000000,74500+(J266-400000)*25%,224500+(J266-1000000)*27.5%)))))))/12))</f>
        <v/>
      </c>
      <c r="L266" s="8" t="str">
        <f>IF(A266="","",IF('كشف التوقيع والملخص'!$B$3="نعم",MAX(0,H266-10000)*0.003,0))</f>
        <v/>
      </c>
      <c r="M266" s="8" t="str">
        <f>IF(A266="","",I266+K266+L266)</f>
        <v/>
      </c>
      <c r="N266" s="8" t="str">
        <f>IF(A266="","",H266-M266)</f>
        <v/>
      </c>
    </row>
    <row r="267" spans="1:14" ht="14.25" x14ac:dyDescent="0.15">
      <c r="A267" s="5" t="str">
        <f>IF('بيانات الموظفين'!A267="","",'بيانات الموظفين'!A267)</f>
        <v/>
      </c>
      <c r="B267" s="5" t="str">
        <f>IF(A267="","",'بيانات الموظفين'!B267)</f>
        <v/>
      </c>
      <c r="C267" s="6" t="s">
        <v>25</v>
      </c>
      <c r="D267" s="6">
        <v>2026</v>
      </c>
      <c r="E267" s="6">
        <v>30</v>
      </c>
      <c r="F267" s="7"/>
      <c r="G267" s="7"/>
      <c r="H267" s="8" t="str">
        <f>IF(A267="","",(('بيانات الموظفين'!G267+'بيانات الموظفين'!H267)/30)*MIN(30,MAX(0,E267))+F267+G267)</f>
        <v/>
      </c>
      <c r="I267" s="8" t="str">
        <f>IF(A267="","",MIN(16700,MAX(2700,'بيانات الموظفين'!I267))*11%)</f>
        <v/>
      </c>
      <c r="J267" s="8" t="str">
        <f>IF(A267="","",MAX(0,ROUNDDOWN(H267*12-I267*12-20000,-1)))</f>
        <v/>
      </c>
      <c r="K267" s="8" t="str">
        <f>IF(A267="","",MAX(0,(IF(J267&lt;=40000,0,IF(J267&lt;=60000,(J267-40000)*10%,IF(J267&lt;=70000,2000+(J267-60000)*15%,IF(J267&lt;=200000,3500+(J267-70000)*20%,IF(J267&lt;=400000,29500+(J267-200000)*22.5%,IF(J267&lt;=1000000,74500+(J267-400000)*25%,224500+(J267-1000000)*27.5%)))))))/12))</f>
        <v/>
      </c>
      <c r="L267" s="8" t="str">
        <f>IF(A267="","",IF('كشف التوقيع والملخص'!$B$3="نعم",MAX(0,H267-10000)*0.003,0))</f>
        <v/>
      </c>
      <c r="M267" s="8" t="str">
        <f>IF(A267="","",I267+K267+L267)</f>
        <v/>
      </c>
      <c r="N267" s="8" t="str">
        <f>IF(A267="","",H267-M267)</f>
        <v/>
      </c>
    </row>
    <row r="268" spans="1:14" ht="14.25" x14ac:dyDescent="0.15">
      <c r="A268" s="5" t="str">
        <f>IF('بيانات الموظفين'!A268="","",'بيانات الموظفين'!A268)</f>
        <v/>
      </c>
      <c r="B268" s="5" t="str">
        <f>IF(A268="","",'بيانات الموظفين'!B268)</f>
        <v/>
      </c>
      <c r="C268" s="6" t="s">
        <v>25</v>
      </c>
      <c r="D268" s="6">
        <v>2026</v>
      </c>
      <c r="E268" s="6">
        <v>30</v>
      </c>
      <c r="F268" s="7"/>
      <c r="G268" s="7"/>
      <c r="H268" s="8" t="str">
        <f>IF(A268="","",(('بيانات الموظفين'!G268+'بيانات الموظفين'!H268)/30)*MIN(30,MAX(0,E268))+F268+G268)</f>
        <v/>
      </c>
      <c r="I268" s="8" t="str">
        <f>IF(A268="","",MIN(16700,MAX(2700,'بيانات الموظفين'!I268))*11%)</f>
        <v/>
      </c>
      <c r="J268" s="8" t="str">
        <f>IF(A268="","",MAX(0,ROUNDDOWN(H268*12-I268*12-20000,-1)))</f>
        <v/>
      </c>
      <c r="K268" s="8" t="str">
        <f>IF(A268="","",MAX(0,(IF(J268&lt;=40000,0,IF(J268&lt;=60000,(J268-40000)*10%,IF(J268&lt;=70000,2000+(J268-60000)*15%,IF(J268&lt;=200000,3500+(J268-70000)*20%,IF(J268&lt;=400000,29500+(J268-200000)*22.5%,IF(J268&lt;=1000000,74500+(J268-400000)*25%,224500+(J268-1000000)*27.5%)))))))/12))</f>
        <v/>
      </c>
      <c r="L268" s="8" t="str">
        <f>IF(A268="","",IF('كشف التوقيع والملخص'!$B$3="نعم",MAX(0,H268-10000)*0.003,0))</f>
        <v/>
      </c>
      <c r="M268" s="8" t="str">
        <f>IF(A268="","",I268+K268+L268)</f>
        <v/>
      </c>
      <c r="N268" s="8" t="str">
        <f>IF(A268="","",H268-M268)</f>
        <v/>
      </c>
    </row>
    <row r="269" spans="1:14" ht="14.25" x14ac:dyDescent="0.15">
      <c r="A269" s="5" t="str">
        <f>IF('بيانات الموظفين'!A269="","",'بيانات الموظفين'!A269)</f>
        <v/>
      </c>
      <c r="B269" s="5" t="str">
        <f>IF(A269="","",'بيانات الموظفين'!B269)</f>
        <v/>
      </c>
      <c r="C269" s="6" t="s">
        <v>25</v>
      </c>
      <c r="D269" s="6">
        <v>2026</v>
      </c>
      <c r="E269" s="6">
        <v>30</v>
      </c>
      <c r="F269" s="7"/>
      <c r="G269" s="7"/>
      <c r="H269" s="8" t="str">
        <f>IF(A269="","",(('بيانات الموظفين'!G269+'بيانات الموظفين'!H269)/30)*MIN(30,MAX(0,E269))+F269+G269)</f>
        <v/>
      </c>
      <c r="I269" s="8" t="str">
        <f>IF(A269="","",MIN(16700,MAX(2700,'بيانات الموظفين'!I269))*11%)</f>
        <v/>
      </c>
      <c r="J269" s="8" t="str">
        <f>IF(A269="","",MAX(0,ROUNDDOWN(H269*12-I269*12-20000,-1)))</f>
        <v/>
      </c>
      <c r="K269" s="8" t="str">
        <f>IF(A269="","",MAX(0,(IF(J269&lt;=40000,0,IF(J269&lt;=60000,(J269-40000)*10%,IF(J269&lt;=70000,2000+(J269-60000)*15%,IF(J269&lt;=200000,3500+(J269-70000)*20%,IF(J269&lt;=400000,29500+(J269-200000)*22.5%,IF(J269&lt;=1000000,74500+(J269-400000)*25%,224500+(J269-1000000)*27.5%)))))))/12))</f>
        <v/>
      </c>
      <c r="L269" s="8" t="str">
        <f>IF(A269="","",IF('كشف التوقيع والملخص'!$B$3="نعم",MAX(0,H269-10000)*0.003,0))</f>
        <v/>
      </c>
      <c r="M269" s="8" t="str">
        <f>IF(A269="","",I269+K269+L269)</f>
        <v/>
      </c>
      <c r="N269" s="8" t="str">
        <f>IF(A269="","",H269-M269)</f>
        <v/>
      </c>
    </row>
    <row r="270" spans="1:14" ht="14.25" x14ac:dyDescent="0.15">
      <c r="A270" s="5" t="str">
        <f>IF('بيانات الموظفين'!A270="","",'بيانات الموظفين'!A270)</f>
        <v/>
      </c>
      <c r="B270" s="5" t="str">
        <f>IF(A270="","",'بيانات الموظفين'!B270)</f>
        <v/>
      </c>
      <c r="C270" s="6" t="s">
        <v>25</v>
      </c>
      <c r="D270" s="6">
        <v>2026</v>
      </c>
      <c r="E270" s="6">
        <v>30</v>
      </c>
      <c r="F270" s="7"/>
      <c r="G270" s="7"/>
      <c r="H270" s="8" t="str">
        <f>IF(A270="","",(('بيانات الموظفين'!G270+'بيانات الموظفين'!H270)/30)*MIN(30,MAX(0,E270))+F270+G270)</f>
        <v/>
      </c>
      <c r="I270" s="8" t="str">
        <f>IF(A270="","",MIN(16700,MAX(2700,'بيانات الموظفين'!I270))*11%)</f>
        <v/>
      </c>
      <c r="J270" s="8" t="str">
        <f>IF(A270="","",MAX(0,ROUNDDOWN(H270*12-I270*12-20000,-1)))</f>
        <v/>
      </c>
      <c r="K270" s="8" t="str">
        <f>IF(A270="","",MAX(0,(IF(J270&lt;=40000,0,IF(J270&lt;=60000,(J270-40000)*10%,IF(J270&lt;=70000,2000+(J270-60000)*15%,IF(J270&lt;=200000,3500+(J270-70000)*20%,IF(J270&lt;=400000,29500+(J270-200000)*22.5%,IF(J270&lt;=1000000,74500+(J270-400000)*25%,224500+(J270-1000000)*27.5%)))))))/12))</f>
        <v/>
      </c>
      <c r="L270" s="8" t="str">
        <f>IF(A270="","",IF('كشف التوقيع والملخص'!$B$3="نعم",MAX(0,H270-10000)*0.003,0))</f>
        <v/>
      </c>
      <c r="M270" s="8" t="str">
        <f>IF(A270="","",I270+K270+L270)</f>
        <v/>
      </c>
      <c r="N270" s="8" t="str">
        <f>IF(A270="","",H270-M270)</f>
        <v/>
      </c>
    </row>
    <row r="271" spans="1:14" ht="14.25" x14ac:dyDescent="0.15">
      <c r="A271" s="5" t="str">
        <f>IF('بيانات الموظفين'!A271="","",'بيانات الموظفين'!A271)</f>
        <v/>
      </c>
      <c r="B271" s="5" t="str">
        <f>IF(A271="","",'بيانات الموظفين'!B271)</f>
        <v/>
      </c>
      <c r="C271" s="6" t="s">
        <v>25</v>
      </c>
      <c r="D271" s="6">
        <v>2026</v>
      </c>
      <c r="E271" s="6">
        <v>30</v>
      </c>
      <c r="F271" s="7"/>
      <c r="G271" s="7"/>
      <c r="H271" s="8" t="str">
        <f>IF(A271="","",(('بيانات الموظفين'!G271+'بيانات الموظفين'!H271)/30)*MIN(30,MAX(0,E271))+F271+G271)</f>
        <v/>
      </c>
      <c r="I271" s="8" t="str">
        <f>IF(A271="","",MIN(16700,MAX(2700,'بيانات الموظفين'!I271))*11%)</f>
        <v/>
      </c>
      <c r="J271" s="8" t="str">
        <f>IF(A271="","",MAX(0,ROUNDDOWN(H271*12-I271*12-20000,-1)))</f>
        <v/>
      </c>
      <c r="K271" s="8" t="str">
        <f>IF(A271="","",MAX(0,(IF(J271&lt;=40000,0,IF(J271&lt;=60000,(J271-40000)*10%,IF(J271&lt;=70000,2000+(J271-60000)*15%,IF(J271&lt;=200000,3500+(J271-70000)*20%,IF(J271&lt;=400000,29500+(J271-200000)*22.5%,IF(J271&lt;=1000000,74500+(J271-400000)*25%,224500+(J271-1000000)*27.5%)))))))/12))</f>
        <v/>
      </c>
      <c r="L271" s="8" t="str">
        <f>IF(A271="","",IF('كشف التوقيع والملخص'!$B$3="نعم",MAX(0,H271-10000)*0.003,0))</f>
        <v/>
      </c>
      <c r="M271" s="8" t="str">
        <f>IF(A271="","",I271+K271+L271)</f>
        <v/>
      </c>
      <c r="N271" s="8" t="str">
        <f>IF(A271="","",H271-M271)</f>
        <v/>
      </c>
    </row>
    <row r="272" spans="1:14" ht="14.25" x14ac:dyDescent="0.15">
      <c r="A272" s="5" t="str">
        <f>IF('بيانات الموظفين'!A272="","",'بيانات الموظفين'!A272)</f>
        <v/>
      </c>
      <c r="B272" s="5" t="str">
        <f>IF(A272="","",'بيانات الموظفين'!B272)</f>
        <v/>
      </c>
      <c r="C272" s="6" t="s">
        <v>25</v>
      </c>
      <c r="D272" s="6">
        <v>2026</v>
      </c>
      <c r="E272" s="6">
        <v>30</v>
      </c>
      <c r="F272" s="7"/>
      <c r="G272" s="7"/>
      <c r="H272" s="8" t="str">
        <f>IF(A272="","",(('بيانات الموظفين'!G272+'بيانات الموظفين'!H272)/30)*MIN(30,MAX(0,E272))+F272+G272)</f>
        <v/>
      </c>
      <c r="I272" s="8" t="str">
        <f>IF(A272="","",MIN(16700,MAX(2700,'بيانات الموظفين'!I272))*11%)</f>
        <v/>
      </c>
      <c r="J272" s="8" t="str">
        <f>IF(A272="","",MAX(0,ROUNDDOWN(H272*12-I272*12-20000,-1)))</f>
        <v/>
      </c>
      <c r="K272" s="8" t="str">
        <f>IF(A272="","",MAX(0,(IF(J272&lt;=40000,0,IF(J272&lt;=60000,(J272-40000)*10%,IF(J272&lt;=70000,2000+(J272-60000)*15%,IF(J272&lt;=200000,3500+(J272-70000)*20%,IF(J272&lt;=400000,29500+(J272-200000)*22.5%,IF(J272&lt;=1000000,74500+(J272-400000)*25%,224500+(J272-1000000)*27.5%)))))))/12))</f>
        <v/>
      </c>
      <c r="L272" s="8" t="str">
        <f>IF(A272="","",IF('كشف التوقيع والملخص'!$B$3="نعم",MAX(0,H272-10000)*0.003,0))</f>
        <v/>
      </c>
      <c r="M272" s="8" t="str">
        <f>IF(A272="","",I272+K272+L272)</f>
        <v/>
      </c>
      <c r="N272" s="8" t="str">
        <f>IF(A272="","",H272-M272)</f>
        <v/>
      </c>
    </row>
    <row r="273" spans="1:14" ht="14.25" x14ac:dyDescent="0.15">
      <c r="A273" s="5" t="str">
        <f>IF('بيانات الموظفين'!A273="","",'بيانات الموظفين'!A273)</f>
        <v/>
      </c>
      <c r="B273" s="5" t="str">
        <f>IF(A273="","",'بيانات الموظفين'!B273)</f>
        <v/>
      </c>
      <c r="C273" s="6" t="s">
        <v>25</v>
      </c>
      <c r="D273" s="6">
        <v>2026</v>
      </c>
      <c r="E273" s="6">
        <v>30</v>
      </c>
      <c r="F273" s="7"/>
      <c r="G273" s="7"/>
      <c r="H273" s="8" t="str">
        <f>IF(A273="","",(('بيانات الموظفين'!G273+'بيانات الموظفين'!H273)/30)*MIN(30,MAX(0,E273))+F273+G273)</f>
        <v/>
      </c>
      <c r="I273" s="8" t="str">
        <f>IF(A273="","",MIN(16700,MAX(2700,'بيانات الموظفين'!I273))*11%)</f>
        <v/>
      </c>
      <c r="J273" s="8" t="str">
        <f>IF(A273="","",MAX(0,ROUNDDOWN(H273*12-I273*12-20000,-1)))</f>
        <v/>
      </c>
      <c r="K273" s="8" t="str">
        <f>IF(A273="","",MAX(0,(IF(J273&lt;=40000,0,IF(J273&lt;=60000,(J273-40000)*10%,IF(J273&lt;=70000,2000+(J273-60000)*15%,IF(J273&lt;=200000,3500+(J273-70000)*20%,IF(J273&lt;=400000,29500+(J273-200000)*22.5%,IF(J273&lt;=1000000,74500+(J273-400000)*25%,224500+(J273-1000000)*27.5%)))))))/12))</f>
        <v/>
      </c>
      <c r="L273" s="8" t="str">
        <f>IF(A273="","",IF('كشف التوقيع والملخص'!$B$3="نعم",MAX(0,H273-10000)*0.003,0))</f>
        <v/>
      </c>
      <c r="M273" s="8" t="str">
        <f>IF(A273="","",I273+K273+L273)</f>
        <v/>
      </c>
      <c r="N273" s="8" t="str">
        <f>IF(A273="","",H273-M273)</f>
        <v/>
      </c>
    </row>
    <row r="274" spans="1:14" ht="14.25" x14ac:dyDescent="0.15">
      <c r="A274" s="5" t="str">
        <f>IF('بيانات الموظفين'!A274="","",'بيانات الموظفين'!A274)</f>
        <v/>
      </c>
      <c r="B274" s="5" t="str">
        <f>IF(A274="","",'بيانات الموظفين'!B274)</f>
        <v/>
      </c>
      <c r="C274" s="6" t="s">
        <v>25</v>
      </c>
      <c r="D274" s="6">
        <v>2026</v>
      </c>
      <c r="E274" s="6">
        <v>30</v>
      </c>
      <c r="F274" s="7"/>
      <c r="G274" s="7"/>
      <c r="H274" s="8" t="str">
        <f>IF(A274="","",(('بيانات الموظفين'!G274+'بيانات الموظفين'!H274)/30)*MIN(30,MAX(0,E274))+F274+G274)</f>
        <v/>
      </c>
      <c r="I274" s="8" t="str">
        <f>IF(A274="","",MIN(16700,MAX(2700,'بيانات الموظفين'!I274))*11%)</f>
        <v/>
      </c>
      <c r="J274" s="8" t="str">
        <f>IF(A274="","",MAX(0,ROUNDDOWN(H274*12-I274*12-20000,-1)))</f>
        <v/>
      </c>
      <c r="K274" s="8" t="str">
        <f>IF(A274="","",MAX(0,(IF(J274&lt;=40000,0,IF(J274&lt;=60000,(J274-40000)*10%,IF(J274&lt;=70000,2000+(J274-60000)*15%,IF(J274&lt;=200000,3500+(J274-70000)*20%,IF(J274&lt;=400000,29500+(J274-200000)*22.5%,IF(J274&lt;=1000000,74500+(J274-400000)*25%,224500+(J274-1000000)*27.5%)))))))/12))</f>
        <v/>
      </c>
      <c r="L274" s="8" t="str">
        <f>IF(A274="","",IF('كشف التوقيع والملخص'!$B$3="نعم",MAX(0,H274-10000)*0.003,0))</f>
        <v/>
      </c>
      <c r="M274" s="8" t="str">
        <f>IF(A274="","",I274+K274+L274)</f>
        <v/>
      </c>
      <c r="N274" s="8" t="str">
        <f>IF(A274="","",H274-M274)</f>
        <v/>
      </c>
    </row>
    <row r="275" spans="1:14" ht="14.25" x14ac:dyDescent="0.15">
      <c r="A275" s="5" t="str">
        <f>IF('بيانات الموظفين'!A275="","",'بيانات الموظفين'!A275)</f>
        <v/>
      </c>
      <c r="B275" s="5" t="str">
        <f>IF(A275="","",'بيانات الموظفين'!B275)</f>
        <v/>
      </c>
      <c r="C275" s="6" t="s">
        <v>25</v>
      </c>
      <c r="D275" s="6">
        <v>2026</v>
      </c>
      <c r="E275" s="6">
        <v>30</v>
      </c>
      <c r="F275" s="7"/>
      <c r="G275" s="7"/>
      <c r="H275" s="8" t="str">
        <f>IF(A275="","",(('بيانات الموظفين'!G275+'بيانات الموظفين'!H275)/30)*MIN(30,MAX(0,E275))+F275+G275)</f>
        <v/>
      </c>
      <c r="I275" s="8" t="str">
        <f>IF(A275="","",MIN(16700,MAX(2700,'بيانات الموظفين'!I275))*11%)</f>
        <v/>
      </c>
      <c r="J275" s="8" t="str">
        <f>IF(A275="","",MAX(0,ROUNDDOWN(H275*12-I275*12-20000,-1)))</f>
        <v/>
      </c>
      <c r="K275" s="8" t="str">
        <f>IF(A275="","",MAX(0,(IF(J275&lt;=40000,0,IF(J275&lt;=60000,(J275-40000)*10%,IF(J275&lt;=70000,2000+(J275-60000)*15%,IF(J275&lt;=200000,3500+(J275-70000)*20%,IF(J275&lt;=400000,29500+(J275-200000)*22.5%,IF(J275&lt;=1000000,74500+(J275-400000)*25%,224500+(J275-1000000)*27.5%)))))))/12))</f>
        <v/>
      </c>
      <c r="L275" s="8" t="str">
        <f>IF(A275="","",IF('كشف التوقيع والملخص'!$B$3="نعم",MAX(0,H275-10000)*0.003,0))</f>
        <v/>
      </c>
      <c r="M275" s="8" t="str">
        <f>IF(A275="","",I275+K275+L275)</f>
        <v/>
      </c>
      <c r="N275" s="8" t="str">
        <f>IF(A275="","",H275-M275)</f>
        <v/>
      </c>
    </row>
    <row r="276" spans="1:14" ht="14.25" x14ac:dyDescent="0.15">
      <c r="A276" s="5" t="str">
        <f>IF('بيانات الموظفين'!A276="","",'بيانات الموظفين'!A276)</f>
        <v/>
      </c>
      <c r="B276" s="5" t="str">
        <f>IF(A276="","",'بيانات الموظفين'!B276)</f>
        <v/>
      </c>
      <c r="C276" s="6" t="s">
        <v>25</v>
      </c>
      <c r="D276" s="6">
        <v>2026</v>
      </c>
      <c r="E276" s="6">
        <v>30</v>
      </c>
      <c r="F276" s="7"/>
      <c r="G276" s="7"/>
      <c r="H276" s="8" t="str">
        <f>IF(A276="","",(('بيانات الموظفين'!G276+'بيانات الموظفين'!H276)/30)*MIN(30,MAX(0,E276))+F276+G276)</f>
        <v/>
      </c>
      <c r="I276" s="8" t="str">
        <f>IF(A276="","",MIN(16700,MAX(2700,'بيانات الموظفين'!I276))*11%)</f>
        <v/>
      </c>
      <c r="J276" s="8" t="str">
        <f>IF(A276="","",MAX(0,ROUNDDOWN(H276*12-I276*12-20000,-1)))</f>
        <v/>
      </c>
      <c r="K276" s="8" t="str">
        <f>IF(A276="","",MAX(0,(IF(J276&lt;=40000,0,IF(J276&lt;=60000,(J276-40000)*10%,IF(J276&lt;=70000,2000+(J276-60000)*15%,IF(J276&lt;=200000,3500+(J276-70000)*20%,IF(J276&lt;=400000,29500+(J276-200000)*22.5%,IF(J276&lt;=1000000,74500+(J276-400000)*25%,224500+(J276-1000000)*27.5%)))))))/12))</f>
        <v/>
      </c>
      <c r="L276" s="8" t="str">
        <f>IF(A276="","",IF('كشف التوقيع والملخص'!$B$3="نعم",MAX(0,H276-10000)*0.003,0))</f>
        <v/>
      </c>
      <c r="M276" s="8" t="str">
        <f>IF(A276="","",I276+K276+L276)</f>
        <v/>
      </c>
      <c r="N276" s="8" t="str">
        <f>IF(A276="","",H276-M276)</f>
        <v/>
      </c>
    </row>
    <row r="277" spans="1:14" ht="14.25" x14ac:dyDescent="0.15">
      <c r="A277" s="5" t="str">
        <f>IF('بيانات الموظفين'!A277="","",'بيانات الموظفين'!A277)</f>
        <v/>
      </c>
      <c r="B277" s="5" t="str">
        <f>IF(A277="","",'بيانات الموظفين'!B277)</f>
        <v/>
      </c>
      <c r="C277" s="6" t="s">
        <v>25</v>
      </c>
      <c r="D277" s="6">
        <v>2026</v>
      </c>
      <c r="E277" s="6">
        <v>30</v>
      </c>
      <c r="F277" s="7"/>
      <c r="G277" s="7"/>
      <c r="H277" s="8" t="str">
        <f>IF(A277="","",(('بيانات الموظفين'!G277+'بيانات الموظفين'!H277)/30)*MIN(30,MAX(0,E277))+F277+G277)</f>
        <v/>
      </c>
      <c r="I277" s="8" t="str">
        <f>IF(A277="","",MIN(16700,MAX(2700,'بيانات الموظفين'!I277))*11%)</f>
        <v/>
      </c>
      <c r="J277" s="8" t="str">
        <f>IF(A277="","",MAX(0,ROUNDDOWN(H277*12-I277*12-20000,-1)))</f>
        <v/>
      </c>
      <c r="K277" s="8" t="str">
        <f>IF(A277="","",MAX(0,(IF(J277&lt;=40000,0,IF(J277&lt;=60000,(J277-40000)*10%,IF(J277&lt;=70000,2000+(J277-60000)*15%,IF(J277&lt;=200000,3500+(J277-70000)*20%,IF(J277&lt;=400000,29500+(J277-200000)*22.5%,IF(J277&lt;=1000000,74500+(J277-400000)*25%,224500+(J277-1000000)*27.5%)))))))/12))</f>
        <v/>
      </c>
      <c r="L277" s="8" t="str">
        <f>IF(A277="","",IF('كشف التوقيع والملخص'!$B$3="نعم",MAX(0,H277-10000)*0.003,0))</f>
        <v/>
      </c>
      <c r="M277" s="8" t="str">
        <f>IF(A277="","",I277+K277+L277)</f>
        <v/>
      </c>
      <c r="N277" s="8" t="str">
        <f>IF(A277="","",H277-M277)</f>
        <v/>
      </c>
    </row>
    <row r="278" spans="1:14" ht="14.25" x14ac:dyDescent="0.15">
      <c r="A278" s="5" t="str">
        <f>IF('بيانات الموظفين'!A278="","",'بيانات الموظفين'!A278)</f>
        <v/>
      </c>
      <c r="B278" s="5" t="str">
        <f>IF(A278="","",'بيانات الموظفين'!B278)</f>
        <v/>
      </c>
      <c r="C278" s="6" t="s">
        <v>25</v>
      </c>
      <c r="D278" s="6">
        <v>2026</v>
      </c>
      <c r="E278" s="6">
        <v>30</v>
      </c>
      <c r="F278" s="7"/>
      <c r="G278" s="7"/>
      <c r="H278" s="8" t="str">
        <f>IF(A278="","",(('بيانات الموظفين'!G278+'بيانات الموظفين'!H278)/30)*MIN(30,MAX(0,E278))+F278+G278)</f>
        <v/>
      </c>
      <c r="I278" s="8" t="str">
        <f>IF(A278="","",MIN(16700,MAX(2700,'بيانات الموظفين'!I278))*11%)</f>
        <v/>
      </c>
      <c r="J278" s="8" t="str">
        <f>IF(A278="","",MAX(0,ROUNDDOWN(H278*12-I278*12-20000,-1)))</f>
        <v/>
      </c>
      <c r="K278" s="8" t="str">
        <f>IF(A278="","",MAX(0,(IF(J278&lt;=40000,0,IF(J278&lt;=60000,(J278-40000)*10%,IF(J278&lt;=70000,2000+(J278-60000)*15%,IF(J278&lt;=200000,3500+(J278-70000)*20%,IF(J278&lt;=400000,29500+(J278-200000)*22.5%,IF(J278&lt;=1000000,74500+(J278-400000)*25%,224500+(J278-1000000)*27.5%)))))))/12))</f>
        <v/>
      </c>
      <c r="L278" s="8" t="str">
        <f>IF(A278="","",IF('كشف التوقيع والملخص'!$B$3="نعم",MAX(0,H278-10000)*0.003,0))</f>
        <v/>
      </c>
      <c r="M278" s="8" t="str">
        <f>IF(A278="","",I278+K278+L278)</f>
        <v/>
      </c>
      <c r="N278" s="8" t="str">
        <f>IF(A278="","",H278-M278)</f>
        <v/>
      </c>
    </row>
    <row r="279" spans="1:14" ht="14.25" x14ac:dyDescent="0.15">
      <c r="A279" s="5" t="str">
        <f>IF('بيانات الموظفين'!A279="","",'بيانات الموظفين'!A279)</f>
        <v/>
      </c>
      <c r="B279" s="5" t="str">
        <f>IF(A279="","",'بيانات الموظفين'!B279)</f>
        <v/>
      </c>
      <c r="C279" s="6" t="s">
        <v>25</v>
      </c>
      <c r="D279" s="6">
        <v>2026</v>
      </c>
      <c r="E279" s="6">
        <v>30</v>
      </c>
      <c r="F279" s="7"/>
      <c r="G279" s="7"/>
      <c r="H279" s="8" t="str">
        <f>IF(A279="","",(('بيانات الموظفين'!G279+'بيانات الموظفين'!H279)/30)*MIN(30,MAX(0,E279))+F279+G279)</f>
        <v/>
      </c>
      <c r="I279" s="8" t="str">
        <f>IF(A279="","",MIN(16700,MAX(2700,'بيانات الموظفين'!I279))*11%)</f>
        <v/>
      </c>
      <c r="J279" s="8" t="str">
        <f>IF(A279="","",MAX(0,ROUNDDOWN(H279*12-I279*12-20000,-1)))</f>
        <v/>
      </c>
      <c r="K279" s="8" t="str">
        <f>IF(A279="","",MAX(0,(IF(J279&lt;=40000,0,IF(J279&lt;=60000,(J279-40000)*10%,IF(J279&lt;=70000,2000+(J279-60000)*15%,IF(J279&lt;=200000,3500+(J279-70000)*20%,IF(J279&lt;=400000,29500+(J279-200000)*22.5%,IF(J279&lt;=1000000,74500+(J279-400000)*25%,224500+(J279-1000000)*27.5%)))))))/12))</f>
        <v/>
      </c>
      <c r="L279" s="8" t="str">
        <f>IF(A279="","",IF('كشف التوقيع والملخص'!$B$3="نعم",MAX(0,H279-10000)*0.003,0))</f>
        <v/>
      </c>
      <c r="M279" s="8" t="str">
        <f>IF(A279="","",I279+K279+L279)</f>
        <v/>
      </c>
      <c r="N279" s="8" t="str">
        <f>IF(A279="","",H279-M279)</f>
        <v/>
      </c>
    </row>
    <row r="280" spans="1:14" ht="14.25" x14ac:dyDescent="0.15">
      <c r="A280" s="5" t="str">
        <f>IF('بيانات الموظفين'!A280="","",'بيانات الموظفين'!A280)</f>
        <v/>
      </c>
      <c r="B280" s="5" t="str">
        <f>IF(A280="","",'بيانات الموظفين'!B280)</f>
        <v/>
      </c>
      <c r="C280" s="6" t="s">
        <v>25</v>
      </c>
      <c r="D280" s="6">
        <v>2026</v>
      </c>
      <c r="E280" s="6">
        <v>30</v>
      </c>
      <c r="F280" s="7"/>
      <c r="G280" s="7"/>
      <c r="H280" s="8" t="str">
        <f>IF(A280="","",(('بيانات الموظفين'!G280+'بيانات الموظفين'!H280)/30)*MIN(30,MAX(0,E280))+F280+G280)</f>
        <v/>
      </c>
      <c r="I280" s="8" t="str">
        <f>IF(A280="","",MIN(16700,MAX(2700,'بيانات الموظفين'!I280))*11%)</f>
        <v/>
      </c>
      <c r="J280" s="8" t="str">
        <f>IF(A280="","",MAX(0,ROUNDDOWN(H280*12-I280*12-20000,-1)))</f>
        <v/>
      </c>
      <c r="K280" s="8" t="str">
        <f>IF(A280="","",MAX(0,(IF(J280&lt;=40000,0,IF(J280&lt;=60000,(J280-40000)*10%,IF(J280&lt;=70000,2000+(J280-60000)*15%,IF(J280&lt;=200000,3500+(J280-70000)*20%,IF(J280&lt;=400000,29500+(J280-200000)*22.5%,IF(J280&lt;=1000000,74500+(J280-400000)*25%,224500+(J280-1000000)*27.5%)))))))/12))</f>
        <v/>
      </c>
      <c r="L280" s="8" t="str">
        <f>IF(A280="","",IF('كشف التوقيع والملخص'!$B$3="نعم",MAX(0,H280-10000)*0.003,0))</f>
        <v/>
      </c>
      <c r="M280" s="8" t="str">
        <f>IF(A280="","",I280+K280+L280)</f>
        <v/>
      </c>
      <c r="N280" s="8" t="str">
        <f>IF(A280="","",H280-M280)</f>
        <v/>
      </c>
    </row>
    <row r="281" spans="1:14" ht="14.25" x14ac:dyDescent="0.15">
      <c r="A281" s="5" t="str">
        <f>IF('بيانات الموظفين'!A281="","",'بيانات الموظفين'!A281)</f>
        <v/>
      </c>
      <c r="B281" s="5" t="str">
        <f>IF(A281="","",'بيانات الموظفين'!B281)</f>
        <v/>
      </c>
      <c r="C281" s="6" t="s">
        <v>25</v>
      </c>
      <c r="D281" s="6">
        <v>2026</v>
      </c>
      <c r="E281" s="6">
        <v>30</v>
      </c>
      <c r="F281" s="7"/>
      <c r="G281" s="7"/>
      <c r="H281" s="8" t="str">
        <f>IF(A281="","",(('بيانات الموظفين'!G281+'بيانات الموظفين'!H281)/30)*MIN(30,MAX(0,E281))+F281+G281)</f>
        <v/>
      </c>
      <c r="I281" s="8" t="str">
        <f>IF(A281="","",MIN(16700,MAX(2700,'بيانات الموظفين'!I281))*11%)</f>
        <v/>
      </c>
      <c r="J281" s="8" t="str">
        <f>IF(A281="","",MAX(0,ROUNDDOWN(H281*12-I281*12-20000,-1)))</f>
        <v/>
      </c>
      <c r="K281" s="8" t="str">
        <f>IF(A281="","",MAX(0,(IF(J281&lt;=40000,0,IF(J281&lt;=60000,(J281-40000)*10%,IF(J281&lt;=70000,2000+(J281-60000)*15%,IF(J281&lt;=200000,3500+(J281-70000)*20%,IF(J281&lt;=400000,29500+(J281-200000)*22.5%,IF(J281&lt;=1000000,74500+(J281-400000)*25%,224500+(J281-1000000)*27.5%)))))))/12))</f>
        <v/>
      </c>
      <c r="L281" s="8" t="str">
        <f>IF(A281="","",IF('كشف التوقيع والملخص'!$B$3="نعم",MAX(0,H281-10000)*0.003,0))</f>
        <v/>
      </c>
      <c r="M281" s="8" t="str">
        <f>IF(A281="","",I281+K281+L281)</f>
        <v/>
      </c>
      <c r="N281" s="8" t="str">
        <f>IF(A281="","",H281-M281)</f>
        <v/>
      </c>
    </row>
    <row r="282" spans="1:14" ht="14.25" x14ac:dyDescent="0.15">
      <c r="A282" s="5" t="str">
        <f>IF('بيانات الموظفين'!A282="","",'بيانات الموظفين'!A282)</f>
        <v/>
      </c>
      <c r="B282" s="5" t="str">
        <f>IF(A282="","",'بيانات الموظفين'!B282)</f>
        <v/>
      </c>
      <c r="C282" s="6" t="s">
        <v>25</v>
      </c>
      <c r="D282" s="6">
        <v>2026</v>
      </c>
      <c r="E282" s="6">
        <v>30</v>
      </c>
      <c r="F282" s="7"/>
      <c r="G282" s="7"/>
      <c r="H282" s="8" t="str">
        <f>IF(A282="","",(('بيانات الموظفين'!G282+'بيانات الموظفين'!H282)/30)*MIN(30,MAX(0,E282))+F282+G282)</f>
        <v/>
      </c>
      <c r="I282" s="8" t="str">
        <f>IF(A282="","",MIN(16700,MAX(2700,'بيانات الموظفين'!I282))*11%)</f>
        <v/>
      </c>
      <c r="J282" s="8" t="str">
        <f>IF(A282="","",MAX(0,ROUNDDOWN(H282*12-I282*12-20000,-1)))</f>
        <v/>
      </c>
      <c r="K282" s="8" t="str">
        <f>IF(A282="","",MAX(0,(IF(J282&lt;=40000,0,IF(J282&lt;=60000,(J282-40000)*10%,IF(J282&lt;=70000,2000+(J282-60000)*15%,IF(J282&lt;=200000,3500+(J282-70000)*20%,IF(J282&lt;=400000,29500+(J282-200000)*22.5%,IF(J282&lt;=1000000,74500+(J282-400000)*25%,224500+(J282-1000000)*27.5%)))))))/12))</f>
        <v/>
      </c>
      <c r="L282" s="8" t="str">
        <f>IF(A282="","",IF('كشف التوقيع والملخص'!$B$3="نعم",MAX(0,H282-10000)*0.003,0))</f>
        <v/>
      </c>
      <c r="M282" s="8" t="str">
        <f>IF(A282="","",I282+K282+L282)</f>
        <v/>
      </c>
      <c r="N282" s="8" t="str">
        <f>IF(A282="","",H282-M282)</f>
        <v/>
      </c>
    </row>
    <row r="283" spans="1:14" ht="14.25" x14ac:dyDescent="0.15">
      <c r="A283" s="5" t="str">
        <f>IF('بيانات الموظفين'!A283="","",'بيانات الموظفين'!A283)</f>
        <v/>
      </c>
      <c r="B283" s="5" t="str">
        <f>IF(A283="","",'بيانات الموظفين'!B283)</f>
        <v/>
      </c>
      <c r="C283" s="6" t="s">
        <v>25</v>
      </c>
      <c r="D283" s="6">
        <v>2026</v>
      </c>
      <c r="E283" s="6">
        <v>30</v>
      </c>
      <c r="F283" s="7"/>
      <c r="G283" s="7"/>
      <c r="H283" s="8" t="str">
        <f>IF(A283="","",(('بيانات الموظفين'!G283+'بيانات الموظفين'!H283)/30)*MIN(30,MAX(0,E283))+F283+G283)</f>
        <v/>
      </c>
      <c r="I283" s="8" t="str">
        <f>IF(A283="","",MIN(16700,MAX(2700,'بيانات الموظفين'!I283))*11%)</f>
        <v/>
      </c>
      <c r="J283" s="8" t="str">
        <f>IF(A283="","",MAX(0,ROUNDDOWN(H283*12-I283*12-20000,-1)))</f>
        <v/>
      </c>
      <c r="K283" s="8" t="str">
        <f>IF(A283="","",MAX(0,(IF(J283&lt;=40000,0,IF(J283&lt;=60000,(J283-40000)*10%,IF(J283&lt;=70000,2000+(J283-60000)*15%,IF(J283&lt;=200000,3500+(J283-70000)*20%,IF(J283&lt;=400000,29500+(J283-200000)*22.5%,IF(J283&lt;=1000000,74500+(J283-400000)*25%,224500+(J283-1000000)*27.5%)))))))/12))</f>
        <v/>
      </c>
      <c r="L283" s="8" t="str">
        <f>IF(A283="","",IF('كشف التوقيع والملخص'!$B$3="نعم",MAX(0,H283-10000)*0.003,0))</f>
        <v/>
      </c>
      <c r="M283" s="8" t="str">
        <f>IF(A283="","",I283+K283+L283)</f>
        <v/>
      </c>
      <c r="N283" s="8" t="str">
        <f>IF(A283="","",H283-M283)</f>
        <v/>
      </c>
    </row>
    <row r="284" spans="1:14" ht="14.25" x14ac:dyDescent="0.15">
      <c r="A284" s="5" t="str">
        <f>IF('بيانات الموظفين'!A284="","",'بيانات الموظفين'!A284)</f>
        <v/>
      </c>
      <c r="B284" s="5" t="str">
        <f>IF(A284="","",'بيانات الموظفين'!B284)</f>
        <v/>
      </c>
      <c r="C284" s="6" t="s">
        <v>25</v>
      </c>
      <c r="D284" s="6">
        <v>2026</v>
      </c>
      <c r="E284" s="6">
        <v>30</v>
      </c>
      <c r="F284" s="7"/>
      <c r="G284" s="7"/>
      <c r="H284" s="8" t="str">
        <f>IF(A284="","",(('بيانات الموظفين'!G284+'بيانات الموظفين'!H284)/30)*MIN(30,MAX(0,E284))+F284+G284)</f>
        <v/>
      </c>
      <c r="I284" s="8" t="str">
        <f>IF(A284="","",MIN(16700,MAX(2700,'بيانات الموظفين'!I284))*11%)</f>
        <v/>
      </c>
      <c r="J284" s="8" t="str">
        <f>IF(A284="","",MAX(0,ROUNDDOWN(H284*12-I284*12-20000,-1)))</f>
        <v/>
      </c>
      <c r="K284" s="8" t="str">
        <f>IF(A284="","",MAX(0,(IF(J284&lt;=40000,0,IF(J284&lt;=60000,(J284-40000)*10%,IF(J284&lt;=70000,2000+(J284-60000)*15%,IF(J284&lt;=200000,3500+(J284-70000)*20%,IF(J284&lt;=400000,29500+(J284-200000)*22.5%,IF(J284&lt;=1000000,74500+(J284-400000)*25%,224500+(J284-1000000)*27.5%)))))))/12))</f>
        <v/>
      </c>
      <c r="L284" s="8" t="str">
        <f>IF(A284="","",IF('كشف التوقيع والملخص'!$B$3="نعم",MAX(0,H284-10000)*0.003,0))</f>
        <v/>
      </c>
      <c r="M284" s="8" t="str">
        <f>IF(A284="","",I284+K284+L284)</f>
        <v/>
      </c>
      <c r="N284" s="8" t="str">
        <f>IF(A284="","",H284-M284)</f>
        <v/>
      </c>
    </row>
    <row r="285" spans="1:14" ht="14.25" x14ac:dyDescent="0.15">
      <c r="A285" s="5" t="str">
        <f>IF('بيانات الموظفين'!A285="","",'بيانات الموظفين'!A285)</f>
        <v/>
      </c>
      <c r="B285" s="5" t="str">
        <f>IF(A285="","",'بيانات الموظفين'!B285)</f>
        <v/>
      </c>
      <c r="C285" s="6" t="s">
        <v>25</v>
      </c>
      <c r="D285" s="6">
        <v>2026</v>
      </c>
      <c r="E285" s="6">
        <v>30</v>
      </c>
      <c r="F285" s="7"/>
      <c r="G285" s="7"/>
      <c r="H285" s="8" t="str">
        <f>IF(A285="","",(('بيانات الموظفين'!G285+'بيانات الموظفين'!H285)/30)*MIN(30,MAX(0,E285))+F285+G285)</f>
        <v/>
      </c>
      <c r="I285" s="8" t="str">
        <f>IF(A285="","",MIN(16700,MAX(2700,'بيانات الموظفين'!I285))*11%)</f>
        <v/>
      </c>
      <c r="J285" s="8" t="str">
        <f>IF(A285="","",MAX(0,ROUNDDOWN(H285*12-I285*12-20000,-1)))</f>
        <v/>
      </c>
      <c r="K285" s="8" t="str">
        <f>IF(A285="","",MAX(0,(IF(J285&lt;=40000,0,IF(J285&lt;=60000,(J285-40000)*10%,IF(J285&lt;=70000,2000+(J285-60000)*15%,IF(J285&lt;=200000,3500+(J285-70000)*20%,IF(J285&lt;=400000,29500+(J285-200000)*22.5%,IF(J285&lt;=1000000,74500+(J285-400000)*25%,224500+(J285-1000000)*27.5%)))))))/12))</f>
        <v/>
      </c>
      <c r="L285" s="8" t="str">
        <f>IF(A285="","",IF('كشف التوقيع والملخص'!$B$3="نعم",MAX(0,H285-10000)*0.003,0))</f>
        <v/>
      </c>
      <c r="M285" s="8" t="str">
        <f>IF(A285="","",I285+K285+L285)</f>
        <v/>
      </c>
      <c r="N285" s="8" t="str">
        <f>IF(A285="","",H285-M285)</f>
        <v/>
      </c>
    </row>
    <row r="286" spans="1:14" ht="14.25" x14ac:dyDescent="0.15">
      <c r="A286" s="5" t="str">
        <f>IF('بيانات الموظفين'!A286="","",'بيانات الموظفين'!A286)</f>
        <v/>
      </c>
      <c r="B286" s="5" t="str">
        <f>IF(A286="","",'بيانات الموظفين'!B286)</f>
        <v/>
      </c>
      <c r="C286" s="6" t="s">
        <v>25</v>
      </c>
      <c r="D286" s="6">
        <v>2026</v>
      </c>
      <c r="E286" s="6">
        <v>30</v>
      </c>
      <c r="F286" s="7"/>
      <c r="G286" s="7"/>
      <c r="H286" s="8" t="str">
        <f>IF(A286="","",(('بيانات الموظفين'!G286+'بيانات الموظفين'!H286)/30)*MIN(30,MAX(0,E286))+F286+G286)</f>
        <v/>
      </c>
      <c r="I286" s="8" t="str">
        <f>IF(A286="","",MIN(16700,MAX(2700,'بيانات الموظفين'!I286))*11%)</f>
        <v/>
      </c>
      <c r="J286" s="8" t="str">
        <f>IF(A286="","",MAX(0,ROUNDDOWN(H286*12-I286*12-20000,-1)))</f>
        <v/>
      </c>
      <c r="K286" s="8" t="str">
        <f>IF(A286="","",MAX(0,(IF(J286&lt;=40000,0,IF(J286&lt;=60000,(J286-40000)*10%,IF(J286&lt;=70000,2000+(J286-60000)*15%,IF(J286&lt;=200000,3500+(J286-70000)*20%,IF(J286&lt;=400000,29500+(J286-200000)*22.5%,IF(J286&lt;=1000000,74500+(J286-400000)*25%,224500+(J286-1000000)*27.5%)))))))/12))</f>
        <v/>
      </c>
      <c r="L286" s="8" t="str">
        <f>IF(A286="","",IF('كشف التوقيع والملخص'!$B$3="نعم",MAX(0,H286-10000)*0.003,0))</f>
        <v/>
      </c>
      <c r="M286" s="8" t="str">
        <f>IF(A286="","",I286+K286+L286)</f>
        <v/>
      </c>
      <c r="N286" s="8" t="str">
        <f>IF(A286="","",H286-M286)</f>
        <v/>
      </c>
    </row>
    <row r="287" spans="1:14" ht="14.25" x14ac:dyDescent="0.15">
      <c r="A287" s="5" t="str">
        <f>IF('بيانات الموظفين'!A287="","",'بيانات الموظفين'!A287)</f>
        <v/>
      </c>
      <c r="B287" s="5" t="str">
        <f>IF(A287="","",'بيانات الموظفين'!B287)</f>
        <v/>
      </c>
      <c r="C287" s="6" t="s">
        <v>25</v>
      </c>
      <c r="D287" s="6">
        <v>2026</v>
      </c>
      <c r="E287" s="6">
        <v>30</v>
      </c>
      <c r="F287" s="7"/>
      <c r="G287" s="7"/>
      <c r="H287" s="8" t="str">
        <f>IF(A287="","",(('بيانات الموظفين'!G287+'بيانات الموظفين'!H287)/30)*MIN(30,MAX(0,E287))+F287+G287)</f>
        <v/>
      </c>
      <c r="I287" s="8" t="str">
        <f>IF(A287="","",MIN(16700,MAX(2700,'بيانات الموظفين'!I287))*11%)</f>
        <v/>
      </c>
      <c r="J287" s="8" t="str">
        <f>IF(A287="","",MAX(0,ROUNDDOWN(H287*12-I287*12-20000,-1)))</f>
        <v/>
      </c>
      <c r="K287" s="8" t="str">
        <f>IF(A287="","",MAX(0,(IF(J287&lt;=40000,0,IF(J287&lt;=60000,(J287-40000)*10%,IF(J287&lt;=70000,2000+(J287-60000)*15%,IF(J287&lt;=200000,3500+(J287-70000)*20%,IF(J287&lt;=400000,29500+(J287-200000)*22.5%,IF(J287&lt;=1000000,74500+(J287-400000)*25%,224500+(J287-1000000)*27.5%)))))))/12))</f>
        <v/>
      </c>
      <c r="L287" s="8" t="str">
        <f>IF(A287="","",IF('كشف التوقيع والملخص'!$B$3="نعم",MAX(0,H287-10000)*0.003,0))</f>
        <v/>
      </c>
      <c r="M287" s="8" t="str">
        <f>IF(A287="","",I287+K287+L287)</f>
        <v/>
      </c>
      <c r="N287" s="8" t="str">
        <f>IF(A287="","",H287-M287)</f>
        <v/>
      </c>
    </row>
    <row r="288" spans="1:14" ht="14.25" x14ac:dyDescent="0.15">
      <c r="A288" s="5" t="str">
        <f>IF('بيانات الموظفين'!A288="","",'بيانات الموظفين'!A288)</f>
        <v/>
      </c>
      <c r="B288" s="5" t="str">
        <f>IF(A288="","",'بيانات الموظفين'!B288)</f>
        <v/>
      </c>
      <c r="C288" s="6" t="s">
        <v>25</v>
      </c>
      <c r="D288" s="6">
        <v>2026</v>
      </c>
      <c r="E288" s="6">
        <v>30</v>
      </c>
      <c r="F288" s="7"/>
      <c r="G288" s="7"/>
      <c r="H288" s="8" t="str">
        <f>IF(A288="","",(('بيانات الموظفين'!G288+'بيانات الموظفين'!H288)/30)*MIN(30,MAX(0,E288))+F288+G288)</f>
        <v/>
      </c>
      <c r="I288" s="8" t="str">
        <f>IF(A288="","",MIN(16700,MAX(2700,'بيانات الموظفين'!I288))*11%)</f>
        <v/>
      </c>
      <c r="J288" s="8" t="str">
        <f>IF(A288="","",MAX(0,ROUNDDOWN(H288*12-I288*12-20000,-1)))</f>
        <v/>
      </c>
      <c r="K288" s="8" t="str">
        <f>IF(A288="","",MAX(0,(IF(J288&lt;=40000,0,IF(J288&lt;=60000,(J288-40000)*10%,IF(J288&lt;=70000,2000+(J288-60000)*15%,IF(J288&lt;=200000,3500+(J288-70000)*20%,IF(J288&lt;=400000,29500+(J288-200000)*22.5%,IF(J288&lt;=1000000,74500+(J288-400000)*25%,224500+(J288-1000000)*27.5%)))))))/12))</f>
        <v/>
      </c>
      <c r="L288" s="8" t="str">
        <f>IF(A288="","",IF('كشف التوقيع والملخص'!$B$3="نعم",MAX(0,H288-10000)*0.003,0))</f>
        <v/>
      </c>
      <c r="M288" s="8" t="str">
        <f>IF(A288="","",I288+K288+L288)</f>
        <v/>
      </c>
      <c r="N288" s="8" t="str">
        <f>IF(A288="","",H288-M288)</f>
        <v/>
      </c>
    </row>
    <row r="289" spans="1:14" ht="14.25" x14ac:dyDescent="0.15">
      <c r="A289" s="5" t="str">
        <f>IF('بيانات الموظفين'!A289="","",'بيانات الموظفين'!A289)</f>
        <v/>
      </c>
      <c r="B289" s="5" t="str">
        <f>IF(A289="","",'بيانات الموظفين'!B289)</f>
        <v/>
      </c>
      <c r="C289" s="6" t="s">
        <v>25</v>
      </c>
      <c r="D289" s="6">
        <v>2026</v>
      </c>
      <c r="E289" s="6">
        <v>30</v>
      </c>
      <c r="F289" s="7"/>
      <c r="G289" s="7"/>
      <c r="H289" s="8" t="str">
        <f>IF(A289="","",(('بيانات الموظفين'!G289+'بيانات الموظفين'!H289)/30)*MIN(30,MAX(0,E289))+F289+G289)</f>
        <v/>
      </c>
      <c r="I289" s="8" t="str">
        <f>IF(A289="","",MIN(16700,MAX(2700,'بيانات الموظفين'!I289))*11%)</f>
        <v/>
      </c>
      <c r="J289" s="8" t="str">
        <f>IF(A289="","",MAX(0,ROUNDDOWN(H289*12-I289*12-20000,-1)))</f>
        <v/>
      </c>
      <c r="K289" s="8" t="str">
        <f>IF(A289="","",MAX(0,(IF(J289&lt;=40000,0,IF(J289&lt;=60000,(J289-40000)*10%,IF(J289&lt;=70000,2000+(J289-60000)*15%,IF(J289&lt;=200000,3500+(J289-70000)*20%,IF(J289&lt;=400000,29500+(J289-200000)*22.5%,IF(J289&lt;=1000000,74500+(J289-400000)*25%,224500+(J289-1000000)*27.5%)))))))/12))</f>
        <v/>
      </c>
      <c r="L289" s="8" t="str">
        <f>IF(A289="","",IF('كشف التوقيع والملخص'!$B$3="نعم",MAX(0,H289-10000)*0.003,0))</f>
        <v/>
      </c>
      <c r="M289" s="8" t="str">
        <f>IF(A289="","",I289+K289+L289)</f>
        <v/>
      </c>
      <c r="N289" s="8" t="str">
        <f>IF(A289="","",H289-M289)</f>
        <v/>
      </c>
    </row>
    <row r="290" spans="1:14" ht="14.25" x14ac:dyDescent="0.15">
      <c r="A290" s="5" t="str">
        <f>IF('بيانات الموظفين'!A290="","",'بيانات الموظفين'!A290)</f>
        <v/>
      </c>
      <c r="B290" s="5" t="str">
        <f>IF(A290="","",'بيانات الموظفين'!B290)</f>
        <v/>
      </c>
      <c r="C290" s="6" t="s">
        <v>25</v>
      </c>
      <c r="D290" s="6">
        <v>2026</v>
      </c>
      <c r="E290" s="6">
        <v>30</v>
      </c>
      <c r="F290" s="7"/>
      <c r="G290" s="7"/>
      <c r="H290" s="8" t="str">
        <f>IF(A290="","",(('بيانات الموظفين'!G290+'بيانات الموظفين'!H290)/30)*MIN(30,MAX(0,E290))+F290+G290)</f>
        <v/>
      </c>
      <c r="I290" s="8" t="str">
        <f>IF(A290="","",MIN(16700,MAX(2700,'بيانات الموظفين'!I290))*11%)</f>
        <v/>
      </c>
      <c r="J290" s="8" t="str">
        <f>IF(A290="","",MAX(0,ROUNDDOWN(H290*12-I290*12-20000,-1)))</f>
        <v/>
      </c>
      <c r="K290" s="8" t="str">
        <f>IF(A290="","",MAX(0,(IF(J290&lt;=40000,0,IF(J290&lt;=60000,(J290-40000)*10%,IF(J290&lt;=70000,2000+(J290-60000)*15%,IF(J290&lt;=200000,3500+(J290-70000)*20%,IF(J290&lt;=400000,29500+(J290-200000)*22.5%,IF(J290&lt;=1000000,74500+(J290-400000)*25%,224500+(J290-1000000)*27.5%)))))))/12))</f>
        <v/>
      </c>
      <c r="L290" s="8" t="str">
        <f>IF(A290="","",IF('كشف التوقيع والملخص'!$B$3="نعم",MAX(0,H290-10000)*0.003,0))</f>
        <v/>
      </c>
      <c r="M290" s="8" t="str">
        <f>IF(A290="","",I290+K290+L290)</f>
        <v/>
      </c>
      <c r="N290" s="8" t="str">
        <f>IF(A290="","",H290-M290)</f>
        <v/>
      </c>
    </row>
    <row r="291" spans="1:14" ht="14.25" x14ac:dyDescent="0.15">
      <c r="A291" s="5" t="str">
        <f>IF('بيانات الموظفين'!A291="","",'بيانات الموظفين'!A291)</f>
        <v/>
      </c>
      <c r="B291" s="5" t="str">
        <f>IF(A291="","",'بيانات الموظفين'!B291)</f>
        <v/>
      </c>
      <c r="C291" s="6" t="s">
        <v>25</v>
      </c>
      <c r="D291" s="6">
        <v>2026</v>
      </c>
      <c r="E291" s="6">
        <v>30</v>
      </c>
      <c r="F291" s="7"/>
      <c r="G291" s="7"/>
      <c r="H291" s="8" t="str">
        <f>IF(A291="","",(('بيانات الموظفين'!G291+'بيانات الموظفين'!H291)/30)*MIN(30,MAX(0,E291))+F291+G291)</f>
        <v/>
      </c>
      <c r="I291" s="8" t="str">
        <f>IF(A291="","",MIN(16700,MAX(2700,'بيانات الموظفين'!I291))*11%)</f>
        <v/>
      </c>
      <c r="J291" s="8" t="str">
        <f>IF(A291="","",MAX(0,ROUNDDOWN(H291*12-I291*12-20000,-1)))</f>
        <v/>
      </c>
      <c r="K291" s="8" t="str">
        <f>IF(A291="","",MAX(0,(IF(J291&lt;=40000,0,IF(J291&lt;=60000,(J291-40000)*10%,IF(J291&lt;=70000,2000+(J291-60000)*15%,IF(J291&lt;=200000,3500+(J291-70000)*20%,IF(J291&lt;=400000,29500+(J291-200000)*22.5%,IF(J291&lt;=1000000,74500+(J291-400000)*25%,224500+(J291-1000000)*27.5%)))))))/12))</f>
        <v/>
      </c>
      <c r="L291" s="8" t="str">
        <f>IF(A291="","",IF('كشف التوقيع والملخص'!$B$3="نعم",MAX(0,H291-10000)*0.003,0))</f>
        <v/>
      </c>
      <c r="M291" s="8" t="str">
        <f>IF(A291="","",I291+K291+L291)</f>
        <v/>
      </c>
      <c r="N291" s="8" t="str">
        <f>IF(A291="","",H291-M291)</f>
        <v/>
      </c>
    </row>
    <row r="292" spans="1:14" ht="14.25" x14ac:dyDescent="0.15">
      <c r="A292" s="5" t="str">
        <f>IF('بيانات الموظفين'!A292="","",'بيانات الموظفين'!A292)</f>
        <v/>
      </c>
      <c r="B292" s="5" t="str">
        <f>IF(A292="","",'بيانات الموظفين'!B292)</f>
        <v/>
      </c>
      <c r="C292" s="6" t="s">
        <v>25</v>
      </c>
      <c r="D292" s="6">
        <v>2026</v>
      </c>
      <c r="E292" s="6">
        <v>30</v>
      </c>
      <c r="F292" s="7"/>
      <c r="G292" s="7"/>
      <c r="H292" s="8" t="str">
        <f>IF(A292="","",(('بيانات الموظفين'!G292+'بيانات الموظفين'!H292)/30)*MIN(30,MAX(0,E292))+F292+G292)</f>
        <v/>
      </c>
      <c r="I292" s="8" t="str">
        <f>IF(A292="","",MIN(16700,MAX(2700,'بيانات الموظفين'!I292))*11%)</f>
        <v/>
      </c>
      <c r="J292" s="8" t="str">
        <f>IF(A292="","",MAX(0,ROUNDDOWN(H292*12-I292*12-20000,-1)))</f>
        <v/>
      </c>
      <c r="K292" s="8" t="str">
        <f>IF(A292="","",MAX(0,(IF(J292&lt;=40000,0,IF(J292&lt;=60000,(J292-40000)*10%,IF(J292&lt;=70000,2000+(J292-60000)*15%,IF(J292&lt;=200000,3500+(J292-70000)*20%,IF(J292&lt;=400000,29500+(J292-200000)*22.5%,IF(J292&lt;=1000000,74500+(J292-400000)*25%,224500+(J292-1000000)*27.5%)))))))/12))</f>
        <v/>
      </c>
      <c r="L292" s="8" t="str">
        <f>IF(A292="","",IF('كشف التوقيع والملخص'!$B$3="نعم",MAX(0,H292-10000)*0.003,0))</f>
        <v/>
      </c>
      <c r="M292" s="8" t="str">
        <f>IF(A292="","",I292+K292+L292)</f>
        <v/>
      </c>
      <c r="N292" s="8" t="str">
        <f>IF(A292="","",H292-M292)</f>
        <v/>
      </c>
    </row>
    <row r="293" spans="1:14" ht="14.25" x14ac:dyDescent="0.15">
      <c r="A293" s="5" t="str">
        <f>IF('بيانات الموظفين'!A293="","",'بيانات الموظفين'!A293)</f>
        <v/>
      </c>
      <c r="B293" s="5" t="str">
        <f>IF(A293="","",'بيانات الموظفين'!B293)</f>
        <v/>
      </c>
      <c r="C293" s="6" t="s">
        <v>25</v>
      </c>
      <c r="D293" s="6">
        <v>2026</v>
      </c>
      <c r="E293" s="6">
        <v>30</v>
      </c>
      <c r="F293" s="7"/>
      <c r="G293" s="7"/>
      <c r="H293" s="8" t="str">
        <f>IF(A293="","",(('بيانات الموظفين'!G293+'بيانات الموظفين'!H293)/30)*MIN(30,MAX(0,E293))+F293+G293)</f>
        <v/>
      </c>
      <c r="I293" s="8" t="str">
        <f>IF(A293="","",MIN(16700,MAX(2700,'بيانات الموظفين'!I293))*11%)</f>
        <v/>
      </c>
      <c r="J293" s="8" t="str">
        <f>IF(A293="","",MAX(0,ROUNDDOWN(H293*12-I293*12-20000,-1)))</f>
        <v/>
      </c>
      <c r="K293" s="8" t="str">
        <f>IF(A293="","",MAX(0,(IF(J293&lt;=40000,0,IF(J293&lt;=60000,(J293-40000)*10%,IF(J293&lt;=70000,2000+(J293-60000)*15%,IF(J293&lt;=200000,3500+(J293-70000)*20%,IF(J293&lt;=400000,29500+(J293-200000)*22.5%,IF(J293&lt;=1000000,74500+(J293-400000)*25%,224500+(J293-1000000)*27.5%)))))))/12))</f>
        <v/>
      </c>
      <c r="L293" s="8" t="str">
        <f>IF(A293="","",IF('كشف التوقيع والملخص'!$B$3="نعم",MAX(0,H293-10000)*0.003,0))</f>
        <v/>
      </c>
      <c r="M293" s="8" t="str">
        <f>IF(A293="","",I293+K293+L293)</f>
        <v/>
      </c>
      <c r="N293" s="8" t="str">
        <f>IF(A293="","",H293-M293)</f>
        <v/>
      </c>
    </row>
    <row r="294" spans="1:14" ht="14.25" x14ac:dyDescent="0.15">
      <c r="A294" s="5" t="str">
        <f>IF('بيانات الموظفين'!A294="","",'بيانات الموظفين'!A294)</f>
        <v/>
      </c>
      <c r="B294" s="5" t="str">
        <f>IF(A294="","",'بيانات الموظفين'!B294)</f>
        <v/>
      </c>
      <c r="C294" s="6" t="s">
        <v>25</v>
      </c>
      <c r="D294" s="6">
        <v>2026</v>
      </c>
      <c r="E294" s="6">
        <v>30</v>
      </c>
      <c r="F294" s="7"/>
      <c r="G294" s="7"/>
      <c r="H294" s="8" t="str">
        <f>IF(A294="","",(('بيانات الموظفين'!G294+'بيانات الموظفين'!H294)/30)*MIN(30,MAX(0,E294))+F294+G294)</f>
        <v/>
      </c>
      <c r="I294" s="8" t="str">
        <f>IF(A294="","",MIN(16700,MAX(2700,'بيانات الموظفين'!I294))*11%)</f>
        <v/>
      </c>
      <c r="J294" s="8" t="str">
        <f>IF(A294="","",MAX(0,ROUNDDOWN(H294*12-I294*12-20000,-1)))</f>
        <v/>
      </c>
      <c r="K294" s="8" t="str">
        <f>IF(A294="","",MAX(0,(IF(J294&lt;=40000,0,IF(J294&lt;=60000,(J294-40000)*10%,IF(J294&lt;=70000,2000+(J294-60000)*15%,IF(J294&lt;=200000,3500+(J294-70000)*20%,IF(J294&lt;=400000,29500+(J294-200000)*22.5%,IF(J294&lt;=1000000,74500+(J294-400000)*25%,224500+(J294-1000000)*27.5%)))))))/12))</f>
        <v/>
      </c>
      <c r="L294" s="8" t="str">
        <f>IF(A294="","",IF('كشف التوقيع والملخص'!$B$3="نعم",MAX(0,H294-10000)*0.003,0))</f>
        <v/>
      </c>
      <c r="M294" s="8" t="str">
        <f>IF(A294="","",I294+K294+L294)</f>
        <v/>
      </c>
      <c r="N294" s="8" t="str">
        <f>IF(A294="","",H294-M294)</f>
        <v/>
      </c>
    </row>
    <row r="295" spans="1:14" ht="14.25" x14ac:dyDescent="0.15">
      <c r="A295" s="5" t="str">
        <f>IF('بيانات الموظفين'!A295="","",'بيانات الموظفين'!A295)</f>
        <v/>
      </c>
      <c r="B295" s="5" t="str">
        <f>IF(A295="","",'بيانات الموظفين'!B295)</f>
        <v/>
      </c>
      <c r="C295" s="6" t="s">
        <v>25</v>
      </c>
      <c r="D295" s="6">
        <v>2026</v>
      </c>
      <c r="E295" s="6">
        <v>30</v>
      </c>
      <c r="F295" s="7"/>
      <c r="G295" s="7"/>
      <c r="H295" s="8" t="str">
        <f>IF(A295="","",(('بيانات الموظفين'!G295+'بيانات الموظفين'!H295)/30)*MIN(30,MAX(0,E295))+F295+G295)</f>
        <v/>
      </c>
      <c r="I295" s="8" t="str">
        <f>IF(A295="","",MIN(16700,MAX(2700,'بيانات الموظفين'!I295))*11%)</f>
        <v/>
      </c>
      <c r="J295" s="8" t="str">
        <f>IF(A295="","",MAX(0,ROUNDDOWN(H295*12-I295*12-20000,-1)))</f>
        <v/>
      </c>
      <c r="K295" s="8" t="str">
        <f>IF(A295="","",MAX(0,(IF(J295&lt;=40000,0,IF(J295&lt;=60000,(J295-40000)*10%,IF(J295&lt;=70000,2000+(J295-60000)*15%,IF(J295&lt;=200000,3500+(J295-70000)*20%,IF(J295&lt;=400000,29500+(J295-200000)*22.5%,IF(J295&lt;=1000000,74500+(J295-400000)*25%,224500+(J295-1000000)*27.5%)))))))/12))</f>
        <v/>
      </c>
      <c r="L295" s="8" t="str">
        <f>IF(A295="","",IF('كشف التوقيع والملخص'!$B$3="نعم",MAX(0,H295-10000)*0.003,0))</f>
        <v/>
      </c>
      <c r="M295" s="8" t="str">
        <f>IF(A295="","",I295+K295+L295)</f>
        <v/>
      </c>
      <c r="N295" s="8" t="str">
        <f>IF(A295="","",H295-M295)</f>
        <v/>
      </c>
    </row>
    <row r="296" spans="1:14" ht="14.25" x14ac:dyDescent="0.15">
      <c r="A296" s="5" t="str">
        <f>IF('بيانات الموظفين'!A296="","",'بيانات الموظفين'!A296)</f>
        <v/>
      </c>
      <c r="B296" s="5" t="str">
        <f>IF(A296="","",'بيانات الموظفين'!B296)</f>
        <v/>
      </c>
      <c r="C296" s="6" t="s">
        <v>25</v>
      </c>
      <c r="D296" s="6">
        <v>2026</v>
      </c>
      <c r="E296" s="6">
        <v>30</v>
      </c>
      <c r="F296" s="7"/>
      <c r="G296" s="7"/>
      <c r="H296" s="8" t="str">
        <f>IF(A296="","",(('بيانات الموظفين'!G296+'بيانات الموظفين'!H296)/30)*MIN(30,MAX(0,E296))+F296+G296)</f>
        <v/>
      </c>
      <c r="I296" s="8" t="str">
        <f>IF(A296="","",MIN(16700,MAX(2700,'بيانات الموظفين'!I296))*11%)</f>
        <v/>
      </c>
      <c r="J296" s="8" t="str">
        <f>IF(A296="","",MAX(0,ROUNDDOWN(H296*12-I296*12-20000,-1)))</f>
        <v/>
      </c>
      <c r="K296" s="8" t="str">
        <f>IF(A296="","",MAX(0,(IF(J296&lt;=40000,0,IF(J296&lt;=60000,(J296-40000)*10%,IF(J296&lt;=70000,2000+(J296-60000)*15%,IF(J296&lt;=200000,3500+(J296-70000)*20%,IF(J296&lt;=400000,29500+(J296-200000)*22.5%,IF(J296&lt;=1000000,74500+(J296-400000)*25%,224500+(J296-1000000)*27.5%)))))))/12))</f>
        <v/>
      </c>
      <c r="L296" s="8" t="str">
        <f>IF(A296="","",IF('كشف التوقيع والملخص'!$B$3="نعم",MAX(0,H296-10000)*0.003,0))</f>
        <v/>
      </c>
      <c r="M296" s="8" t="str">
        <f>IF(A296="","",I296+K296+L296)</f>
        <v/>
      </c>
      <c r="N296" s="8" t="str">
        <f>IF(A296="","",H296-M296)</f>
        <v/>
      </c>
    </row>
    <row r="297" spans="1:14" ht="14.25" x14ac:dyDescent="0.15">
      <c r="A297" s="5" t="str">
        <f>IF('بيانات الموظفين'!A297="","",'بيانات الموظفين'!A297)</f>
        <v/>
      </c>
      <c r="B297" s="5" t="str">
        <f>IF(A297="","",'بيانات الموظفين'!B297)</f>
        <v/>
      </c>
      <c r="C297" s="6" t="s">
        <v>25</v>
      </c>
      <c r="D297" s="6">
        <v>2026</v>
      </c>
      <c r="E297" s="6">
        <v>30</v>
      </c>
      <c r="F297" s="7"/>
      <c r="G297" s="7"/>
      <c r="H297" s="8" t="str">
        <f>IF(A297="","",(('بيانات الموظفين'!G297+'بيانات الموظفين'!H297)/30)*MIN(30,MAX(0,E297))+F297+G297)</f>
        <v/>
      </c>
      <c r="I297" s="8" t="str">
        <f>IF(A297="","",MIN(16700,MAX(2700,'بيانات الموظفين'!I297))*11%)</f>
        <v/>
      </c>
      <c r="J297" s="8" t="str">
        <f>IF(A297="","",MAX(0,ROUNDDOWN(H297*12-I297*12-20000,-1)))</f>
        <v/>
      </c>
      <c r="K297" s="8" t="str">
        <f>IF(A297="","",MAX(0,(IF(J297&lt;=40000,0,IF(J297&lt;=60000,(J297-40000)*10%,IF(J297&lt;=70000,2000+(J297-60000)*15%,IF(J297&lt;=200000,3500+(J297-70000)*20%,IF(J297&lt;=400000,29500+(J297-200000)*22.5%,IF(J297&lt;=1000000,74500+(J297-400000)*25%,224500+(J297-1000000)*27.5%)))))))/12))</f>
        <v/>
      </c>
      <c r="L297" s="8" t="str">
        <f>IF(A297="","",IF('كشف التوقيع والملخص'!$B$3="نعم",MAX(0,H297-10000)*0.003,0))</f>
        <v/>
      </c>
      <c r="M297" s="8" t="str">
        <f>IF(A297="","",I297+K297+L297)</f>
        <v/>
      </c>
      <c r="N297" s="8" t="str">
        <f>IF(A297="","",H297-M297)</f>
        <v/>
      </c>
    </row>
    <row r="298" spans="1:14" ht="14.25" x14ac:dyDescent="0.15">
      <c r="A298" s="5" t="str">
        <f>IF('بيانات الموظفين'!A298="","",'بيانات الموظفين'!A298)</f>
        <v/>
      </c>
      <c r="B298" s="5" t="str">
        <f>IF(A298="","",'بيانات الموظفين'!B298)</f>
        <v/>
      </c>
      <c r="C298" s="6" t="s">
        <v>25</v>
      </c>
      <c r="D298" s="6">
        <v>2026</v>
      </c>
      <c r="E298" s="6">
        <v>30</v>
      </c>
      <c r="F298" s="7"/>
      <c r="G298" s="7"/>
      <c r="H298" s="8" t="str">
        <f>IF(A298="","",(('بيانات الموظفين'!G298+'بيانات الموظفين'!H298)/30)*MIN(30,MAX(0,E298))+F298+G298)</f>
        <v/>
      </c>
      <c r="I298" s="8" t="str">
        <f>IF(A298="","",MIN(16700,MAX(2700,'بيانات الموظفين'!I298))*11%)</f>
        <v/>
      </c>
      <c r="J298" s="8" t="str">
        <f>IF(A298="","",MAX(0,ROUNDDOWN(H298*12-I298*12-20000,-1)))</f>
        <v/>
      </c>
      <c r="K298" s="8" t="str">
        <f>IF(A298="","",MAX(0,(IF(J298&lt;=40000,0,IF(J298&lt;=60000,(J298-40000)*10%,IF(J298&lt;=70000,2000+(J298-60000)*15%,IF(J298&lt;=200000,3500+(J298-70000)*20%,IF(J298&lt;=400000,29500+(J298-200000)*22.5%,IF(J298&lt;=1000000,74500+(J298-400000)*25%,224500+(J298-1000000)*27.5%)))))))/12))</f>
        <v/>
      </c>
      <c r="L298" s="8" t="str">
        <f>IF(A298="","",IF('كشف التوقيع والملخص'!$B$3="نعم",MAX(0,H298-10000)*0.003,0))</f>
        <v/>
      </c>
      <c r="M298" s="8" t="str">
        <f>IF(A298="","",I298+K298+L298)</f>
        <v/>
      </c>
      <c r="N298" s="8" t="str">
        <f>IF(A298="","",H298-M298)</f>
        <v/>
      </c>
    </row>
    <row r="299" spans="1:14" ht="14.25" x14ac:dyDescent="0.15">
      <c r="A299" s="5" t="str">
        <f>IF('بيانات الموظفين'!A299="","",'بيانات الموظفين'!A299)</f>
        <v/>
      </c>
      <c r="B299" s="5" t="str">
        <f>IF(A299="","",'بيانات الموظفين'!B299)</f>
        <v/>
      </c>
      <c r="C299" s="6" t="s">
        <v>25</v>
      </c>
      <c r="D299" s="6">
        <v>2026</v>
      </c>
      <c r="E299" s="6">
        <v>30</v>
      </c>
      <c r="F299" s="7"/>
      <c r="G299" s="7"/>
      <c r="H299" s="8" t="str">
        <f>IF(A299="","",(('بيانات الموظفين'!G299+'بيانات الموظفين'!H299)/30)*MIN(30,MAX(0,E299))+F299+G299)</f>
        <v/>
      </c>
      <c r="I299" s="8" t="str">
        <f>IF(A299="","",MIN(16700,MAX(2700,'بيانات الموظفين'!I299))*11%)</f>
        <v/>
      </c>
      <c r="J299" s="8" t="str">
        <f>IF(A299="","",MAX(0,ROUNDDOWN(H299*12-I299*12-20000,-1)))</f>
        <v/>
      </c>
      <c r="K299" s="8" t="str">
        <f>IF(A299="","",MAX(0,(IF(J299&lt;=40000,0,IF(J299&lt;=60000,(J299-40000)*10%,IF(J299&lt;=70000,2000+(J299-60000)*15%,IF(J299&lt;=200000,3500+(J299-70000)*20%,IF(J299&lt;=400000,29500+(J299-200000)*22.5%,IF(J299&lt;=1000000,74500+(J299-400000)*25%,224500+(J299-1000000)*27.5%)))))))/12))</f>
        <v/>
      </c>
      <c r="L299" s="8" t="str">
        <f>IF(A299="","",IF('كشف التوقيع والملخص'!$B$3="نعم",MAX(0,H299-10000)*0.003,0))</f>
        <v/>
      </c>
      <c r="M299" s="8" t="str">
        <f>IF(A299="","",I299+K299+L299)</f>
        <v/>
      </c>
      <c r="N299" s="8" t="str">
        <f>IF(A299="","",H299-M299)</f>
        <v/>
      </c>
    </row>
    <row r="300" spans="1:14" ht="14.25" x14ac:dyDescent="0.15">
      <c r="A300" s="5" t="str">
        <f>IF('بيانات الموظفين'!A300="","",'بيانات الموظفين'!A300)</f>
        <v/>
      </c>
      <c r="B300" s="5" t="str">
        <f>IF(A300="","",'بيانات الموظفين'!B300)</f>
        <v/>
      </c>
      <c r="C300" s="6" t="s">
        <v>25</v>
      </c>
      <c r="D300" s="6">
        <v>2026</v>
      </c>
      <c r="E300" s="6">
        <v>30</v>
      </c>
      <c r="F300" s="7"/>
      <c r="G300" s="7"/>
      <c r="H300" s="8" t="str">
        <f>IF(A300="","",(('بيانات الموظفين'!G300+'بيانات الموظفين'!H300)/30)*MIN(30,MAX(0,E300))+F300+G300)</f>
        <v/>
      </c>
      <c r="I300" s="8" t="str">
        <f>IF(A300="","",MIN(16700,MAX(2700,'بيانات الموظفين'!I300))*11%)</f>
        <v/>
      </c>
      <c r="J300" s="8" t="str">
        <f>IF(A300="","",MAX(0,ROUNDDOWN(H300*12-I300*12-20000,-1)))</f>
        <v/>
      </c>
      <c r="K300" s="8" t="str">
        <f>IF(A300="","",MAX(0,(IF(J300&lt;=40000,0,IF(J300&lt;=60000,(J300-40000)*10%,IF(J300&lt;=70000,2000+(J300-60000)*15%,IF(J300&lt;=200000,3500+(J300-70000)*20%,IF(J300&lt;=400000,29500+(J300-200000)*22.5%,IF(J300&lt;=1000000,74500+(J300-400000)*25%,224500+(J300-1000000)*27.5%)))))))/12))</f>
        <v/>
      </c>
      <c r="L300" s="8" t="str">
        <f>IF(A300="","",IF('كشف التوقيع والملخص'!$B$3="نعم",MAX(0,H300-10000)*0.003,0))</f>
        <v/>
      </c>
      <c r="M300" s="8" t="str">
        <f>IF(A300="","",I300+K300+L300)</f>
        <v/>
      </c>
      <c r="N300" s="8" t="str">
        <f>IF(A300="","",H300-M300)</f>
        <v/>
      </c>
    </row>
    <row r="301" spans="1:14" ht="14.25" x14ac:dyDescent="0.15">
      <c r="A301" s="5" t="str">
        <f>IF('بيانات الموظفين'!A301="","",'بيانات الموظفين'!A301)</f>
        <v/>
      </c>
      <c r="B301" s="5" t="str">
        <f>IF(A301="","",'بيانات الموظفين'!B301)</f>
        <v/>
      </c>
      <c r="C301" s="6" t="s">
        <v>25</v>
      </c>
      <c r="D301" s="6">
        <v>2026</v>
      </c>
      <c r="E301" s="6">
        <v>30</v>
      </c>
      <c r="F301" s="7"/>
      <c r="G301" s="7"/>
      <c r="H301" s="8" t="str">
        <f>IF(A301="","",(('بيانات الموظفين'!G301+'بيانات الموظفين'!H301)/30)*MIN(30,MAX(0,E301))+F301+G301)</f>
        <v/>
      </c>
      <c r="I301" s="8" t="str">
        <f>IF(A301="","",MIN(16700,MAX(2700,'بيانات الموظفين'!I301))*11%)</f>
        <v/>
      </c>
      <c r="J301" s="8" t="str">
        <f>IF(A301="","",MAX(0,ROUNDDOWN(H301*12-I301*12-20000,-1)))</f>
        <v/>
      </c>
      <c r="K301" s="8" t="str">
        <f>IF(A301="","",MAX(0,(IF(J301&lt;=40000,0,IF(J301&lt;=60000,(J301-40000)*10%,IF(J301&lt;=70000,2000+(J301-60000)*15%,IF(J301&lt;=200000,3500+(J301-70000)*20%,IF(J301&lt;=400000,29500+(J301-200000)*22.5%,IF(J301&lt;=1000000,74500+(J301-400000)*25%,224500+(J301-1000000)*27.5%)))))))/12))</f>
        <v/>
      </c>
      <c r="L301" s="8" t="str">
        <f>IF(A301="","",IF('كشف التوقيع والملخص'!$B$3="نعم",MAX(0,H301-10000)*0.003,0))</f>
        <v/>
      </c>
      <c r="M301" s="8" t="str">
        <f>IF(A301="","",I301+K301+L301)</f>
        <v/>
      </c>
      <c r="N301" s="8" t="str">
        <f>IF(A301="","",H301-M301)</f>
        <v/>
      </c>
    </row>
    <row r="302" spans="1:14" ht="14.25" x14ac:dyDescent="0.15">
      <c r="A302" s="5" t="str">
        <f>IF('بيانات الموظفين'!A302="","",'بيانات الموظفين'!A302)</f>
        <v/>
      </c>
      <c r="B302" s="5" t="str">
        <f>IF(A302="","",'بيانات الموظفين'!B302)</f>
        <v/>
      </c>
      <c r="C302" s="6" t="s">
        <v>25</v>
      </c>
      <c r="D302" s="6">
        <v>2026</v>
      </c>
      <c r="E302" s="6">
        <v>30</v>
      </c>
      <c r="F302" s="7"/>
      <c r="G302" s="7"/>
      <c r="H302" s="8" t="str">
        <f>IF(A302="","",(('بيانات الموظفين'!G302+'بيانات الموظفين'!H302)/30)*MIN(30,MAX(0,E302))+F302+G302)</f>
        <v/>
      </c>
      <c r="I302" s="8" t="str">
        <f>IF(A302="","",MIN(16700,MAX(2700,'بيانات الموظفين'!I302))*11%)</f>
        <v/>
      </c>
      <c r="J302" s="8" t="str">
        <f>IF(A302="","",MAX(0,ROUNDDOWN(H302*12-I302*12-20000,-1)))</f>
        <v/>
      </c>
      <c r="K302" s="8" t="str">
        <f>IF(A302="","",MAX(0,(IF(J302&lt;=40000,0,IF(J302&lt;=60000,(J302-40000)*10%,IF(J302&lt;=70000,2000+(J302-60000)*15%,IF(J302&lt;=200000,3500+(J302-70000)*20%,IF(J302&lt;=400000,29500+(J302-200000)*22.5%,IF(J302&lt;=1000000,74500+(J302-400000)*25%,224500+(J302-1000000)*27.5%)))))))/12))</f>
        <v/>
      </c>
      <c r="L302" s="8" t="str">
        <f>IF(A302="","",IF('كشف التوقيع والملخص'!$B$3="نعم",MAX(0,H302-10000)*0.003,0))</f>
        <v/>
      </c>
      <c r="M302" s="8" t="str">
        <f>IF(A302="","",I302+K302+L302)</f>
        <v/>
      </c>
      <c r="N302" s="8" t="str">
        <f>IF(A302="","",H302-M302)</f>
        <v/>
      </c>
    </row>
    <row r="303" spans="1:14" ht="14.25" x14ac:dyDescent="0.15">
      <c r="A303" s="5" t="str">
        <f>IF('بيانات الموظفين'!A303="","",'بيانات الموظفين'!A303)</f>
        <v/>
      </c>
      <c r="B303" s="5" t="str">
        <f>IF(A303="","",'بيانات الموظفين'!B303)</f>
        <v/>
      </c>
      <c r="C303" s="6" t="s">
        <v>25</v>
      </c>
      <c r="D303" s="6">
        <v>2026</v>
      </c>
      <c r="E303" s="6">
        <v>30</v>
      </c>
      <c r="F303" s="7"/>
      <c r="G303" s="7"/>
      <c r="H303" s="8" t="str">
        <f>IF(A303="","",(('بيانات الموظفين'!G303+'بيانات الموظفين'!H303)/30)*MIN(30,MAX(0,E303))+F303+G303)</f>
        <v/>
      </c>
      <c r="I303" s="8" t="str">
        <f>IF(A303="","",MIN(16700,MAX(2700,'بيانات الموظفين'!I303))*11%)</f>
        <v/>
      </c>
      <c r="J303" s="8" t="str">
        <f>IF(A303="","",MAX(0,ROUNDDOWN(H303*12-I303*12-20000,-1)))</f>
        <v/>
      </c>
      <c r="K303" s="8" t="str">
        <f>IF(A303="","",MAX(0,(IF(J303&lt;=40000,0,IF(J303&lt;=60000,(J303-40000)*10%,IF(J303&lt;=70000,2000+(J303-60000)*15%,IF(J303&lt;=200000,3500+(J303-70000)*20%,IF(J303&lt;=400000,29500+(J303-200000)*22.5%,IF(J303&lt;=1000000,74500+(J303-400000)*25%,224500+(J303-1000000)*27.5%)))))))/12))</f>
        <v/>
      </c>
      <c r="L303" s="8" t="str">
        <f>IF(A303="","",IF('كشف التوقيع والملخص'!$B$3="نعم",MAX(0,H303-10000)*0.003,0))</f>
        <v/>
      </c>
      <c r="M303" s="8" t="str">
        <f>IF(A303="","",I303+K303+L303)</f>
        <v/>
      </c>
      <c r="N303" s="8" t="str">
        <f>IF(A303="","",H303-M303)</f>
        <v/>
      </c>
    </row>
    <row r="304" spans="1:14" ht="14.25" x14ac:dyDescent="0.15">
      <c r="A304" s="5" t="str">
        <f>IF('بيانات الموظفين'!A304="","",'بيانات الموظفين'!A304)</f>
        <v/>
      </c>
      <c r="B304" s="5" t="str">
        <f>IF(A304="","",'بيانات الموظفين'!B304)</f>
        <v/>
      </c>
      <c r="C304" s="6" t="s">
        <v>25</v>
      </c>
      <c r="D304" s="6">
        <v>2026</v>
      </c>
      <c r="E304" s="6">
        <v>30</v>
      </c>
      <c r="F304" s="7"/>
      <c r="G304" s="7"/>
      <c r="H304" s="8" t="str">
        <f>IF(A304="","",(('بيانات الموظفين'!G304+'بيانات الموظفين'!H304)/30)*MIN(30,MAX(0,E304))+F304+G304)</f>
        <v/>
      </c>
      <c r="I304" s="8" t="str">
        <f>IF(A304="","",MIN(16700,MAX(2700,'بيانات الموظفين'!I304))*11%)</f>
        <v/>
      </c>
      <c r="J304" s="8" t="str">
        <f>IF(A304="","",MAX(0,ROUNDDOWN(H304*12-I304*12-20000,-1)))</f>
        <v/>
      </c>
      <c r="K304" s="8" t="str">
        <f>IF(A304="","",MAX(0,(IF(J304&lt;=40000,0,IF(J304&lt;=60000,(J304-40000)*10%,IF(J304&lt;=70000,2000+(J304-60000)*15%,IF(J304&lt;=200000,3500+(J304-70000)*20%,IF(J304&lt;=400000,29500+(J304-200000)*22.5%,IF(J304&lt;=1000000,74500+(J304-400000)*25%,224500+(J304-1000000)*27.5%)))))))/12))</f>
        <v/>
      </c>
      <c r="L304" s="8" t="str">
        <f>IF(A304="","",IF('كشف التوقيع والملخص'!$B$3="نعم",MAX(0,H304-10000)*0.003,0))</f>
        <v/>
      </c>
      <c r="M304" s="8" t="str">
        <f>IF(A304="","",I304+K304+L304)</f>
        <v/>
      </c>
      <c r="N304" s="8" t="str">
        <f>IF(A304="","",H304-M304)</f>
        <v/>
      </c>
    </row>
    <row r="305" spans="1:14" ht="14.25" x14ac:dyDescent="0.15">
      <c r="A305" s="5" t="str">
        <f>IF('بيانات الموظفين'!A305="","",'بيانات الموظفين'!A305)</f>
        <v/>
      </c>
      <c r="B305" s="5" t="str">
        <f>IF(A305="","",'بيانات الموظفين'!B305)</f>
        <v/>
      </c>
      <c r="C305" s="6" t="s">
        <v>25</v>
      </c>
      <c r="D305" s="6">
        <v>2026</v>
      </c>
      <c r="E305" s="6">
        <v>30</v>
      </c>
      <c r="F305" s="7"/>
      <c r="G305" s="7"/>
      <c r="H305" s="8" t="str">
        <f>IF(A305="","",(('بيانات الموظفين'!G305+'بيانات الموظفين'!H305)/30)*MIN(30,MAX(0,E305))+F305+G305)</f>
        <v/>
      </c>
      <c r="I305" s="8" t="str">
        <f>IF(A305="","",MIN(16700,MAX(2700,'بيانات الموظفين'!I305))*11%)</f>
        <v/>
      </c>
      <c r="J305" s="8" t="str">
        <f>IF(A305="","",MAX(0,ROUNDDOWN(H305*12-I305*12-20000,-1)))</f>
        <v/>
      </c>
      <c r="K305" s="8" t="str">
        <f>IF(A305="","",MAX(0,(IF(J305&lt;=40000,0,IF(J305&lt;=60000,(J305-40000)*10%,IF(J305&lt;=70000,2000+(J305-60000)*15%,IF(J305&lt;=200000,3500+(J305-70000)*20%,IF(J305&lt;=400000,29500+(J305-200000)*22.5%,IF(J305&lt;=1000000,74500+(J305-400000)*25%,224500+(J305-1000000)*27.5%)))))))/12))</f>
        <v/>
      </c>
      <c r="L305" s="8" t="str">
        <f>IF(A305="","",IF('كشف التوقيع والملخص'!$B$3="نعم",MAX(0,H305-10000)*0.003,0))</f>
        <v/>
      </c>
      <c r="M305" s="8" t="str">
        <f>IF(A305="","",I305+K305+L305)</f>
        <v/>
      </c>
      <c r="N305" s="8" t="str">
        <f>IF(A305="","",H305-M305)</f>
        <v/>
      </c>
    </row>
    <row r="306" spans="1:14" ht="14.25" x14ac:dyDescent="0.15">
      <c r="A306" s="5" t="str">
        <f>IF('بيانات الموظفين'!A306="","",'بيانات الموظفين'!A306)</f>
        <v/>
      </c>
      <c r="B306" s="5" t="str">
        <f>IF(A306="","",'بيانات الموظفين'!B306)</f>
        <v/>
      </c>
      <c r="C306" s="6" t="s">
        <v>25</v>
      </c>
      <c r="D306" s="6">
        <v>2026</v>
      </c>
      <c r="E306" s="6">
        <v>30</v>
      </c>
      <c r="F306" s="7"/>
      <c r="G306" s="7"/>
      <c r="H306" s="8" t="str">
        <f>IF(A306="","",(('بيانات الموظفين'!G306+'بيانات الموظفين'!H306)/30)*MIN(30,MAX(0,E306))+F306+G306)</f>
        <v/>
      </c>
      <c r="I306" s="8" t="str">
        <f>IF(A306="","",MIN(16700,MAX(2700,'بيانات الموظفين'!I306))*11%)</f>
        <v/>
      </c>
      <c r="J306" s="8" t="str">
        <f>IF(A306="","",MAX(0,ROUNDDOWN(H306*12-I306*12-20000,-1)))</f>
        <v/>
      </c>
      <c r="K306" s="8" t="str">
        <f>IF(A306="","",MAX(0,(IF(J306&lt;=40000,0,IF(J306&lt;=60000,(J306-40000)*10%,IF(J306&lt;=70000,2000+(J306-60000)*15%,IF(J306&lt;=200000,3500+(J306-70000)*20%,IF(J306&lt;=400000,29500+(J306-200000)*22.5%,IF(J306&lt;=1000000,74500+(J306-400000)*25%,224500+(J306-1000000)*27.5%)))))))/12))</f>
        <v/>
      </c>
      <c r="L306" s="8" t="str">
        <f>IF(A306="","",IF('كشف التوقيع والملخص'!$B$3="نعم",MAX(0,H306-10000)*0.003,0))</f>
        <v/>
      </c>
      <c r="M306" s="8" t="str">
        <f>IF(A306="","",I306+K306+L306)</f>
        <v/>
      </c>
      <c r="N306" s="8" t="str">
        <f>IF(A306="","",H306-M306)</f>
        <v/>
      </c>
    </row>
    <row r="307" spans="1:14" ht="14.25" x14ac:dyDescent="0.15">
      <c r="A307" s="5" t="str">
        <f>IF('بيانات الموظفين'!A307="","",'بيانات الموظفين'!A307)</f>
        <v/>
      </c>
      <c r="B307" s="5" t="str">
        <f>IF(A307="","",'بيانات الموظفين'!B307)</f>
        <v/>
      </c>
      <c r="C307" s="6" t="s">
        <v>25</v>
      </c>
      <c r="D307" s="6">
        <v>2026</v>
      </c>
      <c r="E307" s="6">
        <v>30</v>
      </c>
      <c r="F307" s="7"/>
      <c r="G307" s="7"/>
      <c r="H307" s="8" t="str">
        <f>IF(A307="","",(('بيانات الموظفين'!G307+'بيانات الموظفين'!H307)/30)*MIN(30,MAX(0,E307))+F307+G307)</f>
        <v/>
      </c>
      <c r="I307" s="8" t="str">
        <f>IF(A307="","",MIN(16700,MAX(2700,'بيانات الموظفين'!I307))*11%)</f>
        <v/>
      </c>
      <c r="J307" s="8" t="str">
        <f>IF(A307="","",MAX(0,ROUNDDOWN(H307*12-I307*12-20000,-1)))</f>
        <v/>
      </c>
      <c r="K307" s="8" t="str">
        <f>IF(A307="","",MAX(0,(IF(J307&lt;=40000,0,IF(J307&lt;=60000,(J307-40000)*10%,IF(J307&lt;=70000,2000+(J307-60000)*15%,IF(J307&lt;=200000,3500+(J307-70000)*20%,IF(J307&lt;=400000,29500+(J307-200000)*22.5%,IF(J307&lt;=1000000,74500+(J307-400000)*25%,224500+(J307-1000000)*27.5%)))))))/12))</f>
        <v/>
      </c>
      <c r="L307" s="8" t="str">
        <f>IF(A307="","",IF('كشف التوقيع والملخص'!$B$3="نعم",MAX(0,H307-10000)*0.003,0))</f>
        <v/>
      </c>
      <c r="M307" s="8" t="str">
        <f>IF(A307="","",I307+K307+L307)</f>
        <v/>
      </c>
      <c r="N307" s="8" t="str">
        <f>IF(A307="","",H307-M307)</f>
        <v/>
      </c>
    </row>
    <row r="308" spans="1:14" ht="14.25" x14ac:dyDescent="0.15">
      <c r="A308" s="5" t="str">
        <f>IF('بيانات الموظفين'!A308="","",'بيانات الموظفين'!A308)</f>
        <v/>
      </c>
      <c r="B308" s="5" t="str">
        <f>IF(A308="","",'بيانات الموظفين'!B308)</f>
        <v/>
      </c>
      <c r="C308" s="6" t="s">
        <v>25</v>
      </c>
      <c r="D308" s="6">
        <v>2026</v>
      </c>
      <c r="E308" s="6">
        <v>30</v>
      </c>
      <c r="F308" s="7"/>
      <c r="G308" s="7"/>
      <c r="H308" s="8" t="str">
        <f>IF(A308="","",(('بيانات الموظفين'!G308+'بيانات الموظفين'!H308)/30)*MIN(30,MAX(0,E308))+F308+G308)</f>
        <v/>
      </c>
      <c r="I308" s="8" t="str">
        <f>IF(A308="","",MIN(16700,MAX(2700,'بيانات الموظفين'!I308))*11%)</f>
        <v/>
      </c>
      <c r="J308" s="8" t="str">
        <f>IF(A308="","",MAX(0,ROUNDDOWN(H308*12-I308*12-20000,-1)))</f>
        <v/>
      </c>
      <c r="K308" s="8" t="str">
        <f>IF(A308="","",MAX(0,(IF(J308&lt;=40000,0,IF(J308&lt;=60000,(J308-40000)*10%,IF(J308&lt;=70000,2000+(J308-60000)*15%,IF(J308&lt;=200000,3500+(J308-70000)*20%,IF(J308&lt;=400000,29500+(J308-200000)*22.5%,IF(J308&lt;=1000000,74500+(J308-400000)*25%,224500+(J308-1000000)*27.5%)))))))/12))</f>
        <v/>
      </c>
      <c r="L308" s="8" t="str">
        <f>IF(A308="","",IF('كشف التوقيع والملخص'!$B$3="نعم",MAX(0,H308-10000)*0.003,0))</f>
        <v/>
      </c>
      <c r="M308" s="8" t="str">
        <f>IF(A308="","",I308+K308+L308)</f>
        <v/>
      </c>
      <c r="N308" s="8" t="str">
        <f>IF(A308="","",H308-M308)</f>
        <v/>
      </c>
    </row>
    <row r="309" spans="1:14" ht="14.25" x14ac:dyDescent="0.15">
      <c r="A309" s="5" t="str">
        <f>IF('بيانات الموظفين'!A309="","",'بيانات الموظفين'!A309)</f>
        <v/>
      </c>
      <c r="B309" s="5" t="str">
        <f>IF(A309="","",'بيانات الموظفين'!B309)</f>
        <v/>
      </c>
      <c r="C309" s="6" t="s">
        <v>25</v>
      </c>
      <c r="D309" s="6">
        <v>2026</v>
      </c>
      <c r="E309" s="6">
        <v>30</v>
      </c>
      <c r="F309" s="7"/>
      <c r="G309" s="7"/>
      <c r="H309" s="8" t="str">
        <f>IF(A309="","",(('بيانات الموظفين'!G309+'بيانات الموظفين'!H309)/30)*MIN(30,MAX(0,E309))+F309+G309)</f>
        <v/>
      </c>
      <c r="I309" s="8" t="str">
        <f>IF(A309="","",MIN(16700,MAX(2700,'بيانات الموظفين'!I309))*11%)</f>
        <v/>
      </c>
      <c r="J309" s="8" t="str">
        <f>IF(A309="","",MAX(0,ROUNDDOWN(H309*12-I309*12-20000,-1)))</f>
        <v/>
      </c>
      <c r="K309" s="8" t="str">
        <f>IF(A309="","",MAX(0,(IF(J309&lt;=40000,0,IF(J309&lt;=60000,(J309-40000)*10%,IF(J309&lt;=70000,2000+(J309-60000)*15%,IF(J309&lt;=200000,3500+(J309-70000)*20%,IF(J309&lt;=400000,29500+(J309-200000)*22.5%,IF(J309&lt;=1000000,74500+(J309-400000)*25%,224500+(J309-1000000)*27.5%)))))))/12))</f>
        <v/>
      </c>
      <c r="L309" s="8" t="str">
        <f>IF(A309="","",IF('كشف التوقيع والملخص'!$B$3="نعم",MAX(0,H309-10000)*0.003,0))</f>
        <v/>
      </c>
      <c r="M309" s="8" t="str">
        <f>IF(A309="","",I309+K309+L309)</f>
        <v/>
      </c>
      <c r="N309" s="8" t="str">
        <f>IF(A309="","",H309-M309)</f>
        <v/>
      </c>
    </row>
    <row r="310" spans="1:14" ht="14.25" x14ac:dyDescent="0.15">
      <c r="A310" s="5" t="str">
        <f>IF('بيانات الموظفين'!A310="","",'بيانات الموظفين'!A310)</f>
        <v/>
      </c>
      <c r="B310" s="5" t="str">
        <f>IF(A310="","",'بيانات الموظفين'!B310)</f>
        <v/>
      </c>
      <c r="C310" s="6" t="s">
        <v>25</v>
      </c>
      <c r="D310" s="6">
        <v>2026</v>
      </c>
      <c r="E310" s="6">
        <v>30</v>
      </c>
      <c r="F310" s="7"/>
      <c r="G310" s="7"/>
      <c r="H310" s="8" t="str">
        <f>IF(A310="","",(('بيانات الموظفين'!G310+'بيانات الموظفين'!H310)/30)*MIN(30,MAX(0,E310))+F310+G310)</f>
        <v/>
      </c>
      <c r="I310" s="8" t="str">
        <f>IF(A310="","",MIN(16700,MAX(2700,'بيانات الموظفين'!I310))*11%)</f>
        <v/>
      </c>
      <c r="J310" s="8" t="str">
        <f>IF(A310="","",MAX(0,ROUNDDOWN(H310*12-I310*12-20000,-1)))</f>
        <v/>
      </c>
      <c r="K310" s="8" t="str">
        <f>IF(A310="","",MAX(0,(IF(J310&lt;=40000,0,IF(J310&lt;=60000,(J310-40000)*10%,IF(J310&lt;=70000,2000+(J310-60000)*15%,IF(J310&lt;=200000,3500+(J310-70000)*20%,IF(J310&lt;=400000,29500+(J310-200000)*22.5%,IF(J310&lt;=1000000,74500+(J310-400000)*25%,224500+(J310-1000000)*27.5%)))))))/12))</f>
        <v/>
      </c>
      <c r="L310" s="8" t="str">
        <f>IF(A310="","",IF('كشف التوقيع والملخص'!$B$3="نعم",MAX(0,H310-10000)*0.003,0))</f>
        <v/>
      </c>
      <c r="M310" s="8" t="str">
        <f>IF(A310="","",I310+K310+L310)</f>
        <v/>
      </c>
      <c r="N310" s="8" t="str">
        <f>IF(A310="","",H310-M310)</f>
        <v/>
      </c>
    </row>
    <row r="311" spans="1:14" ht="14.25" x14ac:dyDescent="0.15">
      <c r="A311" s="5" t="str">
        <f>IF('بيانات الموظفين'!A311="","",'بيانات الموظفين'!A311)</f>
        <v/>
      </c>
      <c r="B311" s="5" t="str">
        <f>IF(A311="","",'بيانات الموظفين'!B311)</f>
        <v/>
      </c>
      <c r="C311" s="6" t="s">
        <v>25</v>
      </c>
      <c r="D311" s="6">
        <v>2026</v>
      </c>
      <c r="E311" s="6">
        <v>30</v>
      </c>
      <c r="F311" s="7"/>
      <c r="G311" s="7"/>
      <c r="H311" s="8" t="str">
        <f>IF(A311="","",(('بيانات الموظفين'!G311+'بيانات الموظفين'!H311)/30)*MIN(30,MAX(0,E311))+F311+G311)</f>
        <v/>
      </c>
      <c r="I311" s="8" t="str">
        <f>IF(A311="","",MIN(16700,MAX(2700,'بيانات الموظفين'!I311))*11%)</f>
        <v/>
      </c>
      <c r="J311" s="8" t="str">
        <f>IF(A311="","",MAX(0,ROUNDDOWN(H311*12-I311*12-20000,-1)))</f>
        <v/>
      </c>
      <c r="K311" s="8" t="str">
        <f>IF(A311="","",MAX(0,(IF(J311&lt;=40000,0,IF(J311&lt;=60000,(J311-40000)*10%,IF(J311&lt;=70000,2000+(J311-60000)*15%,IF(J311&lt;=200000,3500+(J311-70000)*20%,IF(J311&lt;=400000,29500+(J311-200000)*22.5%,IF(J311&lt;=1000000,74500+(J311-400000)*25%,224500+(J311-1000000)*27.5%)))))))/12))</f>
        <v/>
      </c>
      <c r="L311" s="8" t="str">
        <f>IF(A311="","",IF('كشف التوقيع والملخص'!$B$3="نعم",MAX(0,H311-10000)*0.003,0))</f>
        <v/>
      </c>
      <c r="M311" s="8" t="str">
        <f>IF(A311="","",I311+K311+L311)</f>
        <v/>
      </c>
      <c r="N311" s="8" t="str">
        <f>IF(A311="","",H311-M311)</f>
        <v/>
      </c>
    </row>
    <row r="312" spans="1:14" ht="14.25" x14ac:dyDescent="0.15">
      <c r="A312" s="5" t="str">
        <f>IF('بيانات الموظفين'!A312="","",'بيانات الموظفين'!A312)</f>
        <v/>
      </c>
      <c r="B312" s="5" t="str">
        <f>IF(A312="","",'بيانات الموظفين'!B312)</f>
        <v/>
      </c>
      <c r="C312" s="6" t="s">
        <v>25</v>
      </c>
      <c r="D312" s="6">
        <v>2026</v>
      </c>
      <c r="E312" s="6">
        <v>30</v>
      </c>
      <c r="F312" s="7"/>
      <c r="G312" s="7"/>
      <c r="H312" s="8" t="str">
        <f>IF(A312="","",(('بيانات الموظفين'!G312+'بيانات الموظفين'!H312)/30)*MIN(30,MAX(0,E312))+F312+G312)</f>
        <v/>
      </c>
      <c r="I312" s="8" t="str">
        <f>IF(A312="","",MIN(16700,MAX(2700,'بيانات الموظفين'!I312))*11%)</f>
        <v/>
      </c>
      <c r="J312" s="8" t="str">
        <f>IF(A312="","",MAX(0,ROUNDDOWN(H312*12-I312*12-20000,-1)))</f>
        <v/>
      </c>
      <c r="K312" s="8" t="str">
        <f>IF(A312="","",MAX(0,(IF(J312&lt;=40000,0,IF(J312&lt;=60000,(J312-40000)*10%,IF(J312&lt;=70000,2000+(J312-60000)*15%,IF(J312&lt;=200000,3500+(J312-70000)*20%,IF(J312&lt;=400000,29500+(J312-200000)*22.5%,IF(J312&lt;=1000000,74500+(J312-400000)*25%,224500+(J312-1000000)*27.5%)))))))/12))</f>
        <v/>
      </c>
      <c r="L312" s="8" t="str">
        <f>IF(A312="","",IF('كشف التوقيع والملخص'!$B$3="نعم",MAX(0,H312-10000)*0.003,0))</f>
        <v/>
      </c>
      <c r="M312" s="8" t="str">
        <f>IF(A312="","",I312+K312+L312)</f>
        <v/>
      </c>
      <c r="N312" s="8" t="str">
        <f>IF(A312="","",H312-M312)</f>
        <v/>
      </c>
    </row>
    <row r="313" spans="1:14" ht="14.25" x14ac:dyDescent="0.15">
      <c r="A313" s="5" t="str">
        <f>IF('بيانات الموظفين'!A313="","",'بيانات الموظفين'!A313)</f>
        <v/>
      </c>
      <c r="B313" s="5" t="str">
        <f>IF(A313="","",'بيانات الموظفين'!B313)</f>
        <v/>
      </c>
      <c r="C313" s="6" t="s">
        <v>25</v>
      </c>
      <c r="D313" s="6">
        <v>2026</v>
      </c>
      <c r="E313" s="6">
        <v>30</v>
      </c>
      <c r="F313" s="7"/>
      <c r="G313" s="7"/>
      <c r="H313" s="8" t="str">
        <f>IF(A313="","",(('بيانات الموظفين'!G313+'بيانات الموظفين'!H313)/30)*MIN(30,MAX(0,E313))+F313+G313)</f>
        <v/>
      </c>
      <c r="I313" s="8" t="str">
        <f>IF(A313="","",MIN(16700,MAX(2700,'بيانات الموظفين'!I313))*11%)</f>
        <v/>
      </c>
      <c r="J313" s="8" t="str">
        <f>IF(A313="","",MAX(0,ROUNDDOWN(H313*12-I313*12-20000,-1)))</f>
        <v/>
      </c>
      <c r="K313" s="8" t="str">
        <f>IF(A313="","",MAX(0,(IF(J313&lt;=40000,0,IF(J313&lt;=60000,(J313-40000)*10%,IF(J313&lt;=70000,2000+(J313-60000)*15%,IF(J313&lt;=200000,3500+(J313-70000)*20%,IF(J313&lt;=400000,29500+(J313-200000)*22.5%,IF(J313&lt;=1000000,74500+(J313-400000)*25%,224500+(J313-1000000)*27.5%)))))))/12))</f>
        <v/>
      </c>
      <c r="L313" s="8" t="str">
        <f>IF(A313="","",IF('كشف التوقيع والملخص'!$B$3="نعم",MAX(0,H313-10000)*0.003,0))</f>
        <v/>
      </c>
      <c r="M313" s="8" t="str">
        <f>IF(A313="","",I313+K313+L313)</f>
        <v/>
      </c>
      <c r="N313" s="8" t="str">
        <f>IF(A313="","",H313-M313)</f>
        <v/>
      </c>
    </row>
    <row r="314" spans="1:14" ht="14.25" x14ac:dyDescent="0.15">
      <c r="A314" s="5" t="str">
        <f>IF('بيانات الموظفين'!A314="","",'بيانات الموظفين'!A314)</f>
        <v/>
      </c>
      <c r="B314" s="5" t="str">
        <f>IF(A314="","",'بيانات الموظفين'!B314)</f>
        <v/>
      </c>
      <c r="C314" s="6" t="s">
        <v>25</v>
      </c>
      <c r="D314" s="6">
        <v>2026</v>
      </c>
      <c r="E314" s="6">
        <v>30</v>
      </c>
      <c r="F314" s="7"/>
      <c r="G314" s="7"/>
      <c r="H314" s="8" t="str">
        <f>IF(A314="","",(('بيانات الموظفين'!G314+'بيانات الموظفين'!H314)/30)*MIN(30,MAX(0,E314))+F314+G314)</f>
        <v/>
      </c>
      <c r="I314" s="8" t="str">
        <f>IF(A314="","",MIN(16700,MAX(2700,'بيانات الموظفين'!I314))*11%)</f>
        <v/>
      </c>
      <c r="J314" s="8" t="str">
        <f>IF(A314="","",MAX(0,ROUNDDOWN(H314*12-I314*12-20000,-1)))</f>
        <v/>
      </c>
      <c r="K314" s="8" t="str">
        <f>IF(A314="","",MAX(0,(IF(J314&lt;=40000,0,IF(J314&lt;=60000,(J314-40000)*10%,IF(J314&lt;=70000,2000+(J314-60000)*15%,IF(J314&lt;=200000,3500+(J314-70000)*20%,IF(J314&lt;=400000,29500+(J314-200000)*22.5%,IF(J314&lt;=1000000,74500+(J314-400000)*25%,224500+(J314-1000000)*27.5%)))))))/12))</f>
        <v/>
      </c>
      <c r="L314" s="8" t="str">
        <f>IF(A314="","",IF('كشف التوقيع والملخص'!$B$3="نعم",MAX(0,H314-10000)*0.003,0))</f>
        <v/>
      </c>
      <c r="M314" s="8" t="str">
        <f>IF(A314="","",I314+K314+L314)</f>
        <v/>
      </c>
      <c r="N314" s="8" t="str">
        <f>IF(A314="","",H314-M314)</f>
        <v/>
      </c>
    </row>
    <row r="315" spans="1:14" ht="14.25" x14ac:dyDescent="0.15">
      <c r="A315" s="5" t="str">
        <f>IF('بيانات الموظفين'!A315="","",'بيانات الموظفين'!A315)</f>
        <v/>
      </c>
      <c r="B315" s="5" t="str">
        <f>IF(A315="","",'بيانات الموظفين'!B315)</f>
        <v/>
      </c>
      <c r="C315" s="6" t="s">
        <v>25</v>
      </c>
      <c r="D315" s="6">
        <v>2026</v>
      </c>
      <c r="E315" s="6">
        <v>30</v>
      </c>
      <c r="F315" s="7"/>
      <c r="G315" s="7"/>
      <c r="H315" s="8" t="str">
        <f>IF(A315="","",(('بيانات الموظفين'!G315+'بيانات الموظفين'!H315)/30)*MIN(30,MAX(0,E315))+F315+G315)</f>
        <v/>
      </c>
      <c r="I315" s="8" t="str">
        <f>IF(A315="","",MIN(16700,MAX(2700,'بيانات الموظفين'!I315))*11%)</f>
        <v/>
      </c>
      <c r="J315" s="8" t="str">
        <f>IF(A315="","",MAX(0,ROUNDDOWN(H315*12-I315*12-20000,-1)))</f>
        <v/>
      </c>
      <c r="K315" s="8" t="str">
        <f>IF(A315="","",MAX(0,(IF(J315&lt;=40000,0,IF(J315&lt;=60000,(J315-40000)*10%,IF(J315&lt;=70000,2000+(J315-60000)*15%,IF(J315&lt;=200000,3500+(J315-70000)*20%,IF(J315&lt;=400000,29500+(J315-200000)*22.5%,IF(J315&lt;=1000000,74500+(J315-400000)*25%,224500+(J315-1000000)*27.5%)))))))/12))</f>
        <v/>
      </c>
      <c r="L315" s="8" t="str">
        <f>IF(A315="","",IF('كشف التوقيع والملخص'!$B$3="نعم",MAX(0,H315-10000)*0.003,0))</f>
        <v/>
      </c>
      <c r="M315" s="8" t="str">
        <f>IF(A315="","",I315+K315+L315)</f>
        <v/>
      </c>
      <c r="N315" s="8" t="str">
        <f>IF(A315="","",H315-M315)</f>
        <v/>
      </c>
    </row>
    <row r="316" spans="1:14" ht="14.25" x14ac:dyDescent="0.15">
      <c r="A316" s="5" t="str">
        <f>IF('بيانات الموظفين'!A316="","",'بيانات الموظفين'!A316)</f>
        <v/>
      </c>
      <c r="B316" s="5" t="str">
        <f>IF(A316="","",'بيانات الموظفين'!B316)</f>
        <v/>
      </c>
      <c r="C316" s="6" t="s">
        <v>25</v>
      </c>
      <c r="D316" s="6">
        <v>2026</v>
      </c>
      <c r="E316" s="6">
        <v>30</v>
      </c>
      <c r="F316" s="7"/>
      <c r="G316" s="7"/>
      <c r="H316" s="8" t="str">
        <f>IF(A316="","",(('بيانات الموظفين'!G316+'بيانات الموظفين'!H316)/30)*MIN(30,MAX(0,E316))+F316+G316)</f>
        <v/>
      </c>
      <c r="I316" s="8" t="str">
        <f>IF(A316="","",MIN(16700,MAX(2700,'بيانات الموظفين'!I316))*11%)</f>
        <v/>
      </c>
      <c r="J316" s="8" t="str">
        <f>IF(A316="","",MAX(0,ROUNDDOWN(H316*12-I316*12-20000,-1)))</f>
        <v/>
      </c>
      <c r="K316" s="8" t="str">
        <f>IF(A316="","",MAX(0,(IF(J316&lt;=40000,0,IF(J316&lt;=60000,(J316-40000)*10%,IF(J316&lt;=70000,2000+(J316-60000)*15%,IF(J316&lt;=200000,3500+(J316-70000)*20%,IF(J316&lt;=400000,29500+(J316-200000)*22.5%,IF(J316&lt;=1000000,74500+(J316-400000)*25%,224500+(J316-1000000)*27.5%)))))))/12))</f>
        <v/>
      </c>
      <c r="L316" s="8" t="str">
        <f>IF(A316="","",IF('كشف التوقيع والملخص'!$B$3="نعم",MAX(0,H316-10000)*0.003,0))</f>
        <v/>
      </c>
      <c r="M316" s="8" t="str">
        <f>IF(A316="","",I316+K316+L316)</f>
        <v/>
      </c>
      <c r="N316" s="8" t="str">
        <f>IF(A316="","",H316-M316)</f>
        <v/>
      </c>
    </row>
    <row r="317" spans="1:14" ht="14.25" x14ac:dyDescent="0.15">
      <c r="A317" s="5" t="str">
        <f>IF('بيانات الموظفين'!A317="","",'بيانات الموظفين'!A317)</f>
        <v/>
      </c>
      <c r="B317" s="5" t="str">
        <f>IF(A317="","",'بيانات الموظفين'!B317)</f>
        <v/>
      </c>
      <c r="C317" s="6" t="s">
        <v>25</v>
      </c>
      <c r="D317" s="6">
        <v>2026</v>
      </c>
      <c r="E317" s="6">
        <v>30</v>
      </c>
      <c r="F317" s="7"/>
      <c r="G317" s="7"/>
      <c r="H317" s="8" t="str">
        <f>IF(A317="","",(('بيانات الموظفين'!G317+'بيانات الموظفين'!H317)/30)*MIN(30,MAX(0,E317))+F317+G317)</f>
        <v/>
      </c>
      <c r="I317" s="8" t="str">
        <f>IF(A317="","",MIN(16700,MAX(2700,'بيانات الموظفين'!I317))*11%)</f>
        <v/>
      </c>
      <c r="J317" s="8" t="str">
        <f>IF(A317="","",MAX(0,ROUNDDOWN(H317*12-I317*12-20000,-1)))</f>
        <v/>
      </c>
      <c r="K317" s="8" t="str">
        <f>IF(A317="","",MAX(0,(IF(J317&lt;=40000,0,IF(J317&lt;=60000,(J317-40000)*10%,IF(J317&lt;=70000,2000+(J317-60000)*15%,IF(J317&lt;=200000,3500+(J317-70000)*20%,IF(J317&lt;=400000,29500+(J317-200000)*22.5%,IF(J317&lt;=1000000,74500+(J317-400000)*25%,224500+(J317-1000000)*27.5%)))))))/12))</f>
        <v/>
      </c>
      <c r="L317" s="8" t="str">
        <f>IF(A317="","",IF('كشف التوقيع والملخص'!$B$3="نعم",MAX(0,H317-10000)*0.003,0))</f>
        <v/>
      </c>
      <c r="M317" s="8" t="str">
        <f>IF(A317="","",I317+K317+L317)</f>
        <v/>
      </c>
      <c r="N317" s="8" t="str">
        <f>IF(A317="","",H317-M317)</f>
        <v/>
      </c>
    </row>
    <row r="318" spans="1:14" ht="14.25" x14ac:dyDescent="0.15">
      <c r="A318" s="5" t="str">
        <f>IF('بيانات الموظفين'!A318="","",'بيانات الموظفين'!A318)</f>
        <v/>
      </c>
      <c r="B318" s="5" t="str">
        <f>IF(A318="","",'بيانات الموظفين'!B318)</f>
        <v/>
      </c>
      <c r="C318" s="6" t="s">
        <v>25</v>
      </c>
      <c r="D318" s="6">
        <v>2026</v>
      </c>
      <c r="E318" s="6">
        <v>30</v>
      </c>
      <c r="F318" s="7"/>
      <c r="G318" s="7"/>
      <c r="H318" s="8" t="str">
        <f>IF(A318="","",(('بيانات الموظفين'!G318+'بيانات الموظفين'!H318)/30)*MIN(30,MAX(0,E318))+F318+G318)</f>
        <v/>
      </c>
      <c r="I318" s="8" t="str">
        <f>IF(A318="","",MIN(16700,MAX(2700,'بيانات الموظفين'!I318))*11%)</f>
        <v/>
      </c>
      <c r="J318" s="8" t="str">
        <f>IF(A318="","",MAX(0,ROUNDDOWN(H318*12-I318*12-20000,-1)))</f>
        <v/>
      </c>
      <c r="K318" s="8" t="str">
        <f>IF(A318="","",MAX(0,(IF(J318&lt;=40000,0,IF(J318&lt;=60000,(J318-40000)*10%,IF(J318&lt;=70000,2000+(J318-60000)*15%,IF(J318&lt;=200000,3500+(J318-70000)*20%,IF(J318&lt;=400000,29500+(J318-200000)*22.5%,IF(J318&lt;=1000000,74500+(J318-400000)*25%,224500+(J318-1000000)*27.5%)))))))/12))</f>
        <v/>
      </c>
      <c r="L318" s="8" t="str">
        <f>IF(A318="","",IF('كشف التوقيع والملخص'!$B$3="نعم",MAX(0,H318-10000)*0.003,0))</f>
        <v/>
      </c>
      <c r="M318" s="8" t="str">
        <f>IF(A318="","",I318+K318+L318)</f>
        <v/>
      </c>
      <c r="N318" s="8" t="str">
        <f>IF(A318="","",H318-M318)</f>
        <v/>
      </c>
    </row>
    <row r="319" spans="1:14" ht="14.25" x14ac:dyDescent="0.15">
      <c r="A319" s="5" t="str">
        <f>IF('بيانات الموظفين'!A319="","",'بيانات الموظفين'!A319)</f>
        <v/>
      </c>
      <c r="B319" s="5" t="str">
        <f>IF(A319="","",'بيانات الموظفين'!B319)</f>
        <v/>
      </c>
      <c r="C319" s="6" t="s">
        <v>25</v>
      </c>
      <c r="D319" s="6">
        <v>2026</v>
      </c>
      <c r="E319" s="6">
        <v>30</v>
      </c>
      <c r="F319" s="7"/>
      <c r="G319" s="7"/>
      <c r="H319" s="8" t="str">
        <f>IF(A319="","",(('بيانات الموظفين'!G319+'بيانات الموظفين'!H319)/30)*MIN(30,MAX(0,E319))+F319+G319)</f>
        <v/>
      </c>
      <c r="I319" s="8" t="str">
        <f>IF(A319="","",MIN(16700,MAX(2700,'بيانات الموظفين'!I319))*11%)</f>
        <v/>
      </c>
      <c r="J319" s="8" t="str">
        <f>IF(A319="","",MAX(0,ROUNDDOWN(H319*12-I319*12-20000,-1)))</f>
        <v/>
      </c>
      <c r="K319" s="8" t="str">
        <f>IF(A319="","",MAX(0,(IF(J319&lt;=40000,0,IF(J319&lt;=60000,(J319-40000)*10%,IF(J319&lt;=70000,2000+(J319-60000)*15%,IF(J319&lt;=200000,3500+(J319-70000)*20%,IF(J319&lt;=400000,29500+(J319-200000)*22.5%,IF(J319&lt;=1000000,74500+(J319-400000)*25%,224500+(J319-1000000)*27.5%)))))))/12))</f>
        <v/>
      </c>
      <c r="L319" s="8" t="str">
        <f>IF(A319="","",IF('كشف التوقيع والملخص'!$B$3="نعم",MAX(0,H319-10000)*0.003,0))</f>
        <v/>
      </c>
      <c r="M319" s="8" t="str">
        <f>IF(A319="","",I319+K319+L319)</f>
        <v/>
      </c>
      <c r="N319" s="8" t="str">
        <f>IF(A319="","",H319-M319)</f>
        <v/>
      </c>
    </row>
    <row r="320" spans="1:14" ht="14.25" x14ac:dyDescent="0.15">
      <c r="A320" s="5" t="str">
        <f>IF('بيانات الموظفين'!A320="","",'بيانات الموظفين'!A320)</f>
        <v/>
      </c>
      <c r="B320" s="5" t="str">
        <f>IF(A320="","",'بيانات الموظفين'!B320)</f>
        <v/>
      </c>
      <c r="C320" s="6" t="s">
        <v>25</v>
      </c>
      <c r="D320" s="6">
        <v>2026</v>
      </c>
      <c r="E320" s="6">
        <v>30</v>
      </c>
      <c r="F320" s="7"/>
      <c r="G320" s="7"/>
      <c r="H320" s="8" t="str">
        <f>IF(A320="","",(('بيانات الموظفين'!G320+'بيانات الموظفين'!H320)/30)*MIN(30,MAX(0,E320))+F320+G320)</f>
        <v/>
      </c>
      <c r="I320" s="8" t="str">
        <f>IF(A320="","",MIN(16700,MAX(2700,'بيانات الموظفين'!I320))*11%)</f>
        <v/>
      </c>
      <c r="J320" s="8" t="str">
        <f>IF(A320="","",MAX(0,ROUNDDOWN(H320*12-I320*12-20000,-1)))</f>
        <v/>
      </c>
      <c r="K320" s="8" t="str">
        <f>IF(A320="","",MAX(0,(IF(J320&lt;=40000,0,IF(J320&lt;=60000,(J320-40000)*10%,IF(J320&lt;=70000,2000+(J320-60000)*15%,IF(J320&lt;=200000,3500+(J320-70000)*20%,IF(J320&lt;=400000,29500+(J320-200000)*22.5%,IF(J320&lt;=1000000,74500+(J320-400000)*25%,224500+(J320-1000000)*27.5%)))))))/12))</f>
        <v/>
      </c>
      <c r="L320" s="8" t="str">
        <f>IF(A320="","",IF('كشف التوقيع والملخص'!$B$3="نعم",MAX(0,H320-10000)*0.003,0))</f>
        <v/>
      </c>
      <c r="M320" s="8" t="str">
        <f>IF(A320="","",I320+K320+L320)</f>
        <v/>
      </c>
      <c r="N320" s="8" t="str">
        <f>IF(A320="","",H320-M320)</f>
        <v/>
      </c>
    </row>
    <row r="321" spans="1:14" ht="14.25" x14ac:dyDescent="0.15">
      <c r="A321" s="5" t="str">
        <f>IF('بيانات الموظفين'!A321="","",'بيانات الموظفين'!A321)</f>
        <v/>
      </c>
      <c r="B321" s="5" t="str">
        <f>IF(A321="","",'بيانات الموظفين'!B321)</f>
        <v/>
      </c>
      <c r="C321" s="6" t="s">
        <v>25</v>
      </c>
      <c r="D321" s="6">
        <v>2026</v>
      </c>
      <c r="E321" s="6">
        <v>30</v>
      </c>
      <c r="F321" s="7"/>
      <c r="G321" s="7"/>
      <c r="H321" s="8" t="str">
        <f>IF(A321="","",(('بيانات الموظفين'!G321+'بيانات الموظفين'!H321)/30)*MIN(30,MAX(0,E321))+F321+G321)</f>
        <v/>
      </c>
      <c r="I321" s="8" t="str">
        <f>IF(A321="","",MIN(16700,MAX(2700,'بيانات الموظفين'!I321))*11%)</f>
        <v/>
      </c>
      <c r="J321" s="8" t="str">
        <f>IF(A321="","",MAX(0,ROUNDDOWN(H321*12-I321*12-20000,-1)))</f>
        <v/>
      </c>
      <c r="K321" s="8" t="str">
        <f>IF(A321="","",MAX(0,(IF(J321&lt;=40000,0,IF(J321&lt;=60000,(J321-40000)*10%,IF(J321&lt;=70000,2000+(J321-60000)*15%,IF(J321&lt;=200000,3500+(J321-70000)*20%,IF(J321&lt;=400000,29500+(J321-200000)*22.5%,IF(J321&lt;=1000000,74500+(J321-400000)*25%,224500+(J321-1000000)*27.5%)))))))/12))</f>
        <v/>
      </c>
      <c r="L321" s="8" t="str">
        <f>IF(A321="","",IF('كشف التوقيع والملخص'!$B$3="نعم",MAX(0,H321-10000)*0.003,0))</f>
        <v/>
      </c>
      <c r="M321" s="8" t="str">
        <f>IF(A321="","",I321+K321+L321)</f>
        <v/>
      </c>
      <c r="N321" s="8" t="str">
        <f>IF(A321="","",H321-M321)</f>
        <v/>
      </c>
    </row>
    <row r="322" spans="1:14" ht="14.25" x14ac:dyDescent="0.15">
      <c r="A322" s="5" t="str">
        <f>IF('بيانات الموظفين'!A322="","",'بيانات الموظفين'!A322)</f>
        <v/>
      </c>
      <c r="B322" s="5" t="str">
        <f>IF(A322="","",'بيانات الموظفين'!B322)</f>
        <v/>
      </c>
      <c r="C322" s="6" t="s">
        <v>25</v>
      </c>
      <c r="D322" s="6">
        <v>2026</v>
      </c>
      <c r="E322" s="6">
        <v>30</v>
      </c>
      <c r="F322" s="7"/>
      <c r="G322" s="7"/>
      <c r="H322" s="8" t="str">
        <f>IF(A322="","",(('بيانات الموظفين'!G322+'بيانات الموظفين'!H322)/30)*MIN(30,MAX(0,E322))+F322+G322)</f>
        <v/>
      </c>
      <c r="I322" s="8" t="str">
        <f>IF(A322="","",MIN(16700,MAX(2700,'بيانات الموظفين'!I322))*11%)</f>
        <v/>
      </c>
      <c r="J322" s="8" t="str">
        <f>IF(A322="","",MAX(0,ROUNDDOWN(H322*12-I322*12-20000,-1)))</f>
        <v/>
      </c>
      <c r="K322" s="8" t="str">
        <f>IF(A322="","",MAX(0,(IF(J322&lt;=40000,0,IF(J322&lt;=60000,(J322-40000)*10%,IF(J322&lt;=70000,2000+(J322-60000)*15%,IF(J322&lt;=200000,3500+(J322-70000)*20%,IF(J322&lt;=400000,29500+(J322-200000)*22.5%,IF(J322&lt;=1000000,74500+(J322-400000)*25%,224500+(J322-1000000)*27.5%)))))))/12))</f>
        <v/>
      </c>
      <c r="L322" s="8" t="str">
        <f>IF(A322="","",IF('كشف التوقيع والملخص'!$B$3="نعم",MAX(0,H322-10000)*0.003,0))</f>
        <v/>
      </c>
      <c r="M322" s="8" t="str">
        <f>IF(A322="","",I322+K322+L322)</f>
        <v/>
      </c>
      <c r="N322" s="8" t="str">
        <f>IF(A322="","",H322-M322)</f>
        <v/>
      </c>
    </row>
    <row r="323" spans="1:14" ht="14.25" x14ac:dyDescent="0.15">
      <c r="A323" s="5" t="str">
        <f>IF('بيانات الموظفين'!A323="","",'بيانات الموظفين'!A323)</f>
        <v/>
      </c>
      <c r="B323" s="5" t="str">
        <f>IF(A323="","",'بيانات الموظفين'!B323)</f>
        <v/>
      </c>
      <c r="C323" s="6" t="s">
        <v>25</v>
      </c>
      <c r="D323" s="6">
        <v>2026</v>
      </c>
      <c r="E323" s="6">
        <v>30</v>
      </c>
      <c r="F323" s="7"/>
      <c r="G323" s="7"/>
      <c r="H323" s="8" t="str">
        <f>IF(A323="","",(('بيانات الموظفين'!G323+'بيانات الموظفين'!H323)/30)*MIN(30,MAX(0,E323))+F323+G323)</f>
        <v/>
      </c>
      <c r="I323" s="8" t="str">
        <f>IF(A323="","",MIN(16700,MAX(2700,'بيانات الموظفين'!I323))*11%)</f>
        <v/>
      </c>
      <c r="J323" s="8" t="str">
        <f>IF(A323="","",MAX(0,ROUNDDOWN(H323*12-I323*12-20000,-1)))</f>
        <v/>
      </c>
      <c r="K323" s="8" t="str">
        <f>IF(A323="","",MAX(0,(IF(J323&lt;=40000,0,IF(J323&lt;=60000,(J323-40000)*10%,IF(J323&lt;=70000,2000+(J323-60000)*15%,IF(J323&lt;=200000,3500+(J323-70000)*20%,IF(J323&lt;=400000,29500+(J323-200000)*22.5%,IF(J323&lt;=1000000,74500+(J323-400000)*25%,224500+(J323-1000000)*27.5%)))))))/12))</f>
        <v/>
      </c>
      <c r="L323" s="8" t="str">
        <f>IF(A323="","",IF('كشف التوقيع والملخص'!$B$3="نعم",MAX(0,H323-10000)*0.003,0))</f>
        <v/>
      </c>
      <c r="M323" s="8" t="str">
        <f>IF(A323="","",I323+K323+L323)</f>
        <v/>
      </c>
      <c r="N323" s="8" t="str">
        <f>IF(A323="","",H323-M323)</f>
        <v/>
      </c>
    </row>
    <row r="324" spans="1:14" ht="14.25" x14ac:dyDescent="0.15">
      <c r="A324" s="5" t="str">
        <f>IF('بيانات الموظفين'!A324="","",'بيانات الموظفين'!A324)</f>
        <v/>
      </c>
      <c r="B324" s="5" t="str">
        <f>IF(A324="","",'بيانات الموظفين'!B324)</f>
        <v/>
      </c>
      <c r="C324" s="6" t="s">
        <v>25</v>
      </c>
      <c r="D324" s="6">
        <v>2026</v>
      </c>
      <c r="E324" s="6">
        <v>30</v>
      </c>
      <c r="F324" s="7"/>
      <c r="G324" s="7"/>
      <c r="H324" s="8" t="str">
        <f>IF(A324="","",(('بيانات الموظفين'!G324+'بيانات الموظفين'!H324)/30)*MIN(30,MAX(0,E324))+F324+G324)</f>
        <v/>
      </c>
      <c r="I324" s="8" t="str">
        <f>IF(A324="","",MIN(16700,MAX(2700,'بيانات الموظفين'!I324))*11%)</f>
        <v/>
      </c>
      <c r="J324" s="8" t="str">
        <f>IF(A324="","",MAX(0,ROUNDDOWN(H324*12-I324*12-20000,-1)))</f>
        <v/>
      </c>
      <c r="K324" s="8" t="str">
        <f>IF(A324="","",MAX(0,(IF(J324&lt;=40000,0,IF(J324&lt;=60000,(J324-40000)*10%,IF(J324&lt;=70000,2000+(J324-60000)*15%,IF(J324&lt;=200000,3500+(J324-70000)*20%,IF(J324&lt;=400000,29500+(J324-200000)*22.5%,IF(J324&lt;=1000000,74500+(J324-400000)*25%,224500+(J324-1000000)*27.5%)))))))/12))</f>
        <v/>
      </c>
      <c r="L324" s="8" t="str">
        <f>IF(A324="","",IF('كشف التوقيع والملخص'!$B$3="نعم",MAX(0,H324-10000)*0.003,0))</f>
        <v/>
      </c>
      <c r="M324" s="8" t="str">
        <f>IF(A324="","",I324+K324+L324)</f>
        <v/>
      </c>
      <c r="N324" s="8" t="str">
        <f>IF(A324="","",H324-M324)</f>
        <v/>
      </c>
    </row>
    <row r="325" spans="1:14" ht="14.25" x14ac:dyDescent="0.15">
      <c r="A325" s="5" t="str">
        <f>IF('بيانات الموظفين'!A325="","",'بيانات الموظفين'!A325)</f>
        <v/>
      </c>
      <c r="B325" s="5" t="str">
        <f>IF(A325="","",'بيانات الموظفين'!B325)</f>
        <v/>
      </c>
      <c r="C325" s="6" t="s">
        <v>25</v>
      </c>
      <c r="D325" s="6">
        <v>2026</v>
      </c>
      <c r="E325" s="6">
        <v>30</v>
      </c>
      <c r="F325" s="7"/>
      <c r="G325" s="7"/>
      <c r="H325" s="8" t="str">
        <f>IF(A325="","",(('بيانات الموظفين'!G325+'بيانات الموظفين'!H325)/30)*MIN(30,MAX(0,E325))+F325+G325)</f>
        <v/>
      </c>
      <c r="I325" s="8" t="str">
        <f>IF(A325="","",MIN(16700,MAX(2700,'بيانات الموظفين'!I325))*11%)</f>
        <v/>
      </c>
      <c r="J325" s="8" t="str">
        <f>IF(A325="","",MAX(0,ROUNDDOWN(H325*12-I325*12-20000,-1)))</f>
        <v/>
      </c>
      <c r="K325" s="8" t="str">
        <f>IF(A325="","",MAX(0,(IF(J325&lt;=40000,0,IF(J325&lt;=60000,(J325-40000)*10%,IF(J325&lt;=70000,2000+(J325-60000)*15%,IF(J325&lt;=200000,3500+(J325-70000)*20%,IF(J325&lt;=400000,29500+(J325-200000)*22.5%,IF(J325&lt;=1000000,74500+(J325-400000)*25%,224500+(J325-1000000)*27.5%)))))))/12))</f>
        <v/>
      </c>
      <c r="L325" s="8" t="str">
        <f>IF(A325="","",IF('كشف التوقيع والملخص'!$B$3="نعم",MAX(0,H325-10000)*0.003,0))</f>
        <v/>
      </c>
      <c r="M325" s="8" t="str">
        <f>IF(A325="","",I325+K325+L325)</f>
        <v/>
      </c>
      <c r="N325" s="8" t="str">
        <f>IF(A325="","",H325-M325)</f>
        <v/>
      </c>
    </row>
    <row r="326" spans="1:14" ht="14.25" x14ac:dyDescent="0.15">
      <c r="A326" s="5" t="str">
        <f>IF('بيانات الموظفين'!A326="","",'بيانات الموظفين'!A326)</f>
        <v/>
      </c>
      <c r="B326" s="5" t="str">
        <f>IF(A326="","",'بيانات الموظفين'!B326)</f>
        <v/>
      </c>
      <c r="C326" s="6" t="s">
        <v>25</v>
      </c>
      <c r="D326" s="6">
        <v>2026</v>
      </c>
      <c r="E326" s="6">
        <v>30</v>
      </c>
      <c r="F326" s="7"/>
      <c r="G326" s="7"/>
      <c r="H326" s="8" t="str">
        <f>IF(A326="","",(('بيانات الموظفين'!G326+'بيانات الموظفين'!H326)/30)*MIN(30,MAX(0,E326))+F326+G326)</f>
        <v/>
      </c>
      <c r="I326" s="8" t="str">
        <f>IF(A326="","",MIN(16700,MAX(2700,'بيانات الموظفين'!I326))*11%)</f>
        <v/>
      </c>
      <c r="J326" s="8" t="str">
        <f>IF(A326="","",MAX(0,ROUNDDOWN(H326*12-I326*12-20000,-1)))</f>
        <v/>
      </c>
      <c r="K326" s="8" t="str">
        <f>IF(A326="","",MAX(0,(IF(J326&lt;=40000,0,IF(J326&lt;=60000,(J326-40000)*10%,IF(J326&lt;=70000,2000+(J326-60000)*15%,IF(J326&lt;=200000,3500+(J326-70000)*20%,IF(J326&lt;=400000,29500+(J326-200000)*22.5%,IF(J326&lt;=1000000,74500+(J326-400000)*25%,224500+(J326-1000000)*27.5%)))))))/12))</f>
        <v/>
      </c>
      <c r="L326" s="8" t="str">
        <f>IF(A326="","",IF('كشف التوقيع والملخص'!$B$3="نعم",MAX(0,H326-10000)*0.003,0))</f>
        <v/>
      </c>
      <c r="M326" s="8" t="str">
        <f>IF(A326="","",I326+K326+L326)</f>
        <v/>
      </c>
      <c r="N326" s="8" t="str">
        <f>IF(A326="","",H326-M326)</f>
        <v/>
      </c>
    </row>
    <row r="327" spans="1:14" ht="14.25" x14ac:dyDescent="0.15">
      <c r="A327" s="5" t="str">
        <f>IF('بيانات الموظفين'!A327="","",'بيانات الموظفين'!A327)</f>
        <v/>
      </c>
      <c r="B327" s="5" t="str">
        <f>IF(A327="","",'بيانات الموظفين'!B327)</f>
        <v/>
      </c>
      <c r="C327" s="6" t="s">
        <v>25</v>
      </c>
      <c r="D327" s="6">
        <v>2026</v>
      </c>
      <c r="E327" s="6">
        <v>30</v>
      </c>
      <c r="F327" s="7"/>
      <c r="G327" s="7"/>
      <c r="H327" s="8" t="str">
        <f>IF(A327="","",(('بيانات الموظفين'!G327+'بيانات الموظفين'!H327)/30)*MIN(30,MAX(0,E327))+F327+G327)</f>
        <v/>
      </c>
      <c r="I327" s="8" t="str">
        <f>IF(A327="","",MIN(16700,MAX(2700,'بيانات الموظفين'!I327))*11%)</f>
        <v/>
      </c>
      <c r="J327" s="8" t="str">
        <f>IF(A327="","",MAX(0,ROUNDDOWN(H327*12-I327*12-20000,-1)))</f>
        <v/>
      </c>
      <c r="K327" s="8" t="str">
        <f>IF(A327="","",MAX(0,(IF(J327&lt;=40000,0,IF(J327&lt;=60000,(J327-40000)*10%,IF(J327&lt;=70000,2000+(J327-60000)*15%,IF(J327&lt;=200000,3500+(J327-70000)*20%,IF(J327&lt;=400000,29500+(J327-200000)*22.5%,IF(J327&lt;=1000000,74500+(J327-400000)*25%,224500+(J327-1000000)*27.5%)))))))/12))</f>
        <v/>
      </c>
      <c r="L327" s="8" t="str">
        <f>IF(A327="","",IF('كشف التوقيع والملخص'!$B$3="نعم",MAX(0,H327-10000)*0.003,0))</f>
        <v/>
      </c>
      <c r="M327" s="8" t="str">
        <f>IF(A327="","",I327+K327+L327)</f>
        <v/>
      </c>
      <c r="N327" s="8" t="str">
        <f>IF(A327="","",H327-M327)</f>
        <v/>
      </c>
    </row>
    <row r="328" spans="1:14" ht="14.25" x14ac:dyDescent="0.15">
      <c r="A328" s="5" t="str">
        <f>IF('بيانات الموظفين'!A328="","",'بيانات الموظفين'!A328)</f>
        <v/>
      </c>
      <c r="B328" s="5" t="str">
        <f>IF(A328="","",'بيانات الموظفين'!B328)</f>
        <v/>
      </c>
      <c r="C328" s="6" t="s">
        <v>25</v>
      </c>
      <c r="D328" s="6">
        <v>2026</v>
      </c>
      <c r="E328" s="6">
        <v>30</v>
      </c>
      <c r="F328" s="7"/>
      <c r="G328" s="7"/>
      <c r="H328" s="8" t="str">
        <f>IF(A328="","",(('بيانات الموظفين'!G328+'بيانات الموظفين'!H328)/30)*MIN(30,MAX(0,E328))+F328+G328)</f>
        <v/>
      </c>
      <c r="I328" s="8" t="str">
        <f>IF(A328="","",MIN(16700,MAX(2700,'بيانات الموظفين'!I328))*11%)</f>
        <v/>
      </c>
      <c r="J328" s="8" t="str">
        <f>IF(A328="","",MAX(0,ROUNDDOWN(H328*12-I328*12-20000,-1)))</f>
        <v/>
      </c>
      <c r="K328" s="8" t="str">
        <f>IF(A328="","",MAX(0,(IF(J328&lt;=40000,0,IF(J328&lt;=60000,(J328-40000)*10%,IF(J328&lt;=70000,2000+(J328-60000)*15%,IF(J328&lt;=200000,3500+(J328-70000)*20%,IF(J328&lt;=400000,29500+(J328-200000)*22.5%,IF(J328&lt;=1000000,74500+(J328-400000)*25%,224500+(J328-1000000)*27.5%)))))))/12))</f>
        <v/>
      </c>
      <c r="L328" s="8" t="str">
        <f>IF(A328="","",IF('كشف التوقيع والملخص'!$B$3="نعم",MAX(0,H328-10000)*0.003,0))</f>
        <v/>
      </c>
      <c r="M328" s="8" t="str">
        <f>IF(A328="","",I328+K328+L328)</f>
        <v/>
      </c>
      <c r="N328" s="8" t="str">
        <f>IF(A328="","",H328-M328)</f>
        <v/>
      </c>
    </row>
    <row r="329" spans="1:14" ht="14.25" x14ac:dyDescent="0.15">
      <c r="A329" s="5" t="str">
        <f>IF('بيانات الموظفين'!A329="","",'بيانات الموظفين'!A329)</f>
        <v/>
      </c>
      <c r="B329" s="5" t="str">
        <f>IF(A329="","",'بيانات الموظفين'!B329)</f>
        <v/>
      </c>
      <c r="C329" s="6" t="s">
        <v>25</v>
      </c>
      <c r="D329" s="6">
        <v>2026</v>
      </c>
      <c r="E329" s="6">
        <v>30</v>
      </c>
      <c r="F329" s="7"/>
      <c r="G329" s="7"/>
      <c r="H329" s="8" t="str">
        <f>IF(A329="","",(('بيانات الموظفين'!G329+'بيانات الموظفين'!H329)/30)*MIN(30,MAX(0,E329))+F329+G329)</f>
        <v/>
      </c>
      <c r="I329" s="8" t="str">
        <f>IF(A329="","",MIN(16700,MAX(2700,'بيانات الموظفين'!I329))*11%)</f>
        <v/>
      </c>
      <c r="J329" s="8" t="str">
        <f>IF(A329="","",MAX(0,ROUNDDOWN(H329*12-I329*12-20000,-1)))</f>
        <v/>
      </c>
      <c r="K329" s="8" t="str">
        <f>IF(A329="","",MAX(0,(IF(J329&lt;=40000,0,IF(J329&lt;=60000,(J329-40000)*10%,IF(J329&lt;=70000,2000+(J329-60000)*15%,IF(J329&lt;=200000,3500+(J329-70000)*20%,IF(J329&lt;=400000,29500+(J329-200000)*22.5%,IF(J329&lt;=1000000,74500+(J329-400000)*25%,224500+(J329-1000000)*27.5%)))))))/12))</f>
        <v/>
      </c>
      <c r="L329" s="8" t="str">
        <f>IF(A329="","",IF('كشف التوقيع والملخص'!$B$3="نعم",MAX(0,H329-10000)*0.003,0))</f>
        <v/>
      </c>
      <c r="M329" s="8" t="str">
        <f>IF(A329="","",I329+K329+L329)</f>
        <v/>
      </c>
      <c r="N329" s="8" t="str">
        <f>IF(A329="","",H329-M329)</f>
        <v/>
      </c>
    </row>
    <row r="330" spans="1:14" ht="14.25" x14ac:dyDescent="0.15">
      <c r="A330" s="5" t="str">
        <f>IF('بيانات الموظفين'!A330="","",'بيانات الموظفين'!A330)</f>
        <v/>
      </c>
      <c r="B330" s="5" t="str">
        <f>IF(A330="","",'بيانات الموظفين'!B330)</f>
        <v/>
      </c>
      <c r="C330" s="6" t="s">
        <v>25</v>
      </c>
      <c r="D330" s="6">
        <v>2026</v>
      </c>
      <c r="E330" s="6">
        <v>30</v>
      </c>
      <c r="F330" s="7"/>
      <c r="G330" s="7"/>
      <c r="H330" s="8" t="str">
        <f>IF(A330="","",(('بيانات الموظفين'!G330+'بيانات الموظفين'!H330)/30)*MIN(30,MAX(0,E330))+F330+G330)</f>
        <v/>
      </c>
      <c r="I330" s="8" t="str">
        <f>IF(A330="","",MIN(16700,MAX(2700,'بيانات الموظفين'!I330))*11%)</f>
        <v/>
      </c>
      <c r="J330" s="8" t="str">
        <f>IF(A330="","",MAX(0,ROUNDDOWN(H330*12-I330*12-20000,-1)))</f>
        <v/>
      </c>
      <c r="K330" s="8" t="str">
        <f>IF(A330="","",MAX(0,(IF(J330&lt;=40000,0,IF(J330&lt;=60000,(J330-40000)*10%,IF(J330&lt;=70000,2000+(J330-60000)*15%,IF(J330&lt;=200000,3500+(J330-70000)*20%,IF(J330&lt;=400000,29500+(J330-200000)*22.5%,IF(J330&lt;=1000000,74500+(J330-400000)*25%,224500+(J330-1000000)*27.5%)))))))/12))</f>
        <v/>
      </c>
      <c r="L330" s="8" t="str">
        <f>IF(A330="","",IF('كشف التوقيع والملخص'!$B$3="نعم",MAX(0,H330-10000)*0.003,0))</f>
        <v/>
      </c>
      <c r="M330" s="8" t="str">
        <f>IF(A330="","",I330+K330+L330)</f>
        <v/>
      </c>
      <c r="N330" s="8" t="str">
        <f>IF(A330="","",H330-M330)</f>
        <v/>
      </c>
    </row>
    <row r="331" spans="1:14" ht="14.25" x14ac:dyDescent="0.15">
      <c r="A331" s="5" t="str">
        <f>IF('بيانات الموظفين'!A331="","",'بيانات الموظفين'!A331)</f>
        <v/>
      </c>
      <c r="B331" s="5" t="str">
        <f>IF(A331="","",'بيانات الموظفين'!B331)</f>
        <v/>
      </c>
      <c r="C331" s="6" t="s">
        <v>25</v>
      </c>
      <c r="D331" s="6">
        <v>2026</v>
      </c>
      <c r="E331" s="6">
        <v>30</v>
      </c>
      <c r="F331" s="7"/>
      <c r="G331" s="7"/>
      <c r="H331" s="8" t="str">
        <f>IF(A331="","",(('بيانات الموظفين'!G331+'بيانات الموظفين'!H331)/30)*MIN(30,MAX(0,E331))+F331+G331)</f>
        <v/>
      </c>
      <c r="I331" s="8" t="str">
        <f>IF(A331="","",MIN(16700,MAX(2700,'بيانات الموظفين'!I331))*11%)</f>
        <v/>
      </c>
      <c r="J331" s="8" t="str">
        <f>IF(A331="","",MAX(0,ROUNDDOWN(H331*12-I331*12-20000,-1)))</f>
        <v/>
      </c>
      <c r="K331" s="8" t="str">
        <f>IF(A331="","",MAX(0,(IF(J331&lt;=40000,0,IF(J331&lt;=60000,(J331-40000)*10%,IF(J331&lt;=70000,2000+(J331-60000)*15%,IF(J331&lt;=200000,3500+(J331-70000)*20%,IF(J331&lt;=400000,29500+(J331-200000)*22.5%,IF(J331&lt;=1000000,74500+(J331-400000)*25%,224500+(J331-1000000)*27.5%)))))))/12))</f>
        <v/>
      </c>
      <c r="L331" s="8" t="str">
        <f>IF(A331="","",IF('كشف التوقيع والملخص'!$B$3="نعم",MAX(0,H331-10000)*0.003,0))</f>
        <v/>
      </c>
      <c r="M331" s="8" t="str">
        <f>IF(A331="","",I331+K331+L331)</f>
        <v/>
      </c>
      <c r="N331" s="8" t="str">
        <f>IF(A331="","",H331-M331)</f>
        <v/>
      </c>
    </row>
    <row r="332" spans="1:14" ht="14.25" x14ac:dyDescent="0.15">
      <c r="A332" s="5" t="str">
        <f>IF('بيانات الموظفين'!A332="","",'بيانات الموظفين'!A332)</f>
        <v/>
      </c>
      <c r="B332" s="5" t="str">
        <f>IF(A332="","",'بيانات الموظفين'!B332)</f>
        <v/>
      </c>
      <c r="C332" s="6" t="s">
        <v>25</v>
      </c>
      <c r="D332" s="6">
        <v>2026</v>
      </c>
      <c r="E332" s="6">
        <v>30</v>
      </c>
      <c r="F332" s="7"/>
      <c r="G332" s="7"/>
      <c r="H332" s="8" t="str">
        <f>IF(A332="","",(('بيانات الموظفين'!G332+'بيانات الموظفين'!H332)/30)*MIN(30,MAX(0,E332))+F332+G332)</f>
        <v/>
      </c>
      <c r="I332" s="8" t="str">
        <f>IF(A332="","",MIN(16700,MAX(2700,'بيانات الموظفين'!I332))*11%)</f>
        <v/>
      </c>
      <c r="J332" s="8" t="str">
        <f>IF(A332="","",MAX(0,ROUNDDOWN(H332*12-I332*12-20000,-1)))</f>
        <v/>
      </c>
      <c r="K332" s="8" t="str">
        <f>IF(A332="","",MAX(0,(IF(J332&lt;=40000,0,IF(J332&lt;=60000,(J332-40000)*10%,IF(J332&lt;=70000,2000+(J332-60000)*15%,IF(J332&lt;=200000,3500+(J332-70000)*20%,IF(J332&lt;=400000,29500+(J332-200000)*22.5%,IF(J332&lt;=1000000,74500+(J332-400000)*25%,224500+(J332-1000000)*27.5%)))))))/12))</f>
        <v/>
      </c>
      <c r="L332" s="8" t="str">
        <f>IF(A332="","",IF('كشف التوقيع والملخص'!$B$3="نعم",MAX(0,H332-10000)*0.003,0))</f>
        <v/>
      </c>
      <c r="M332" s="8" t="str">
        <f>IF(A332="","",I332+K332+L332)</f>
        <v/>
      </c>
      <c r="N332" s="8" t="str">
        <f>IF(A332="","",H332-M332)</f>
        <v/>
      </c>
    </row>
    <row r="333" spans="1:14" ht="14.25" x14ac:dyDescent="0.15">
      <c r="A333" s="5" t="str">
        <f>IF('بيانات الموظفين'!A333="","",'بيانات الموظفين'!A333)</f>
        <v/>
      </c>
      <c r="B333" s="5" t="str">
        <f>IF(A333="","",'بيانات الموظفين'!B333)</f>
        <v/>
      </c>
      <c r="C333" s="6" t="s">
        <v>25</v>
      </c>
      <c r="D333" s="6">
        <v>2026</v>
      </c>
      <c r="E333" s="6">
        <v>30</v>
      </c>
      <c r="F333" s="7"/>
      <c r="G333" s="7"/>
      <c r="H333" s="8" t="str">
        <f>IF(A333="","",(('بيانات الموظفين'!G333+'بيانات الموظفين'!H333)/30)*MIN(30,MAX(0,E333))+F333+G333)</f>
        <v/>
      </c>
      <c r="I333" s="8" t="str">
        <f>IF(A333="","",MIN(16700,MAX(2700,'بيانات الموظفين'!I333))*11%)</f>
        <v/>
      </c>
      <c r="J333" s="8" t="str">
        <f>IF(A333="","",MAX(0,ROUNDDOWN(H333*12-I333*12-20000,-1)))</f>
        <v/>
      </c>
      <c r="K333" s="8" t="str">
        <f>IF(A333="","",MAX(0,(IF(J333&lt;=40000,0,IF(J333&lt;=60000,(J333-40000)*10%,IF(J333&lt;=70000,2000+(J333-60000)*15%,IF(J333&lt;=200000,3500+(J333-70000)*20%,IF(J333&lt;=400000,29500+(J333-200000)*22.5%,IF(J333&lt;=1000000,74500+(J333-400000)*25%,224500+(J333-1000000)*27.5%)))))))/12))</f>
        <v/>
      </c>
      <c r="L333" s="8" t="str">
        <f>IF(A333="","",IF('كشف التوقيع والملخص'!$B$3="نعم",MAX(0,H333-10000)*0.003,0))</f>
        <v/>
      </c>
      <c r="M333" s="8" t="str">
        <f>IF(A333="","",I333+K333+L333)</f>
        <v/>
      </c>
      <c r="N333" s="8" t="str">
        <f>IF(A333="","",H333-M333)</f>
        <v/>
      </c>
    </row>
    <row r="334" spans="1:14" ht="14.25" x14ac:dyDescent="0.15">
      <c r="A334" s="5" t="str">
        <f>IF('بيانات الموظفين'!A334="","",'بيانات الموظفين'!A334)</f>
        <v/>
      </c>
      <c r="B334" s="5" t="str">
        <f>IF(A334="","",'بيانات الموظفين'!B334)</f>
        <v/>
      </c>
      <c r="C334" s="6" t="s">
        <v>25</v>
      </c>
      <c r="D334" s="6">
        <v>2026</v>
      </c>
      <c r="E334" s="6">
        <v>30</v>
      </c>
      <c r="F334" s="7"/>
      <c r="G334" s="7"/>
      <c r="H334" s="8" t="str">
        <f>IF(A334="","",(('بيانات الموظفين'!G334+'بيانات الموظفين'!H334)/30)*MIN(30,MAX(0,E334))+F334+G334)</f>
        <v/>
      </c>
      <c r="I334" s="8" t="str">
        <f>IF(A334="","",MIN(16700,MAX(2700,'بيانات الموظفين'!I334))*11%)</f>
        <v/>
      </c>
      <c r="J334" s="8" t="str">
        <f>IF(A334="","",MAX(0,ROUNDDOWN(H334*12-I334*12-20000,-1)))</f>
        <v/>
      </c>
      <c r="K334" s="8" t="str">
        <f>IF(A334="","",MAX(0,(IF(J334&lt;=40000,0,IF(J334&lt;=60000,(J334-40000)*10%,IF(J334&lt;=70000,2000+(J334-60000)*15%,IF(J334&lt;=200000,3500+(J334-70000)*20%,IF(J334&lt;=400000,29500+(J334-200000)*22.5%,IF(J334&lt;=1000000,74500+(J334-400000)*25%,224500+(J334-1000000)*27.5%)))))))/12))</f>
        <v/>
      </c>
      <c r="L334" s="8" t="str">
        <f>IF(A334="","",IF('كشف التوقيع والملخص'!$B$3="نعم",MAX(0,H334-10000)*0.003,0))</f>
        <v/>
      </c>
      <c r="M334" s="8" t="str">
        <f>IF(A334="","",I334+K334+L334)</f>
        <v/>
      </c>
      <c r="N334" s="8" t="str">
        <f>IF(A334="","",H334-M334)</f>
        <v/>
      </c>
    </row>
    <row r="335" spans="1:14" ht="14.25" x14ac:dyDescent="0.15">
      <c r="A335" s="5" t="str">
        <f>IF('بيانات الموظفين'!A335="","",'بيانات الموظفين'!A335)</f>
        <v/>
      </c>
      <c r="B335" s="5" t="str">
        <f>IF(A335="","",'بيانات الموظفين'!B335)</f>
        <v/>
      </c>
      <c r="C335" s="6" t="s">
        <v>25</v>
      </c>
      <c r="D335" s="6">
        <v>2026</v>
      </c>
      <c r="E335" s="6">
        <v>30</v>
      </c>
      <c r="F335" s="7"/>
      <c r="G335" s="7"/>
      <c r="H335" s="8" t="str">
        <f>IF(A335="","",(('بيانات الموظفين'!G335+'بيانات الموظفين'!H335)/30)*MIN(30,MAX(0,E335))+F335+G335)</f>
        <v/>
      </c>
      <c r="I335" s="8" t="str">
        <f>IF(A335="","",MIN(16700,MAX(2700,'بيانات الموظفين'!I335))*11%)</f>
        <v/>
      </c>
      <c r="J335" s="8" t="str">
        <f>IF(A335="","",MAX(0,ROUNDDOWN(H335*12-I335*12-20000,-1)))</f>
        <v/>
      </c>
      <c r="K335" s="8" t="str">
        <f>IF(A335="","",MAX(0,(IF(J335&lt;=40000,0,IF(J335&lt;=60000,(J335-40000)*10%,IF(J335&lt;=70000,2000+(J335-60000)*15%,IF(J335&lt;=200000,3500+(J335-70000)*20%,IF(J335&lt;=400000,29500+(J335-200000)*22.5%,IF(J335&lt;=1000000,74500+(J335-400000)*25%,224500+(J335-1000000)*27.5%)))))))/12))</f>
        <v/>
      </c>
      <c r="L335" s="8" t="str">
        <f>IF(A335="","",IF('كشف التوقيع والملخص'!$B$3="نعم",MAX(0,H335-10000)*0.003,0))</f>
        <v/>
      </c>
      <c r="M335" s="8" t="str">
        <f>IF(A335="","",I335+K335+L335)</f>
        <v/>
      </c>
      <c r="N335" s="8" t="str">
        <f>IF(A335="","",H335-M335)</f>
        <v/>
      </c>
    </row>
    <row r="336" spans="1:14" ht="14.25" x14ac:dyDescent="0.15">
      <c r="A336" s="5" t="str">
        <f>IF('بيانات الموظفين'!A336="","",'بيانات الموظفين'!A336)</f>
        <v/>
      </c>
      <c r="B336" s="5" t="str">
        <f>IF(A336="","",'بيانات الموظفين'!B336)</f>
        <v/>
      </c>
      <c r="C336" s="6" t="s">
        <v>25</v>
      </c>
      <c r="D336" s="6">
        <v>2026</v>
      </c>
      <c r="E336" s="6">
        <v>30</v>
      </c>
      <c r="F336" s="7"/>
      <c r="G336" s="7"/>
      <c r="H336" s="8" t="str">
        <f>IF(A336="","",(('بيانات الموظفين'!G336+'بيانات الموظفين'!H336)/30)*MIN(30,MAX(0,E336))+F336+G336)</f>
        <v/>
      </c>
      <c r="I336" s="8" t="str">
        <f>IF(A336="","",MIN(16700,MAX(2700,'بيانات الموظفين'!I336))*11%)</f>
        <v/>
      </c>
      <c r="J336" s="8" t="str">
        <f>IF(A336="","",MAX(0,ROUNDDOWN(H336*12-I336*12-20000,-1)))</f>
        <v/>
      </c>
      <c r="K336" s="8" t="str">
        <f>IF(A336="","",MAX(0,(IF(J336&lt;=40000,0,IF(J336&lt;=60000,(J336-40000)*10%,IF(J336&lt;=70000,2000+(J336-60000)*15%,IF(J336&lt;=200000,3500+(J336-70000)*20%,IF(J336&lt;=400000,29500+(J336-200000)*22.5%,IF(J336&lt;=1000000,74500+(J336-400000)*25%,224500+(J336-1000000)*27.5%)))))))/12))</f>
        <v/>
      </c>
      <c r="L336" s="8" t="str">
        <f>IF(A336="","",IF('كشف التوقيع والملخص'!$B$3="نعم",MAX(0,H336-10000)*0.003,0))</f>
        <v/>
      </c>
      <c r="M336" s="8" t="str">
        <f>IF(A336="","",I336+K336+L336)</f>
        <v/>
      </c>
      <c r="N336" s="8" t="str">
        <f>IF(A336="","",H336-M336)</f>
        <v/>
      </c>
    </row>
    <row r="337" spans="1:14" ht="14.25" x14ac:dyDescent="0.15">
      <c r="A337" s="5" t="str">
        <f>IF('بيانات الموظفين'!A337="","",'بيانات الموظفين'!A337)</f>
        <v/>
      </c>
      <c r="B337" s="5" t="str">
        <f>IF(A337="","",'بيانات الموظفين'!B337)</f>
        <v/>
      </c>
      <c r="C337" s="6" t="s">
        <v>25</v>
      </c>
      <c r="D337" s="6">
        <v>2026</v>
      </c>
      <c r="E337" s="6">
        <v>30</v>
      </c>
      <c r="F337" s="7"/>
      <c r="G337" s="7"/>
      <c r="H337" s="8" t="str">
        <f>IF(A337="","",(('بيانات الموظفين'!G337+'بيانات الموظفين'!H337)/30)*MIN(30,MAX(0,E337))+F337+G337)</f>
        <v/>
      </c>
      <c r="I337" s="8" t="str">
        <f>IF(A337="","",MIN(16700,MAX(2700,'بيانات الموظفين'!I337))*11%)</f>
        <v/>
      </c>
      <c r="J337" s="8" t="str">
        <f>IF(A337="","",MAX(0,ROUNDDOWN(H337*12-I337*12-20000,-1)))</f>
        <v/>
      </c>
      <c r="K337" s="8" t="str">
        <f>IF(A337="","",MAX(0,(IF(J337&lt;=40000,0,IF(J337&lt;=60000,(J337-40000)*10%,IF(J337&lt;=70000,2000+(J337-60000)*15%,IF(J337&lt;=200000,3500+(J337-70000)*20%,IF(J337&lt;=400000,29500+(J337-200000)*22.5%,IF(J337&lt;=1000000,74500+(J337-400000)*25%,224500+(J337-1000000)*27.5%)))))))/12))</f>
        <v/>
      </c>
      <c r="L337" s="8" t="str">
        <f>IF(A337="","",IF('كشف التوقيع والملخص'!$B$3="نعم",MAX(0,H337-10000)*0.003,0))</f>
        <v/>
      </c>
      <c r="M337" s="8" t="str">
        <f>IF(A337="","",I337+K337+L337)</f>
        <v/>
      </c>
      <c r="N337" s="8" t="str">
        <f>IF(A337="","",H337-M337)</f>
        <v/>
      </c>
    </row>
    <row r="338" spans="1:14" ht="14.25" x14ac:dyDescent="0.15">
      <c r="A338" s="5" t="str">
        <f>IF('بيانات الموظفين'!A338="","",'بيانات الموظفين'!A338)</f>
        <v/>
      </c>
      <c r="B338" s="5" t="str">
        <f>IF(A338="","",'بيانات الموظفين'!B338)</f>
        <v/>
      </c>
      <c r="C338" s="6" t="s">
        <v>25</v>
      </c>
      <c r="D338" s="6">
        <v>2026</v>
      </c>
      <c r="E338" s="6">
        <v>30</v>
      </c>
      <c r="F338" s="7"/>
      <c r="G338" s="7"/>
      <c r="H338" s="8" t="str">
        <f>IF(A338="","",(('بيانات الموظفين'!G338+'بيانات الموظفين'!H338)/30)*MIN(30,MAX(0,E338))+F338+G338)</f>
        <v/>
      </c>
      <c r="I338" s="8" t="str">
        <f>IF(A338="","",MIN(16700,MAX(2700,'بيانات الموظفين'!I338))*11%)</f>
        <v/>
      </c>
      <c r="J338" s="8" t="str">
        <f>IF(A338="","",MAX(0,ROUNDDOWN(H338*12-I338*12-20000,-1)))</f>
        <v/>
      </c>
      <c r="K338" s="8" t="str">
        <f>IF(A338="","",MAX(0,(IF(J338&lt;=40000,0,IF(J338&lt;=60000,(J338-40000)*10%,IF(J338&lt;=70000,2000+(J338-60000)*15%,IF(J338&lt;=200000,3500+(J338-70000)*20%,IF(J338&lt;=400000,29500+(J338-200000)*22.5%,IF(J338&lt;=1000000,74500+(J338-400000)*25%,224500+(J338-1000000)*27.5%)))))))/12))</f>
        <v/>
      </c>
      <c r="L338" s="8" t="str">
        <f>IF(A338="","",IF('كشف التوقيع والملخص'!$B$3="نعم",MAX(0,H338-10000)*0.003,0))</f>
        <v/>
      </c>
      <c r="M338" s="8" t="str">
        <f>IF(A338="","",I338+K338+L338)</f>
        <v/>
      </c>
      <c r="N338" s="8" t="str">
        <f>IF(A338="","",H338-M338)</f>
        <v/>
      </c>
    </row>
    <row r="339" spans="1:14" ht="14.25" x14ac:dyDescent="0.15">
      <c r="A339" s="5" t="str">
        <f>IF('بيانات الموظفين'!A339="","",'بيانات الموظفين'!A339)</f>
        <v/>
      </c>
      <c r="B339" s="5" t="str">
        <f>IF(A339="","",'بيانات الموظفين'!B339)</f>
        <v/>
      </c>
      <c r="C339" s="6" t="s">
        <v>25</v>
      </c>
      <c r="D339" s="6">
        <v>2026</v>
      </c>
      <c r="E339" s="6">
        <v>30</v>
      </c>
      <c r="F339" s="7"/>
      <c r="G339" s="7"/>
      <c r="H339" s="8" t="str">
        <f>IF(A339="","",(('بيانات الموظفين'!G339+'بيانات الموظفين'!H339)/30)*MIN(30,MAX(0,E339))+F339+G339)</f>
        <v/>
      </c>
      <c r="I339" s="8" t="str">
        <f>IF(A339="","",MIN(16700,MAX(2700,'بيانات الموظفين'!I339))*11%)</f>
        <v/>
      </c>
      <c r="J339" s="8" t="str">
        <f>IF(A339="","",MAX(0,ROUNDDOWN(H339*12-I339*12-20000,-1)))</f>
        <v/>
      </c>
      <c r="K339" s="8" t="str">
        <f>IF(A339="","",MAX(0,(IF(J339&lt;=40000,0,IF(J339&lt;=60000,(J339-40000)*10%,IF(J339&lt;=70000,2000+(J339-60000)*15%,IF(J339&lt;=200000,3500+(J339-70000)*20%,IF(J339&lt;=400000,29500+(J339-200000)*22.5%,IF(J339&lt;=1000000,74500+(J339-400000)*25%,224500+(J339-1000000)*27.5%)))))))/12))</f>
        <v/>
      </c>
      <c r="L339" s="8" t="str">
        <f>IF(A339="","",IF('كشف التوقيع والملخص'!$B$3="نعم",MAX(0,H339-10000)*0.003,0))</f>
        <v/>
      </c>
      <c r="M339" s="8" t="str">
        <f>IF(A339="","",I339+K339+L339)</f>
        <v/>
      </c>
      <c r="N339" s="8" t="str">
        <f>IF(A339="","",H339-M339)</f>
        <v/>
      </c>
    </row>
    <row r="340" spans="1:14" ht="14.25" x14ac:dyDescent="0.15">
      <c r="A340" s="5" t="str">
        <f>IF('بيانات الموظفين'!A340="","",'بيانات الموظفين'!A340)</f>
        <v/>
      </c>
      <c r="B340" s="5" t="str">
        <f>IF(A340="","",'بيانات الموظفين'!B340)</f>
        <v/>
      </c>
      <c r="C340" s="6" t="s">
        <v>25</v>
      </c>
      <c r="D340" s="6">
        <v>2026</v>
      </c>
      <c r="E340" s="6">
        <v>30</v>
      </c>
      <c r="F340" s="7"/>
      <c r="G340" s="7"/>
      <c r="H340" s="8" t="str">
        <f>IF(A340="","",(('بيانات الموظفين'!G340+'بيانات الموظفين'!H340)/30)*MIN(30,MAX(0,E340))+F340+G340)</f>
        <v/>
      </c>
      <c r="I340" s="8" t="str">
        <f>IF(A340="","",MIN(16700,MAX(2700,'بيانات الموظفين'!I340))*11%)</f>
        <v/>
      </c>
      <c r="J340" s="8" t="str">
        <f>IF(A340="","",MAX(0,ROUNDDOWN(H340*12-I340*12-20000,-1)))</f>
        <v/>
      </c>
      <c r="K340" s="8" t="str">
        <f>IF(A340="","",MAX(0,(IF(J340&lt;=40000,0,IF(J340&lt;=60000,(J340-40000)*10%,IF(J340&lt;=70000,2000+(J340-60000)*15%,IF(J340&lt;=200000,3500+(J340-70000)*20%,IF(J340&lt;=400000,29500+(J340-200000)*22.5%,IF(J340&lt;=1000000,74500+(J340-400000)*25%,224500+(J340-1000000)*27.5%)))))))/12))</f>
        <v/>
      </c>
      <c r="L340" s="8" t="str">
        <f>IF(A340="","",IF('كشف التوقيع والملخص'!$B$3="نعم",MAX(0,H340-10000)*0.003,0))</f>
        <v/>
      </c>
      <c r="M340" s="8" t="str">
        <f>IF(A340="","",I340+K340+L340)</f>
        <v/>
      </c>
      <c r="N340" s="8" t="str">
        <f>IF(A340="","",H340-M340)</f>
        <v/>
      </c>
    </row>
    <row r="341" spans="1:14" ht="14.25" x14ac:dyDescent="0.15">
      <c r="A341" s="5" t="str">
        <f>IF('بيانات الموظفين'!A341="","",'بيانات الموظفين'!A341)</f>
        <v/>
      </c>
      <c r="B341" s="5" t="str">
        <f>IF(A341="","",'بيانات الموظفين'!B341)</f>
        <v/>
      </c>
      <c r="C341" s="6" t="s">
        <v>25</v>
      </c>
      <c r="D341" s="6">
        <v>2026</v>
      </c>
      <c r="E341" s="6">
        <v>30</v>
      </c>
      <c r="F341" s="7"/>
      <c r="G341" s="7"/>
      <c r="H341" s="8" t="str">
        <f>IF(A341="","",(('بيانات الموظفين'!G341+'بيانات الموظفين'!H341)/30)*MIN(30,MAX(0,E341))+F341+G341)</f>
        <v/>
      </c>
      <c r="I341" s="8" t="str">
        <f>IF(A341="","",MIN(16700,MAX(2700,'بيانات الموظفين'!I341))*11%)</f>
        <v/>
      </c>
      <c r="J341" s="8" t="str">
        <f>IF(A341="","",MAX(0,ROUNDDOWN(H341*12-I341*12-20000,-1)))</f>
        <v/>
      </c>
      <c r="K341" s="8" t="str">
        <f>IF(A341="","",MAX(0,(IF(J341&lt;=40000,0,IF(J341&lt;=60000,(J341-40000)*10%,IF(J341&lt;=70000,2000+(J341-60000)*15%,IF(J341&lt;=200000,3500+(J341-70000)*20%,IF(J341&lt;=400000,29500+(J341-200000)*22.5%,IF(J341&lt;=1000000,74500+(J341-400000)*25%,224500+(J341-1000000)*27.5%)))))))/12))</f>
        <v/>
      </c>
      <c r="L341" s="8" t="str">
        <f>IF(A341="","",IF('كشف التوقيع والملخص'!$B$3="نعم",MAX(0,H341-10000)*0.003,0))</f>
        <v/>
      </c>
      <c r="M341" s="8" t="str">
        <f>IF(A341="","",I341+K341+L341)</f>
        <v/>
      </c>
      <c r="N341" s="8" t="str">
        <f>IF(A341="","",H341-M341)</f>
        <v/>
      </c>
    </row>
    <row r="342" spans="1:14" ht="14.25" x14ac:dyDescent="0.15">
      <c r="A342" s="5" t="str">
        <f>IF('بيانات الموظفين'!A342="","",'بيانات الموظفين'!A342)</f>
        <v/>
      </c>
      <c r="B342" s="5" t="str">
        <f>IF(A342="","",'بيانات الموظفين'!B342)</f>
        <v/>
      </c>
      <c r="C342" s="6" t="s">
        <v>25</v>
      </c>
      <c r="D342" s="6">
        <v>2026</v>
      </c>
      <c r="E342" s="6">
        <v>30</v>
      </c>
      <c r="F342" s="7"/>
      <c r="G342" s="7"/>
      <c r="H342" s="8" t="str">
        <f>IF(A342="","",(('بيانات الموظفين'!G342+'بيانات الموظفين'!H342)/30)*MIN(30,MAX(0,E342))+F342+G342)</f>
        <v/>
      </c>
      <c r="I342" s="8" t="str">
        <f>IF(A342="","",MIN(16700,MAX(2700,'بيانات الموظفين'!I342))*11%)</f>
        <v/>
      </c>
      <c r="J342" s="8" t="str">
        <f>IF(A342="","",MAX(0,ROUNDDOWN(H342*12-I342*12-20000,-1)))</f>
        <v/>
      </c>
      <c r="K342" s="8" t="str">
        <f>IF(A342="","",MAX(0,(IF(J342&lt;=40000,0,IF(J342&lt;=60000,(J342-40000)*10%,IF(J342&lt;=70000,2000+(J342-60000)*15%,IF(J342&lt;=200000,3500+(J342-70000)*20%,IF(J342&lt;=400000,29500+(J342-200000)*22.5%,IF(J342&lt;=1000000,74500+(J342-400000)*25%,224500+(J342-1000000)*27.5%)))))))/12))</f>
        <v/>
      </c>
      <c r="L342" s="8" t="str">
        <f>IF(A342="","",IF('كشف التوقيع والملخص'!$B$3="نعم",MAX(0,H342-10000)*0.003,0))</f>
        <v/>
      </c>
      <c r="M342" s="8" t="str">
        <f>IF(A342="","",I342+K342+L342)</f>
        <v/>
      </c>
      <c r="N342" s="8" t="str">
        <f>IF(A342="","",H342-M342)</f>
        <v/>
      </c>
    </row>
    <row r="343" spans="1:14" ht="14.25" x14ac:dyDescent="0.15">
      <c r="A343" s="5" t="str">
        <f>IF('بيانات الموظفين'!A343="","",'بيانات الموظفين'!A343)</f>
        <v/>
      </c>
      <c r="B343" s="5" t="str">
        <f>IF(A343="","",'بيانات الموظفين'!B343)</f>
        <v/>
      </c>
      <c r="C343" s="6" t="s">
        <v>25</v>
      </c>
      <c r="D343" s="6">
        <v>2026</v>
      </c>
      <c r="E343" s="6">
        <v>30</v>
      </c>
      <c r="F343" s="7"/>
      <c r="G343" s="7"/>
      <c r="H343" s="8" t="str">
        <f>IF(A343="","",(('بيانات الموظفين'!G343+'بيانات الموظفين'!H343)/30)*MIN(30,MAX(0,E343))+F343+G343)</f>
        <v/>
      </c>
      <c r="I343" s="8" t="str">
        <f>IF(A343="","",MIN(16700,MAX(2700,'بيانات الموظفين'!I343))*11%)</f>
        <v/>
      </c>
      <c r="J343" s="8" t="str">
        <f>IF(A343="","",MAX(0,ROUNDDOWN(H343*12-I343*12-20000,-1)))</f>
        <v/>
      </c>
      <c r="K343" s="8" t="str">
        <f>IF(A343="","",MAX(0,(IF(J343&lt;=40000,0,IF(J343&lt;=60000,(J343-40000)*10%,IF(J343&lt;=70000,2000+(J343-60000)*15%,IF(J343&lt;=200000,3500+(J343-70000)*20%,IF(J343&lt;=400000,29500+(J343-200000)*22.5%,IF(J343&lt;=1000000,74500+(J343-400000)*25%,224500+(J343-1000000)*27.5%)))))))/12))</f>
        <v/>
      </c>
      <c r="L343" s="8" t="str">
        <f>IF(A343="","",IF('كشف التوقيع والملخص'!$B$3="نعم",MAX(0,H343-10000)*0.003,0))</f>
        <v/>
      </c>
      <c r="M343" s="8" t="str">
        <f>IF(A343="","",I343+K343+L343)</f>
        <v/>
      </c>
      <c r="N343" s="8" t="str">
        <f>IF(A343="","",H343-M343)</f>
        <v/>
      </c>
    </row>
    <row r="344" spans="1:14" ht="14.25" x14ac:dyDescent="0.15">
      <c r="A344" s="5" t="str">
        <f>IF('بيانات الموظفين'!A344="","",'بيانات الموظفين'!A344)</f>
        <v/>
      </c>
      <c r="B344" s="5" t="str">
        <f>IF(A344="","",'بيانات الموظفين'!B344)</f>
        <v/>
      </c>
      <c r="C344" s="6" t="s">
        <v>25</v>
      </c>
      <c r="D344" s="6">
        <v>2026</v>
      </c>
      <c r="E344" s="6">
        <v>30</v>
      </c>
      <c r="F344" s="7"/>
      <c r="G344" s="7"/>
      <c r="H344" s="8" t="str">
        <f>IF(A344="","",(('بيانات الموظفين'!G344+'بيانات الموظفين'!H344)/30)*MIN(30,MAX(0,E344))+F344+G344)</f>
        <v/>
      </c>
      <c r="I344" s="8" t="str">
        <f>IF(A344="","",MIN(16700,MAX(2700,'بيانات الموظفين'!I344))*11%)</f>
        <v/>
      </c>
      <c r="J344" s="8" t="str">
        <f>IF(A344="","",MAX(0,ROUNDDOWN(H344*12-I344*12-20000,-1)))</f>
        <v/>
      </c>
      <c r="K344" s="8" t="str">
        <f>IF(A344="","",MAX(0,(IF(J344&lt;=40000,0,IF(J344&lt;=60000,(J344-40000)*10%,IF(J344&lt;=70000,2000+(J344-60000)*15%,IF(J344&lt;=200000,3500+(J344-70000)*20%,IF(J344&lt;=400000,29500+(J344-200000)*22.5%,IF(J344&lt;=1000000,74500+(J344-400000)*25%,224500+(J344-1000000)*27.5%)))))))/12))</f>
        <v/>
      </c>
      <c r="L344" s="8" t="str">
        <f>IF(A344="","",IF('كشف التوقيع والملخص'!$B$3="نعم",MAX(0,H344-10000)*0.003,0))</f>
        <v/>
      </c>
      <c r="M344" s="8" t="str">
        <f>IF(A344="","",I344+K344+L344)</f>
        <v/>
      </c>
      <c r="N344" s="8" t="str">
        <f>IF(A344="","",H344-M344)</f>
        <v/>
      </c>
    </row>
    <row r="345" spans="1:14" ht="14.25" x14ac:dyDescent="0.15">
      <c r="A345" s="5" t="str">
        <f>IF('بيانات الموظفين'!A345="","",'بيانات الموظفين'!A345)</f>
        <v/>
      </c>
      <c r="B345" s="5" t="str">
        <f>IF(A345="","",'بيانات الموظفين'!B345)</f>
        <v/>
      </c>
      <c r="C345" s="6" t="s">
        <v>25</v>
      </c>
      <c r="D345" s="6">
        <v>2026</v>
      </c>
      <c r="E345" s="6">
        <v>30</v>
      </c>
      <c r="F345" s="7"/>
      <c r="G345" s="7"/>
      <c r="H345" s="8" t="str">
        <f>IF(A345="","",(('بيانات الموظفين'!G345+'بيانات الموظفين'!H345)/30)*MIN(30,MAX(0,E345))+F345+G345)</f>
        <v/>
      </c>
      <c r="I345" s="8" t="str">
        <f>IF(A345="","",MIN(16700,MAX(2700,'بيانات الموظفين'!I345))*11%)</f>
        <v/>
      </c>
      <c r="J345" s="8" t="str">
        <f>IF(A345="","",MAX(0,ROUNDDOWN(H345*12-I345*12-20000,-1)))</f>
        <v/>
      </c>
      <c r="K345" s="8" t="str">
        <f>IF(A345="","",MAX(0,(IF(J345&lt;=40000,0,IF(J345&lt;=60000,(J345-40000)*10%,IF(J345&lt;=70000,2000+(J345-60000)*15%,IF(J345&lt;=200000,3500+(J345-70000)*20%,IF(J345&lt;=400000,29500+(J345-200000)*22.5%,IF(J345&lt;=1000000,74500+(J345-400000)*25%,224500+(J345-1000000)*27.5%)))))))/12))</f>
        <v/>
      </c>
      <c r="L345" s="8" t="str">
        <f>IF(A345="","",IF('كشف التوقيع والملخص'!$B$3="نعم",MAX(0,H345-10000)*0.003,0))</f>
        <v/>
      </c>
      <c r="M345" s="8" t="str">
        <f>IF(A345="","",I345+K345+L345)</f>
        <v/>
      </c>
      <c r="N345" s="8" t="str">
        <f>IF(A345="","",H345-M345)</f>
        <v/>
      </c>
    </row>
    <row r="346" spans="1:14" ht="14.25" x14ac:dyDescent="0.15">
      <c r="A346" s="5" t="str">
        <f>IF('بيانات الموظفين'!A346="","",'بيانات الموظفين'!A346)</f>
        <v/>
      </c>
      <c r="B346" s="5" t="str">
        <f>IF(A346="","",'بيانات الموظفين'!B346)</f>
        <v/>
      </c>
      <c r="C346" s="6" t="s">
        <v>25</v>
      </c>
      <c r="D346" s="6">
        <v>2026</v>
      </c>
      <c r="E346" s="6">
        <v>30</v>
      </c>
      <c r="F346" s="7"/>
      <c r="G346" s="7"/>
      <c r="H346" s="8" t="str">
        <f>IF(A346="","",(('بيانات الموظفين'!G346+'بيانات الموظفين'!H346)/30)*MIN(30,MAX(0,E346))+F346+G346)</f>
        <v/>
      </c>
      <c r="I346" s="8" t="str">
        <f>IF(A346="","",MIN(16700,MAX(2700,'بيانات الموظفين'!I346))*11%)</f>
        <v/>
      </c>
      <c r="J346" s="8" t="str">
        <f>IF(A346="","",MAX(0,ROUNDDOWN(H346*12-I346*12-20000,-1)))</f>
        <v/>
      </c>
      <c r="K346" s="8" t="str">
        <f>IF(A346="","",MAX(0,(IF(J346&lt;=40000,0,IF(J346&lt;=60000,(J346-40000)*10%,IF(J346&lt;=70000,2000+(J346-60000)*15%,IF(J346&lt;=200000,3500+(J346-70000)*20%,IF(J346&lt;=400000,29500+(J346-200000)*22.5%,IF(J346&lt;=1000000,74500+(J346-400000)*25%,224500+(J346-1000000)*27.5%)))))))/12))</f>
        <v/>
      </c>
      <c r="L346" s="8" t="str">
        <f>IF(A346="","",IF('كشف التوقيع والملخص'!$B$3="نعم",MAX(0,H346-10000)*0.003,0))</f>
        <v/>
      </c>
      <c r="M346" s="8" t="str">
        <f>IF(A346="","",I346+K346+L346)</f>
        <v/>
      </c>
      <c r="N346" s="8" t="str">
        <f>IF(A346="","",H346-M346)</f>
        <v/>
      </c>
    </row>
    <row r="347" spans="1:14" ht="14.25" x14ac:dyDescent="0.15">
      <c r="A347" s="5" t="str">
        <f>IF('بيانات الموظفين'!A347="","",'بيانات الموظفين'!A347)</f>
        <v/>
      </c>
      <c r="B347" s="5" t="str">
        <f>IF(A347="","",'بيانات الموظفين'!B347)</f>
        <v/>
      </c>
      <c r="C347" s="6" t="s">
        <v>25</v>
      </c>
      <c r="D347" s="6">
        <v>2026</v>
      </c>
      <c r="E347" s="6">
        <v>30</v>
      </c>
      <c r="F347" s="7"/>
      <c r="G347" s="7"/>
      <c r="H347" s="8" t="str">
        <f>IF(A347="","",(('بيانات الموظفين'!G347+'بيانات الموظفين'!H347)/30)*MIN(30,MAX(0,E347))+F347+G347)</f>
        <v/>
      </c>
      <c r="I347" s="8" t="str">
        <f>IF(A347="","",MIN(16700,MAX(2700,'بيانات الموظفين'!I347))*11%)</f>
        <v/>
      </c>
      <c r="J347" s="8" t="str">
        <f>IF(A347="","",MAX(0,ROUNDDOWN(H347*12-I347*12-20000,-1)))</f>
        <v/>
      </c>
      <c r="K347" s="8" t="str">
        <f>IF(A347="","",MAX(0,(IF(J347&lt;=40000,0,IF(J347&lt;=60000,(J347-40000)*10%,IF(J347&lt;=70000,2000+(J347-60000)*15%,IF(J347&lt;=200000,3500+(J347-70000)*20%,IF(J347&lt;=400000,29500+(J347-200000)*22.5%,IF(J347&lt;=1000000,74500+(J347-400000)*25%,224500+(J347-1000000)*27.5%)))))))/12))</f>
        <v/>
      </c>
      <c r="L347" s="8" t="str">
        <f>IF(A347="","",IF('كشف التوقيع والملخص'!$B$3="نعم",MAX(0,H347-10000)*0.003,0))</f>
        <v/>
      </c>
      <c r="M347" s="8" t="str">
        <f>IF(A347="","",I347+K347+L347)</f>
        <v/>
      </c>
      <c r="N347" s="8" t="str">
        <f>IF(A347="","",H347-M347)</f>
        <v/>
      </c>
    </row>
    <row r="348" spans="1:14" ht="14.25" x14ac:dyDescent="0.15">
      <c r="A348" s="5" t="str">
        <f>IF('بيانات الموظفين'!A348="","",'بيانات الموظفين'!A348)</f>
        <v/>
      </c>
      <c r="B348" s="5" t="str">
        <f>IF(A348="","",'بيانات الموظفين'!B348)</f>
        <v/>
      </c>
      <c r="C348" s="6" t="s">
        <v>25</v>
      </c>
      <c r="D348" s="6">
        <v>2026</v>
      </c>
      <c r="E348" s="6">
        <v>30</v>
      </c>
      <c r="F348" s="7"/>
      <c r="G348" s="7"/>
      <c r="H348" s="8" t="str">
        <f>IF(A348="","",(('بيانات الموظفين'!G348+'بيانات الموظفين'!H348)/30)*MIN(30,MAX(0,E348))+F348+G348)</f>
        <v/>
      </c>
      <c r="I348" s="8" t="str">
        <f>IF(A348="","",MIN(16700,MAX(2700,'بيانات الموظفين'!I348))*11%)</f>
        <v/>
      </c>
      <c r="J348" s="8" t="str">
        <f>IF(A348="","",MAX(0,ROUNDDOWN(H348*12-I348*12-20000,-1)))</f>
        <v/>
      </c>
      <c r="K348" s="8" t="str">
        <f>IF(A348="","",MAX(0,(IF(J348&lt;=40000,0,IF(J348&lt;=60000,(J348-40000)*10%,IF(J348&lt;=70000,2000+(J348-60000)*15%,IF(J348&lt;=200000,3500+(J348-70000)*20%,IF(J348&lt;=400000,29500+(J348-200000)*22.5%,IF(J348&lt;=1000000,74500+(J348-400000)*25%,224500+(J348-1000000)*27.5%)))))))/12))</f>
        <v/>
      </c>
      <c r="L348" s="8" t="str">
        <f>IF(A348="","",IF('كشف التوقيع والملخص'!$B$3="نعم",MAX(0,H348-10000)*0.003,0))</f>
        <v/>
      </c>
      <c r="M348" s="8" t="str">
        <f>IF(A348="","",I348+K348+L348)</f>
        <v/>
      </c>
      <c r="N348" s="8" t="str">
        <f>IF(A348="","",H348-M348)</f>
        <v/>
      </c>
    </row>
    <row r="349" spans="1:14" ht="14.25" x14ac:dyDescent="0.15">
      <c r="A349" s="5" t="str">
        <f>IF('بيانات الموظفين'!A349="","",'بيانات الموظفين'!A349)</f>
        <v/>
      </c>
      <c r="B349" s="5" t="str">
        <f>IF(A349="","",'بيانات الموظفين'!B349)</f>
        <v/>
      </c>
      <c r="C349" s="6" t="s">
        <v>25</v>
      </c>
      <c r="D349" s="6">
        <v>2026</v>
      </c>
      <c r="E349" s="6">
        <v>30</v>
      </c>
      <c r="F349" s="7"/>
      <c r="G349" s="7"/>
      <c r="H349" s="8" t="str">
        <f>IF(A349="","",(('بيانات الموظفين'!G349+'بيانات الموظفين'!H349)/30)*MIN(30,MAX(0,E349))+F349+G349)</f>
        <v/>
      </c>
      <c r="I349" s="8" t="str">
        <f>IF(A349="","",MIN(16700,MAX(2700,'بيانات الموظفين'!I349))*11%)</f>
        <v/>
      </c>
      <c r="J349" s="8" t="str">
        <f>IF(A349="","",MAX(0,ROUNDDOWN(H349*12-I349*12-20000,-1)))</f>
        <v/>
      </c>
      <c r="K349" s="8" t="str">
        <f>IF(A349="","",MAX(0,(IF(J349&lt;=40000,0,IF(J349&lt;=60000,(J349-40000)*10%,IF(J349&lt;=70000,2000+(J349-60000)*15%,IF(J349&lt;=200000,3500+(J349-70000)*20%,IF(J349&lt;=400000,29500+(J349-200000)*22.5%,IF(J349&lt;=1000000,74500+(J349-400000)*25%,224500+(J349-1000000)*27.5%)))))))/12))</f>
        <v/>
      </c>
      <c r="L349" s="8" t="str">
        <f>IF(A349="","",IF('كشف التوقيع والملخص'!$B$3="نعم",MAX(0,H349-10000)*0.003,0))</f>
        <v/>
      </c>
      <c r="M349" s="8" t="str">
        <f>IF(A349="","",I349+K349+L349)</f>
        <v/>
      </c>
      <c r="N349" s="8" t="str">
        <f>IF(A349="","",H349-M349)</f>
        <v/>
      </c>
    </row>
    <row r="350" spans="1:14" ht="14.25" x14ac:dyDescent="0.15">
      <c r="A350" s="5" t="str">
        <f>IF('بيانات الموظفين'!A350="","",'بيانات الموظفين'!A350)</f>
        <v/>
      </c>
      <c r="B350" s="5" t="str">
        <f>IF(A350="","",'بيانات الموظفين'!B350)</f>
        <v/>
      </c>
      <c r="C350" s="6" t="s">
        <v>25</v>
      </c>
      <c r="D350" s="6">
        <v>2026</v>
      </c>
      <c r="E350" s="6">
        <v>30</v>
      </c>
      <c r="F350" s="7"/>
      <c r="G350" s="7"/>
      <c r="H350" s="8" t="str">
        <f>IF(A350="","",(('بيانات الموظفين'!G350+'بيانات الموظفين'!H350)/30)*MIN(30,MAX(0,E350))+F350+G350)</f>
        <v/>
      </c>
      <c r="I350" s="8" t="str">
        <f>IF(A350="","",MIN(16700,MAX(2700,'بيانات الموظفين'!I350))*11%)</f>
        <v/>
      </c>
      <c r="J350" s="8" t="str">
        <f>IF(A350="","",MAX(0,ROUNDDOWN(H350*12-I350*12-20000,-1)))</f>
        <v/>
      </c>
      <c r="K350" s="8" t="str">
        <f>IF(A350="","",MAX(0,(IF(J350&lt;=40000,0,IF(J350&lt;=60000,(J350-40000)*10%,IF(J350&lt;=70000,2000+(J350-60000)*15%,IF(J350&lt;=200000,3500+(J350-70000)*20%,IF(J350&lt;=400000,29500+(J350-200000)*22.5%,IF(J350&lt;=1000000,74500+(J350-400000)*25%,224500+(J350-1000000)*27.5%)))))))/12))</f>
        <v/>
      </c>
      <c r="L350" s="8" t="str">
        <f>IF(A350="","",IF('كشف التوقيع والملخص'!$B$3="نعم",MAX(0,H350-10000)*0.003,0))</f>
        <v/>
      </c>
      <c r="M350" s="8" t="str">
        <f>IF(A350="","",I350+K350+L350)</f>
        <v/>
      </c>
      <c r="N350" s="8" t="str">
        <f>IF(A350="","",H350-M350)</f>
        <v/>
      </c>
    </row>
    <row r="351" spans="1:14" ht="14.25" x14ac:dyDescent="0.15">
      <c r="A351" s="5" t="str">
        <f>IF('بيانات الموظفين'!A351="","",'بيانات الموظفين'!A351)</f>
        <v/>
      </c>
      <c r="B351" s="5" t="str">
        <f>IF(A351="","",'بيانات الموظفين'!B351)</f>
        <v/>
      </c>
      <c r="C351" s="6" t="s">
        <v>25</v>
      </c>
      <c r="D351" s="6">
        <v>2026</v>
      </c>
      <c r="E351" s="6">
        <v>30</v>
      </c>
      <c r="F351" s="7"/>
      <c r="G351" s="7"/>
      <c r="H351" s="8" t="str">
        <f>IF(A351="","",(('بيانات الموظفين'!G351+'بيانات الموظفين'!H351)/30)*MIN(30,MAX(0,E351))+F351+G351)</f>
        <v/>
      </c>
      <c r="I351" s="8" t="str">
        <f>IF(A351="","",MIN(16700,MAX(2700,'بيانات الموظفين'!I351))*11%)</f>
        <v/>
      </c>
      <c r="J351" s="8" t="str">
        <f>IF(A351="","",MAX(0,ROUNDDOWN(H351*12-I351*12-20000,-1)))</f>
        <v/>
      </c>
      <c r="K351" s="8" t="str">
        <f>IF(A351="","",MAX(0,(IF(J351&lt;=40000,0,IF(J351&lt;=60000,(J351-40000)*10%,IF(J351&lt;=70000,2000+(J351-60000)*15%,IF(J351&lt;=200000,3500+(J351-70000)*20%,IF(J351&lt;=400000,29500+(J351-200000)*22.5%,IF(J351&lt;=1000000,74500+(J351-400000)*25%,224500+(J351-1000000)*27.5%)))))))/12))</f>
        <v/>
      </c>
      <c r="L351" s="8" t="str">
        <f>IF(A351="","",IF('كشف التوقيع والملخص'!$B$3="نعم",MAX(0,H351-10000)*0.003,0))</f>
        <v/>
      </c>
      <c r="M351" s="8" t="str">
        <f>IF(A351="","",I351+K351+L351)</f>
        <v/>
      </c>
      <c r="N351" s="8" t="str">
        <f>IF(A351="","",H351-M351)</f>
        <v/>
      </c>
    </row>
    <row r="352" spans="1:14" ht="14.25" x14ac:dyDescent="0.15">
      <c r="A352" s="5" t="str">
        <f>IF('بيانات الموظفين'!A352="","",'بيانات الموظفين'!A352)</f>
        <v/>
      </c>
      <c r="B352" s="5" t="str">
        <f>IF(A352="","",'بيانات الموظفين'!B352)</f>
        <v/>
      </c>
      <c r="C352" s="6" t="s">
        <v>25</v>
      </c>
      <c r="D352" s="6">
        <v>2026</v>
      </c>
      <c r="E352" s="6">
        <v>30</v>
      </c>
      <c r="F352" s="7"/>
      <c r="G352" s="7"/>
      <c r="H352" s="8" t="str">
        <f>IF(A352="","",(('بيانات الموظفين'!G352+'بيانات الموظفين'!H352)/30)*MIN(30,MAX(0,E352))+F352+G352)</f>
        <v/>
      </c>
      <c r="I352" s="8" t="str">
        <f>IF(A352="","",MIN(16700,MAX(2700,'بيانات الموظفين'!I352))*11%)</f>
        <v/>
      </c>
      <c r="J352" s="8" t="str">
        <f>IF(A352="","",MAX(0,ROUNDDOWN(H352*12-I352*12-20000,-1)))</f>
        <v/>
      </c>
      <c r="K352" s="8" t="str">
        <f>IF(A352="","",MAX(0,(IF(J352&lt;=40000,0,IF(J352&lt;=60000,(J352-40000)*10%,IF(J352&lt;=70000,2000+(J352-60000)*15%,IF(J352&lt;=200000,3500+(J352-70000)*20%,IF(J352&lt;=400000,29500+(J352-200000)*22.5%,IF(J352&lt;=1000000,74500+(J352-400000)*25%,224500+(J352-1000000)*27.5%)))))))/12))</f>
        <v/>
      </c>
      <c r="L352" s="8" t="str">
        <f>IF(A352="","",IF('كشف التوقيع والملخص'!$B$3="نعم",MAX(0,H352-10000)*0.003,0))</f>
        <v/>
      </c>
      <c r="M352" s="8" t="str">
        <f>IF(A352="","",I352+K352+L352)</f>
        <v/>
      </c>
      <c r="N352" s="8" t="str">
        <f>IF(A352="","",H352-M352)</f>
        <v/>
      </c>
    </row>
    <row r="353" spans="1:14" ht="14.25" x14ac:dyDescent="0.15">
      <c r="A353" s="5" t="str">
        <f>IF('بيانات الموظفين'!A353="","",'بيانات الموظفين'!A353)</f>
        <v/>
      </c>
      <c r="B353" s="5" t="str">
        <f>IF(A353="","",'بيانات الموظفين'!B353)</f>
        <v/>
      </c>
      <c r="C353" s="6" t="s">
        <v>25</v>
      </c>
      <c r="D353" s="6">
        <v>2026</v>
      </c>
      <c r="E353" s="6">
        <v>30</v>
      </c>
      <c r="F353" s="7"/>
      <c r="G353" s="7"/>
      <c r="H353" s="8" t="str">
        <f>IF(A353="","",(('بيانات الموظفين'!G353+'بيانات الموظفين'!H353)/30)*MIN(30,MAX(0,E353))+F353+G353)</f>
        <v/>
      </c>
      <c r="I353" s="8" t="str">
        <f>IF(A353="","",MIN(16700,MAX(2700,'بيانات الموظفين'!I353))*11%)</f>
        <v/>
      </c>
      <c r="J353" s="8" t="str">
        <f>IF(A353="","",MAX(0,ROUNDDOWN(H353*12-I353*12-20000,-1)))</f>
        <v/>
      </c>
      <c r="K353" s="8" t="str">
        <f>IF(A353="","",MAX(0,(IF(J353&lt;=40000,0,IF(J353&lt;=60000,(J353-40000)*10%,IF(J353&lt;=70000,2000+(J353-60000)*15%,IF(J353&lt;=200000,3500+(J353-70000)*20%,IF(J353&lt;=400000,29500+(J353-200000)*22.5%,IF(J353&lt;=1000000,74500+(J353-400000)*25%,224500+(J353-1000000)*27.5%)))))))/12))</f>
        <v/>
      </c>
      <c r="L353" s="8" t="str">
        <f>IF(A353="","",IF('كشف التوقيع والملخص'!$B$3="نعم",MAX(0,H353-10000)*0.003,0))</f>
        <v/>
      </c>
      <c r="M353" s="8" t="str">
        <f>IF(A353="","",I353+K353+L353)</f>
        <v/>
      </c>
      <c r="N353" s="8" t="str">
        <f>IF(A353="","",H353-M353)</f>
        <v/>
      </c>
    </row>
    <row r="354" spans="1:14" ht="14.25" x14ac:dyDescent="0.15">
      <c r="A354" s="5" t="str">
        <f>IF('بيانات الموظفين'!A354="","",'بيانات الموظفين'!A354)</f>
        <v/>
      </c>
      <c r="B354" s="5" t="str">
        <f>IF(A354="","",'بيانات الموظفين'!B354)</f>
        <v/>
      </c>
      <c r="C354" s="6" t="s">
        <v>25</v>
      </c>
      <c r="D354" s="6">
        <v>2026</v>
      </c>
      <c r="E354" s="6">
        <v>30</v>
      </c>
      <c r="F354" s="7"/>
      <c r="G354" s="7"/>
      <c r="H354" s="8" t="str">
        <f>IF(A354="","",(('بيانات الموظفين'!G354+'بيانات الموظفين'!H354)/30)*MIN(30,MAX(0,E354))+F354+G354)</f>
        <v/>
      </c>
      <c r="I354" s="8" t="str">
        <f>IF(A354="","",MIN(16700,MAX(2700,'بيانات الموظفين'!I354))*11%)</f>
        <v/>
      </c>
      <c r="J354" s="8" t="str">
        <f>IF(A354="","",MAX(0,ROUNDDOWN(H354*12-I354*12-20000,-1)))</f>
        <v/>
      </c>
      <c r="K354" s="8" t="str">
        <f>IF(A354="","",MAX(0,(IF(J354&lt;=40000,0,IF(J354&lt;=60000,(J354-40000)*10%,IF(J354&lt;=70000,2000+(J354-60000)*15%,IF(J354&lt;=200000,3500+(J354-70000)*20%,IF(J354&lt;=400000,29500+(J354-200000)*22.5%,IF(J354&lt;=1000000,74500+(J354-400000)*25%,224500+(J354-1000000)*27.5%)))))))/12))</f>
        <v/>
      </c>
      <c r="L354" s="8" t="str">
        <f>IF(A354="","",IF('كشف التوقيع والملخص'!$B$3="نعم",MAX(0,H354-10000)*0.003,0))</f>
        <v/>
      </c>
      <c r="M354" s="8" t="str">
        <f>IF(A354="","",I354+K354+L354)</f>
        <v/>
      </c>
      <c r="N354" s="8" t="str">
        <f>IF(A354="","",H354-M354)</f>
        <v/>
      </c>
    </row>
    <row r="355" spans="1:14" ht="14.25" x14ac:dyDescent="0.15">
      <c r="A355" s="5" t="str">
        <f>IF('بيانات الموظفين'!A355="","",'بيانات الموظفين'!A355)</f>
        <v/>
      </c>
      <c r="B355" s="5" t="str">
        <f>IF(A355="","",'بيانات الموظفين'!B355)</f>
        <v/>
      </c>
      <c r="C355" s="6" t="s">
        <v>25</v>
      </c>
      <c r="D355" s="6">
        <v>2026</v>
      </c>
      <c r="E355" s="6">
        <v>30</v>
      </c>
      <c r="F355" s="7"/>
      <c r="G355" s="7"/>
      <c r="H355" s="8" t="str">
        <f>IF(A355="","",(('بيانات الموظفين'!G355+'بيانات الموظفين'!H355)/30)*MIN(30,MAX(0,E355))+F355+G355)</f>
        <v/>
      </c>
      <c r="I355" s="8" t="str">
        <f>IF(A355="","",MIN(16700,MAX(2700,'بيانات الموظفين'!I355))*11%)</f>
        <v/>
      </c>
      <c r="J355" s="8" t="str">
        <f>IF(A355="","",MAX(0,ROUNDDOWN(H355*12-I355*12-20000,-1)))</f>
        <v/>
      </c>
      <c r="K355" s="8" t="str">
        <f>IF(A355="","",MAX(0,(IF(J355&lt;=40000,0,IF(J355&lt;=60000,(J355-40000)*10%,IF(J355&lt;=70000,2000+(J355-60000)*15%,IF(J355&lt;=200000,3500+(J355-70000)*20%,IF(J355&lt;=400000,29500+(J355-200000)*22.5%,IF(J355&lt;=1000000,74500+(J355-400000)*25%,224500+(J355-1000000)*27.5%)))))))/12))</f>
        <v/>
      </c>
      <c r="L355" s="8" t="str">
        <f>IF(A355="","",IF('كشف التوقيع والملخص'!$B$3="نعم",MAX(0,H355-10000)*0.003,0))</f>
        <v/>
      </c>
      <c r="M355" s="8" t="str">
        <f>IF(A355="","",I355+K355+L355)</f>
        <v/>
      </c>
      <c r="N355" s="8" t="str">
        <f>IF(A355="","",H355-M355)</f>
        <v/>
      </c>
    </row>
    <row r="356" spans="1:14" ht="14.25" x14ac:dyDescent="0.15">
      <c r="A356" s="5" t="str">
        <f>IF('بيانات الموظفين'!A356="","",'بيانات الموظفين'!A356)</f>
        <v/>
      </c>
      <c r="B356" s="5" t="str">
        <f>IF(A356="","",'بيانات الموظفين'!B356)</f>
        <v/>
      </c>
      <c r="C356" s="6" t="s">
        <v>25</v>
      </c>
      <c r="D356" s="6">
        <v>2026</v>
      </c>
      <c r="E356" s="6">
        <v>30</v>
      </c>
      <c r="F356" s="7"/>
      <c r="G356" s="7"/>
      <c r="H356" s="8" t="str">
        <f>IF(A356="","",(('بيانات الموظفين'!G356+'بيانات الموظفين'!H356)/30)*MIN(30,MAX(0,E356))+F356+G356)</f>
        <v/>
      </c>
      <c r="I356" s="8" t="str">
        <f>IF(A356="","",MIN(16700,MAX(2700,'بيانات الموظفين'!I356))*11%)</f>
        <v/>
      </c>
      <c r="J356" s="8" t="str">
        <f>IF(A356="","",MAX(0,ROUNDDOWN(H356*12-I356*12-20000,-1)))</f>
        <v/>
      </c>
      <c r="K356" s="8" t="str">
        <f>IF(A356="","",MAX(0,(IF(J356&lt;=40000,0,IF(J356&lt;=60000,(J356-40000)*10%,IF(J356&lt;=70000,2000+(J356-60000)*15%,IF(J356&lt;=200000,3500+(J356-70000)*20%,IF(J356&lt;=400000,29500+(J356-200000)*22.5%,IF(J356&lt;=1000000,74500+(J356-400000)*25%,224500+(J356-1000000)*27.5%)))))))/12))</f>
        <v/>
      </c>
      <c r="L356" s="8" t="str">
        <f>IF(A356="","",IF('كشف التوقيع والملخص'!$B$3="نعم",MAX(0,H356-10000)*0.003,0))</f>
        <v/>
      </c>
      <c r="M356" s="8" t="str">
        <f>IF(A356="","",I356+K356+L356)</f>
        <v/>
      </c>
      <c r="N356" s="8" t="str">
        <f>IF(A356="","",H356-M356)</f>
        <v/>
      </c>
    </row>
    <row r="357" spans="1:14" ht="14.25" x14ac:dyDescent="0.15">
      <c r="A357" s="5" t="str">
        <f>IF('بيانات الموظفين'!A357="","",'بيانات الموظفين'!A357)</f>
        <v/>
      </c>
      <c r="B357" s="5" t="str">
        <f>IF(A357="","",'بيانات الموظفين'!B357)</f>
        <v/>
      </c>
      <c r="C357" s="6" t="s">
        <v>25</v>
      </c>
      <c r="D357" s="6">
        <v>2026</v>
      </c>
      <c r="E357" s="6">
        <v>30</v>
      </c>
      <c r="F357" s="7"/>
      <c r="G357" s="7"/>
      <c r="H357" s="8" t="str">
        <f>IF(A357="","",(('بيانات الموظفين'!G357+'بيانات الموظفين'!H357)/30)*MIN(30,MAX(0,E357))+F357+G357)</f>
        <v/>
      </c>
      <c r="I357" s="8" t="str">
        <f>IF(A357="","",MIN(16700,MAX(2700,'بيانات الموظفين'!I357))*11%)</f>
        <v/>
      </c>
      <c r="J357" s="8" t="str">
        <f>IF(A357="","",MAX(0,ROUNDDOWN(H357*12-I357*12-20000,-1)))</f>
        <v/>
      </c>
      <c r="K357" s="8" t="str">
        <f>IF(A357="","",MAX(0,(IF(J357&lt;=40000,0,IF(J357&lt;=60000,(J357-40000)*10%,IF(J357&lt;=70000,2000+(J357-60000)*15%,IF(J357&lt;=200000,3500+(J357-70000)*20%,IF(J357&lt;=400000,29500+(J357-200000)*22.5%,IF(J357&lt;=1000000,74500+(J357-400000)*25%,224500+(J357-1000000)*27.5%)))))))/12))</f>
        <v/>
      </c>
      <c r="L357" s="8" t="str">
        <f>IF(A357="","",IF('كشف التوقيع والملخص'!$B$3="نعم",MAX(0,H357-10000)*0.003,0))</f>
        <v/>
      </c>
      <c r="M357" s="8" t="str">
        <f>IF(A357="","",I357+K357+L357)</f>
        <v/>
      </c>
      <c r="N357" s="8" t="str">
        <f>IF(A357="","",H357-M357)</f>
        <v/>
      </c>
    </row>
    <row r="358" spans="1:14" ht="14.25" x14ac:dyDescent="0.15">
      <c r="A358" s="5" t="str">
        <f>IF('بيانات الموظفين'!A358="","",'بيانات الموظفين'!A358)</f>
        <v/>
      </c>
      <c r="B358" s="5" t="str">
        <f>IF(A358="","",'بيانات الموظفين'!B358)</f>
        <v/>
      </c>
      <c r="C358" s="6" t="s">
        <v>25</v>
      </c>
      <c r="D358" s="6">
        <v>2026</v>
      </c>
      <c r="E358" s="6">
        <v>30</v>
      </c>
      <c r="F358" s="7"/>
      <c r="G358" s="7"/>
      <c r="H358" s="8" t="str">
        <f>IF(A358="","",(('بيانات الموظفين'!G358+'بيانات الموظفين'!H358)/30)*MIN(30,MAX(0,E358))+F358+G358)</f>
        <v/>
      </c>
      <c r="I358" s="8" t="str">
        <f>IF(A358="","",MIN(16700,MAX(2700,'بيانات الموظفين'!I358))*11%)</f>
        <v/>
      </c>
      <c r="J358" s="8" t="str">
        <f>IF(A358="","",MAX(0,ROUNDDOWN(H358*12-I358*12-20000,-1)))</f>
        <v/>
      </c>
      <c r="K358" s="8" t="str">
        <f>IF(A358="","",MAX(0,(IF(J358&lt;=40000,0,IF(J358&lt;=60000,(J358-40000)*10%,IF(J358&lt;=70000,2000+(J358-60000)*15%,IF(J358&lt;=200000,3500+(J358-70000)*20%,IF(J358&lt;=400000,29500+(J358-200000)*22.5%,IF(J358&lt;=1000000,74500+(J358-400000)*25%,224500+(J358-1000000)*27.5%)))))))/12))</f>
        <v/>
      </c>
      <c r="L358" s="8" t="str">
        <f>IF(A358="","",IF('كشف التوقيع والملخص'!$B$3="نعم",MAX(0,H358-10000)*0.003,0))</f>
        <v/>
      </c>
      <c r="M358" s="8" t="str">
        <f>IF(A358="","",I358+K358+L358)</f>
        <v/>
      </c>
      <c r="N358" s="8" t="str">
        <f>IF(A358="","",H358-M358)</f>
        <v/>
      </c>
    </row>
    <row r="359" spans="1:14" ht="14.25" x14ac:dyDescent="0.15">
      <c r="A359" s="5" t="str">
        <f>IF('بيانات الموظفين'!A359="","",'بيانات الموظفين'!A359)</f>
        <v/>
      </c>
      <c r="B359" s="5" t="str">
        <f>IF(A359="","",'بيانات الموظفين'!B359)</f>
        <v/>
      </c>
      <c r="C359" s="6" t="s">
        <v>25</v>
      </c>
      <c r="D359" s="6">
        <v>2026</v>
      </c>
      <c r="E359" s="6">
        <v>30</v>
      </c>
      <c r="F359" s="7"/>
      <c r="G359" s="7"/>
      <c r="H359" s="8" t="str">
        <f>IF(A359="","",(('بيانات الموظفين'!G359+'بيانات الموظفين'!H359)/30)*MIN(30,MAX(0,E359))+F359+G359)</f>
        <v/>
      </c>
      <c r="I359" s="8" t="str">
        <f>IF(A359="","",MIN(16700,MAX(2700,'بيانات الموظفين'!I359))*11%)</f>
        <v/>
      </c>
      <c r="J359" s="8" t="str">
        <f>IF(A359="","",MAX(0,ROUNDDOWN(H359*12-I359*12-20000,-1)))</f>
        <v/>
      </c>
      <c r="K359" s="8" t="str">
        <f>IF(A359="","",MAX(0,(IF(J359&lt;=40000,0,IF(J359&lt;=60000,(J359-40000)*10%,IF(J359&lt;=70000,2000+(J359-60000)*15%,IF(J359&lt;=200000,3500+(J359-70000)*20%,IF(J359&lt;=400000,29500+(J359-200000)*22.5%,IF(J359&lt;=1000000,74500+(J359-400000)*25%,224500+(J359-1000000)*27.5%)))))))/12))</f>
        <v/>
      </c>
      <c r="L359" s="8" t="str">
        <f>IF(A359="","",IF('كشف التوقيع والملخص'!$B$3="نعم",MAX(0,H359-10000)*0.003,0))</f>
        <v/>
      </c>
      <c r="M359" s="8" t="str">
        <f>IF(A359="","",I359+K359+L359)</f>
        <v/>
      </c>
      <c r="N359" s="8" t="str">
        <f>IF(A359="","",H359-M359)</f>
        <v/>
      </c>
    </row>
    <row r="360" spans="1:14" ht="14.25" x14ac:dyDescent="0.15">
      <c r="A360" s="5" t="str">
        <f>IF('بيانات الموظفين'!A360="","",'بيانات الموظفين'!A360)</f>
        <v/>
      </c>
      <c r="B360" s="5" t="str">
        <f>IF(A360="","",'بيانات الموظفين'!B360)</f>
        <v/>
      </c>
      <c r="C360" s="6" t="s">
        <v>25</v>
      </c>
      <c r="D360" s="6">
        <v>2026</v>
      </c>
      <c r="E360" s="6">
        <v>30</v>
      </c>
      <c r="F360" s="7"/>
      <c r="G360" s="7"/>
      <c r="H360" s="8" t="str">
        <f>IF(A360="","",(('بيانات الموظفين'!G360+'بيانات الموظفين'!H360)/30)*MIN(30,MAX(0,E360))+F360+G360)</f>
        <v/>
      </c>
      <c r="I360" s="8" t="str">
        <f>IF(A360="","",MIN(16700,MAX(2700,'بيانات الموظفين'!I360))*11%)</f>
        <v/>
      </c>
      <c r="J360" s="8" t="str">
        <f>IF(A360="","",MAX(0,ROUNDDOWN(H360*12-I360*12-20000,-1)))</f>
        <v/>
      </c>
      <c r="K360" s="8" t="str">
        <f>IF(A360="","",MAX(0,(IF(J360&lt;=40000,0,IF(J360&lt;=60000,(J360-40000)*10%,IF(J360&lt;=70000,2000+(J360-60000)*15%,IF(J360&lt;=200000,3500+(J360-70000)*20%,IF(J360&lt;=400000,29500+(J360-200000)*22.5%,IF(J360&lt;=1000000,74500+(J360-400000)*25%,224500+(J360-1000000)*27.5%)))))))/12))</f>
        <v/>
      </c>
      <c r="L360" s="8" t="str">
        <f>IF(A360="","",IF('كشف التوقيع والملخص'!$B$3="نعم",MAX(0,H360-10000)*0.003,0))</f>
        <v/>
      </c>
      <c r="M360" s="8" t="str">
        <f>IF(A360="","",I360+K360+L360)</f>
        <v/>
      </c>
      <c r="N360" s="8" t="str">
        <f>IF(A360="","",H360-M360)</f>
        <v/>
      </c>
    </row>
    <row r="361" spans="1:14" ht="14.25" x14ac:dyDescent="0.15">
      <c r="A361" s="5" t="str">
        <f>IF('بيانات الموظفين'!A361="","",'بيانات الموظفين'!A361)</f>
        <v/>
      </c>
      <c r="B361" s="5" t="str">
        <f>IF(A361="","",'بيانات الموظفين'!B361)</f>
        <v/>
      </c>
      <c r="C361" s="6" t="s">
        <v>25</v>
      </c>
      <c r="D361" s="6">
        <v>2026</v>
      </c>
      <c r="E361" s="6">
        <v>30</v>
      </c>
      <c r="F361" s="7"/>
      <c r="G361" s="7"/>
      <c r="H361" s="8" t="str">
        <f>IF(A361="","",(('بيانات الموظفين'!G361+'بيانات الموظفين'!H361)/30)*MIN(30,MAX(0,E361))+F361+G361)</f>
        <v/>
      </c>
      <c r="I361" s="8" t="str">
        <f>IF(A361="","",MIN(16700,MAX(2700,'بيانات الموظفين'!I361))*11%)</f>
        <v/>
      </c>
      <c r="J361" s="8" t="str">
        <f>IF(A361="","",MAX(0,ROUNDDOWN(H361*12-I361*12-20000,-1)))</f>
        <v/>
      </c>
      <c r="K361" s="8" t="str">
        <f>IF(A361="","",MAX(0,(IF(J361&lt;=40000,0,IF(J361&lt;=60000,(J361-40000)*10%,IF(J361&lt;=70000,2000+(J361-60000)*15%,IF(J361&lt;=200000,3500+(J361-70000)*20%,IF(J361&lt;=400000,29500+(J361-200000)*22.5%,IF(J361&lt;=1000000,74500+(J361-400000)*25%,224500+(J361-1000000)*27.5%)))))))/12))</f>
        <v/>
      </c>
      <c r="L361" s="8" t="str">
        <f>IF(A361="","",IF('كشف التوقيع والملخص'!$B$3="نعم",MAX(0,H361-10000)*0.003,0))</f>
        <v/>
      </c>
      <c r="M361" s="8" t="str">
        <f>IF(A361="","",I361+K361+L361)</f>
        <v/>
      </c>
      <c r="N361" s="8" t="str">
        <f>IF(A361="","",H361-M361)</f>
        <v/>
      </c>
    </row>
    <row r="362" spans="1:14" ht="14.25" x14ac:dyDescent="0.15">
      <c r="A362" s="5" t="str">
        <f>IF('بيانات الموظفين'!A362="","",'بيانات الموظفين'!A362)</f>
        <v/>
      </c>
      <c r="B362" s="5" t="str">
        <f>IF(A362="","",'بيانات الموظفين'!B362)</f>
        <v/>
      </c>
      <c r="C362" s="6" t="s">
        <v>25</v>
      </c>
      <c r="D362" s="6">
        <v>2026</v>
      </c>
      <c r="E362" s="6">
        <v>30</v>
      </c>
      <c r="F362" s="7"/>
      <c r="G362" s="7"/>
      <c r="H362" s="8" t="str">
        <f>IF(A362="","",(('بيانات الموظفين'!G362+'بيانات الموظفين'!H362)/30)*MIN(30,MAX(0,E362))+F362+G362)</f>
        <v/>
      </c>
      <c r="I362" s="8" t="str">
        <f>IF(A362="","",MIN(16700,MAX(2700,'بيانات الموظفين'!I362))*11%)</f>
        <v/>
      </c>
      <c r="J362" s="8" t="str">
        <f>IF(A362="","",MAX(0,ROUNDDOWN(H362*12-I362*12-20000,-1)))</f>
        <v/>
      </c>
      <c r="K362" s="8" t="str">
        <f>IF(A362="","",MAX(0,(IF(J362&lt;=40000,0,IF(J362&lt;=60000,(J362-40000)*10%,IF(J362&lt;=70000,2000+(J362-60000)*15%,IF(J362&lt;=200000,3500+(J362-70000)*20%,IF(J362&lt;=400000,29500+(J362-200000)*22.5%,IF(J362&lt;=1000000,74500+(J362-400000)*25%,224500+(J362-1000000)*27.5%)))))))/12))</f>
        <v/>
      </c>
      <c r="L362" s="8" t="str">
        <f>IF(A362="","",IF('كشف التوقيع والملخص'!$B$3="نعم",MAX(0,H362-10000)*0.003,0))</f>
        <v/>
      </c>
      <c r="M362" s="8" t="str">
        <f>IF(A362="","",I362+K362+L362)</f>
        <v/>
      </c>
      <c r="N362" s="8" t="str">
        <f>IF(A362="","",H362-M362)</f>
        <v/>
      </c>
    </row>
    <row r="363" spans="1:14" ht="14.25" x14ac:dyDescent="0.15">
      <c r="A363" s="5" t="str">
        <f>IF('بيانات الموظفين'!A363="","",'بيانات الموظفين'!A363)</f>
        <v/>
      </c>
      <c r="B363" s="5" t="str">
        <f>IF(A363="","",'بيانات الموظفين'!B363)</f>
        <v/>
      </c>
      <c r="C363" s="6" t="s">
        <v>25</v>
      </c>
      <c r="D363" s="6">
        <v>2026</v>
      </c>
      <c r="E363" s="6">
        <v>30</v>
      </c>
      <c r="F363" s="7"/>
      <c r="G363" s="7"/>
      <c r="H363" s="8" t="str">
        <f>IF(A363="","",(('بيانات الموظفين'!G363+'بيانات الموظفين'!H363)/30)*MIN(30,MAX(0,E363))+F363+G363)</f>
        <v/>
      </c>
      <c r="I363" s="8" t="str">
        <f>IF(A363="","",MIN(16700,MAX(2700,'بيانات الموظفين'!I363))*11%)</f>
        <v/>
      </c>
      <c r="J363" s="8" t="str">
        <f>IF(A363="","",MAX(0,ROUNDDOWN(H363*12-I363*12-20000,-1)))</f>
        <v/>
      </c>
      <c r="K363" s="8" t="str">
        <f>IF(A363="","",MAX(0,(IF(J363&lt;=40000,0,IF(J363&lt;=60000,(J363-40000)*10%,IF(J363&lt;=70000,2000+(J363-60000)*15%,IF(J363&lt;=200000,3500+(J363-70000)*20%,IF(J363&lt;=400000,29500+(J363-200000)*22.5%,IF(J363&lt;=1000000,74500+(J363-400000)*25%,224500+(J363-1000000)*27.5%)))))))/12))</f>
        <v/>
      </c>
      <c r="L363" s="8" t="str">
        <f>IF(A363="","",IF('كشف التوقيع والملخص'!$B$3="نعم",MAX(0,H363-10000)*0.003,0))</f>
        <v/>
      </c>
      <c r="M363" s="8" t="str">
        <f>IF(A363="","",I363+K363+L363)</f>
        <v/>
      </c>
      <c r="N363" s="8" t="str">
        <f>IF(A363="","",H363-M363)</f>
        <v/>
      </c>
    </row>
    <row r="364" spans="1:14" ht="14.25" x14ac:dyDescent="0.15">
      <c r="A364" s="5" t="str">
        <f>IF('بيانات الموظفين'!A364="","",'بيانات الموظفين'!A364)</f>
        <v/>
      </c>
      <c r="B364" s="5" t="str">
        <f>IF(A364="","",'بيانات الموظفين'!B364)</f>
        <v/>
      </c>
      <c r="C364" s="6" t="s">
        <v>25</v>
      </c>
      <c r="D364" s="6">
        <v>2026</v>
      </c>
      <c r="E364" s="6">
        <v>30</v>
      </c>
      <c r="F364" s="7"/>
      <c r="G364" s="7"/>
      <c r="H364" s="8" t="str">
        <f>IF(A364="","",(('بيانات الموظفين'!G364+'بيانات الموظفين'!H364)/30)*MIN(30,MAX(0,E364))+F364+G364)</f>
        <v/>
      </c>
      <c r="I364" s="8" t="str">
        <f>IF(A364="","",MIN(16700,MAX(2700,'بيانات الموظفين'!I364))*11%)</f>
        <v/>
      </c>
      <c r="J364" s="8" t="str">
        <f>IF(A364="","",MAX(0,ROUNDDOWN(H364*12-I364*12-20000,-1)))</f>
        <v/>
      </c>
      <c r="K364" s="8" t="str">
        <f>IF(A364="","",MAX(0,(IF(J364&lt;=40000,0,IF(J364&lt;=60000,(J364-40000)*10%,IF(J364&lt;=70000,2000+(J364-60000)*15%,IF(J364&lt;=200000,3500+(J364-70000)*20%,IF(J364&lt;=400000,29500+(J364-200000)*22.5%,IF(J364&lt;=1000000,74500+(J364-400000)*25%,224500+(J364-1000000)*27.5%)))))))/12))</f>
        <v/>
      </c>
      <c r="L364" s="8" t="str">
        <f>IF(A364="","",IF('كشف التوقيع والملخص'!$B$3="نعم",MAX(0,H364-10000)*0.003,0))</f>
        <v/>
      </c>
      <c r="M364" s="8" t="str">
        <f>IF(A364="","",I364+K364+L364)</f>
        <v/>
      </c>
      <c r="N364" s="8" t="str">
        <f>IF(A364="","",H364-M364)</f>
        <v/>
      </c>
    </row>
    <row r="365" spans="1:14" ht="14.25" x14ac:dyDescent="0.15">
      <c r="A365" s="5" t="str">
        <f>IF('بيانات الموظفين'!A365="","",'بيانات الموظفين'!A365)</f>
        <v/>
      </c>
      <c r="B365" s="5" t="str">
        <f>IF(A365="","",'بيانات الموظفين'!B365)</f>
        <v/>
      </c>
      <c r="C365" s="6" t="s">
        <v>25</v>
      </c>
      <c r="D365" s="6">
        <v>2026</v>
      </c>
      <c r="E365" s="6">
        <v>30</v>
      </c>
      <c r="F365" s="7"/>
      <c r="G365" s="7"/>
      <c r="H365" s="8" t="str">
        <f>IF(A365="","",(('بيانات الموظفين'!G365+'بيانات الموظفين'!H365)/30)*MIN(30,MAX(0,E365))+F365+G365)</f>
        <v/>
      </c>
      <c r="I365" s="8" t="str">
        <f>IF(A365="","",MIN(16700,MAX(2700,'بيانات الموظفين'!I365))*11%)</f>
        <v/>
      </c>
      <c r="J365" s="8" t="str">
        <f>IF(A365="","",MAX(0,ROUNDDOWN(H365*12-I365*12-20000,-1)))</f>
        <v/>
      </c>
      <c r="K365" s="8" t="str">
        <f>IF(A365="","",MAX(0,(IF(J365&lt;=40000,0,IF(J365&lt;=60000,(J365-40000)*10%,IF(J365&lt;=70000,2000+(J365-60000)*15%,IF(J365&lt;=200000,3500+(J365-70000)*20%,IF(J365&lt;=400000,29500+(J365-200000)*22.5%,IF(J365&lt;=1000000,74500+(J365-400000)*25%,224500+(J365-1000000)*27.5%)))))))/12))</f>
        <v/>
      </c>
      <c r="L365" s="8" t="str">
        <f>IF(A365="","",IF('كشف التوقيع والملخص'!$B$3="نعم",MAX(0,H365-10000)*0.003,0))</f>
        <v/>
      </c>
      <c r="M365" s="8" t="str">
        <f>IF(A365="","",I365+K365+L365)</f>
        <v/>
      </c>
      <c r="N365" s="8" t="str">
        <f>IF(A365="","",H365-M365)</f>
        <v/>
      </c>
    </row>
    <row r="366" spans="1:14" ht="14.25" x14ac:dyDescent="0.15">
      <c r="A366" s="5" t="str">
        <f>IF('بيانات الموظفين'!A366="","",'بيانات الموظفين'!A366)</f>
        <v/>
      </c>
      <c r="B366" s="5" t="str">
        <f>IF(A366="","",'بيانات الموظفين'!B366)</f>
        <v/>
      </c>
      <c r="C366" s="6" t="s">
        <v>25</v>
      </c>
      <c r="D366" s="6">
        <v>2026</v>
      </c>
      <c r="E366" s="6">
        <v>30</v>
      </c>
      <c r="F366" s="7"/>
      <c r="G366" s="7"/>
      <c r="H366" s="8" t="str">
        <f>IF(A366="","",(('بيانات الموظفين'!G366+'بيانات الموظفين'!H366)/30)*MIN(30,MAX(0,E366))+F366+G366)</f>
        <v/>
      </c>
      <c r="I366" s="8" t="str">
        <f>IF(A366="","",MIN(16700,MAX(2700,'بيانات الموظفين'!I366))*11%)</f>
        <v/>
      </c>
      <c r="J366" s="8" t="str">
        <f>IF(A366="","",MAX(0,ROUNDDOWN(H366*12-I366*12-20000,-1)))</f>
        <v/>
      </c>
      <c r="K366" s="8" t="str">
        <f>IF(A366="","",MAX(0,(IF(J366&lt;=40000,0,IF(J366&lt;=60000,(J366-40000)*10%,IF(J366&lt;=70000,2000+(J366-60000)*15%,IF(J366&lt;=200000,3500+(J366-70000)*20%,IF(J366&lt;=400000,29500+(J366-200000)*22.5%,IF(J366&lt;=1000000,74500+(J366-400000)*25%,224500+(J366-1000000)*27.5%)))))))/12))</f>
        <v/>
      </c>
      <c r="L366" s="8" t="str">
        <f>IF(A366="","",IF('كشف التوقيع والملخص'!$B$3="نعم",MAX(0,H366-10000)*0.003,0))</f>
        <v/>
      </c>
      <c r="M366" s="8" t="str">
        <f>IF(A366="","",I366+K366+L366)</f>
        <v/>
      </c>
      <c r="N366" s="8" t="str">
        <f>IF(A366="","",H366-M366)</f>
        <v/>
      </c>
    </row>
    <row r="367" spans="1:14" ht="14.25" x14ac:dyDescent="0.15">
      <c r="A367" s="5" t="str">
        <f>IF('بيانات الموظفين'!A367="","",'بيانات الموظفين'!A367)</f>
        <v/>
      </c>
      <c r="B367" s="5" t="str">
        <f>IF(A367="","",'بيانات الموظفين'!B367)</f>
        <v/>
      </c>
      <c r="C367" s="6" t="s">
        <v>25</v>
      </c>
      <c r="D367" s="6">
        <v>2026</v>
      </c>
      <c r="E367" s="6">
        <v>30</v>
      </c>
      <c r="F367" s="7"/>
      <c r="G367" s="7"/>
      <c r="H367" s="8" t="str">
        <f>IF(A367="","",(('بيانات الموظفين'!G367+'بيانات الموظفين'!H367)/30)*MIN(30,MAX(0,E367))+F367+G367)</f>
        <v/>
      </c>
      <c r="I367" s="8" t="str">
        <f>IF(A367="","",MIN(16700,MAX(2700,'بيانات الموظفين'!I367))*11%)</f>
        <v/>
      </c>
      <c r="J367" s="8" t="str">
        <f>IF(A367="","",MAX(0,ROUNDDOWN(H367*12-I367*12-20000,-1)))</f>
        <v/>
      </c>
      <c r="K367" s="8" t="str">
        <f>IF(A367="","",MAX(0,(IF(J367&lt;=40000,0,IF(J367&lt;=60000,(J367-40000)*10%,IF(J367&lt;=70000,2000+(J367-60000)*15%,IF(J367&lt;=200000,3500+(J367-70000)*20%,IF(J367&lt;=400000,29500+(J367-200000)*22.5%,IF(J367&lt;=1000000,74500+(J367-400000)*25%,224500+(J367-1000000)*27.5%)))))))/12))</f>
        <v/>
      </c>
      <c r="L367" s="8" t="str">
        <f>IF(A367="","",IF('كشف التوقيع والملخص'!$B$3="نعم",MAX(0,H367-10000)*0.003,0))</f>
        <v/>
      </c>
      <c r="M367" s="8" t="str">
        <f>IF(A367="","",I367+K367+L367)</f>
        <v/>
      </c>
      <c r="N367" s="8" t="str">
        <f>IF(A367="","",H367-M367)</f>
        <v/>
      </c>
    </row>
    <row r="368" spans="1:14" ht="14.25" x14ac:dyDescent="0.15">
      <c r="A368" s="5" t="str">
        <f>IF('بيانات الموظفين'!A368="","",'بيانات الموظفين'!A368)</f>
        <v/>
      </c>
      <c r="B368" s="5" t="str">
        <f>IF(A368="","",'بيانات الموظفين'!B368)</f>
        <v/>
      </c>
      <c r="C368" s="6" t="s">
        <v>25</v>
      </c>
      <c r="D368" s="6">
        <v>2026</v>
      </c>
      <c r="E368" s="6">
        <v>30</v>
      </c>
      <c r="F368" s="7"/>
      <c r="G368" s="7"/>
      <c r="H368" s="8" t="str">
        <f>IF(A368="","",(('بيانات الموظفين'!G368+'بيانات الموظفين'!H368)/30)*MIN(30,MAX(0,E368))+F368+G368)</f>
        <v/>
      </c>
      <c r="I368" s="8" t="str">
        <f>IF(A368="","",MIN(16700,MAX(2700,'بيانات الموظفين'!I368))*11%)</f>
        <v/>
      </c>
      <c r="J368" s="8" t="str">
        <f>IF(A368="","",MAX(0,ROUNDDOWN(H368*12-I368*12-20000,-1)))</f>
        <v/>
      </c>
      <c r="K368" s="8" t="str">
        <f>IF(A368="","",MAX(0,(IF(J368&lt;=40000,0,IF(J368&lt;=60000,(J368-40000)*10%,IF(J368&lt;=70000,2000+(J368-60000)*15%,IF(J368&lt;=200000,3500+(J368-70000)*20%,IF(J368&lt;=400000,29500+(J368-200000)*22.5%,IF(J368&lt;=1000000,74500+(J368-400000)*25%,224500+(J368-1000000)*27.5%)))))))/12))</f>
        <v/>
      </c>
      <c r="L368" s="8" t="str">
        <f>IF(A368="","",IF('كشف التوقيع والملخص'!$B$3="نعم",MAX(0,H368-10000)*0.003,0))</f>
        <v/>
      </c>
      <c r="M368" s="8" t="str">
        <f>IF(A368="","",I368+K368+L368)</f>
        <v/>
      </c>
      <c r="N368" s="8" t="str">
        <f>IF(A368="","",H368-M368)</f>
        <v/>
      </c>
    </row>
    <row r="369" spans="1:14" ht="14.25" x14ac:dyDescent="0.15">
      <c r="A369" s="5" t="str">
        <f>IF('بيانات الموظفين'!A369="","",'بيانات الموظفين'!A369)</f>
        <v/>
      </c>
      <c r="B369" s="5" t="str">
        <f>IF(A369="","",'بيانات الموظفين'!B369)</f>
        <v/>
      </c>
      <c r="C369" s="6" t="s">
        <v>25</v>
      </c>
      <c r="D369" s="6">
        <v>2026</v>
      </c>
      <c r="E369" s="6">
        <v>30</v>
      </c>
      <c r="F369" s="7"/>
      <c r="G369" s="7"/>
      <c r="H369" s="8" t="str">
        <f>IF(A369="","",(('بيانات الموظفين'!G369+'بيانات الموظفين'!H369)/30)*MIN(30,MAX(0,E369))+F369+G369)</f>
        <v/>
      </c>
      <c r="I369" s="8" t="str">
        <f>IF(A369="","",MIN(16700,MAX(2700,'بيانات الموظفين'!I369))*11%)</f>
        <v/>
      </c>
      <c r="J369" s="8" t="str">
        <f>IF(A369="","",MAX(0,ROUNDDOWN(H369*12-I369*12-20000,-1)))</f>
        <v/>
      </c>
      <c r="K369" s="8" t="str">
        <f>IF(A369="","",MAX(0,(IF(J369&lt;=40000,0,IF(J369&lt;=60000,(J369-40000)*10%,IF(J369&lt;=70000,2000+(J369-60000)*15%,IF(J369&lt;=200000,3500+(J369-70000)*20%,IF(J369&lt;=400000,29500+(J369-200000)*22.5%,IF(J369&lt;=1000000,74500+(J369-400000)*25%,224500+(J369-1000000)*27.5%)))))))/12))</f>
        <v/>
      </c>
      <c r="L369" s="8" t="str">
        <f>IF(A369="","",IF('كشف التوقيع والملخص'!$B$3="نعم",MAX(0,H369-10000)*0.003,0))</f>
        <v/>
      </c>
      <c r="M369" s="8" t="str">
        <f>IF(A369="","",I369+K369+L369)</f>
        <v/>
      </c>
      <c r="N369" s="8" t="str">
        <f>IF(A369="","",H369-M369)</f>
        <v/>
      </c>
    </row>
    <row r="370" spans="1:14" ht="14.25" x14ac:dyDescent="0.15">
      <c r="A370" s="5" t="str">
        <f>IF('بيانات الموظفين'!A370="","",'بيانات الموظفين'!A370)</f>
        <v/>
      </c>
      <c r="B370" s="5" t="str">
        <f>IF(A370="","",'بيانات الموظفين'!B370)</f>
        <v/>
      </c>
      <c r="C370" s="6" t="s">
        <v>25</v>
      </c>
      <c r="D370" s="6">
        <v>2026</v>
      </c>
      <c r="E370" s="6">
        <v>30</v>
      </c>
      <c r="F370" s="7"/>
      <c r="G370" s="7"/>
      <c r="H370" s="8" t="str">
        <f>IF(A370="","",(('بيانات الموظفين'!G370+'بيانات الموظفين'!H370)/30)*MIN(30,MAX(0,E370))+F370+G370)</f>
        <v/>
      </c>
      <c r="I370" s="8" t="str">
        <f>IF(A370="","",MIN(16700,MAX(2700,'بيانات الموظفين'!I370))*11%)</f>
        <v/>
      </c>
      <c r="J370" s="8" t="str">
        <f>IF(A370="","",MAX(0,ROUNDDOWN(H370*12-I370*12-20000,-1)))</f>
        <v/>
      </c>
      <c r="K370" s="8" t="str">
        <f>IF(A370="","",MAX(0,(IF(J370&lt;=40000,0,IF(J370&lt;=60000,(J370-40000)*10%,IF(J370&lt;=70000,2000+(J370-60000)*15%,IF(J370&lt;=200000,3500+(J370-70000)*20%,IF(J370&lt;=400000,29500+(J370-200000)*22.5%,IF(J370&lt;=1000000,74500+(J370-400000)*25%,224500+(J370-1000000)*27.5%)))))))/12))</f>
        <v/>
      </c>
      <c r="L370" s="8" t="str">
        <f>IF(A370="","",IF('كشف التوقيع والملخص'!$B$3="نعم",MAX(0,H370-10000)*0.003,0))</f>
        <v/>
      </c>
      <c r="M370" s="8" t="str">
        <f>IF(A370="","",I370+K370+L370)</f>
        <v/>
      </c>
      <c r="N370" s="8" t="str">
        <f>IF(A370="","",H370-M370)</f>
        <v/>
      </c>
    </row>
    <row r="371" spans="1:14" ht="14.25" x14ac:dyDescent="0.15">
      <c r="A371" s="5" t="str">
        <f>IF('بيانات الموظفين'!A371="","",'بيانات الموظفين'!A371)</f>
        <v/>
      </c>
      <c r="B371" s="5" t="str">
        <f>IF(A371="","",'بيانات الموظفين'!B371)</f>
        <v/>
      </c>
      <c r="C371" s="6" t="s">
        <v>25</v>
      </c>
      <c r="D371" s="6">
        <v>2026</v>
      </c>
      <c r="E371" s="6">
        <v>30</v>
      </c>
      <c r="F371" s="7"/>
      <c r="G371" s="7"/>
      <c r="H371" s="8" t="str">
        <f>IF(A371="","",(('بيانات الموظفين'!G371+'بيانات الموظفين'!H371)/30)*MIN(30,MAX(0,E371))+F371+G371)</f>
        <v/>
      </c>
      <c r="I371" s="8" t="str">
        <f>IF(A371="","",MIN(16700,MAX(2700,'بيانات الموظفين'!I371))*11%)</f>
        <v/>
      </c>
      <c r="J371" s="8" t="str">
        <f>IF(A371="","",MAX(0,ROUNDDOWN(H371*12-I371*12-20000,-1)))</f>
        <v/>
      </c>
      <c r="K371" s="8" t="str">
        <f>IF(A371="","",MAX(0,(IF(J371&lt;=40000,0,IF(J371&lt;=60000,(J371-40000)*10%,IF(J371&lt;=70000,2000+(J371-60000)*15%,IF(J371&lt;=200000,3500+(J371-70000)*20%,IF(J371&lt;=400000,29500+(J371-200000)*22.5%,IF(J371&lt;=1000000,74500+(J371-400000)*25%,224500+(J371-1000000)*27.5%)))))))/12))</f>
        <v/>
      </c>
      <c r="L371" s="8" t="str">
        <f>IF(A371="","",IF('كشف التوقيع والملخص'!$B$3="نعم",MAX(0,H371-10000)*0.003,0))</f>
        <v/>
      </c>
      <c r="M371" s="8" t="str">
        <f>IF(A371="","",I371+K371+L371)</f>
        <v/>
      </c>
      <c r="N371" s="8" t="str">
        <f>IF(A371="","",H371-M371)</f>
        <v/>
      </c>
    </row>
    <row r="372" spans="1:14" ht="14.25" x14ac:dyDescent="0.15">
      <c r="A372" s="5" t="str">
        <f>IF('بيانات الموظفين'!A372="","",'بيانات الموظفين'!A372)</f>
        <v/>
      </c>
      <c r="B372" s="5" t="str">
        <f>IF(A372="","",'بيانات الموظفين'!B372)</f>
        <v/>
      </c>
      <c r="C372" s="6" t="s">
        <v>25</v>
      </c>
      <c r="D372" s="6">
        <v>2026</v>
      </c>
      <c r="E372" s="6">
        <v>30</v>
      </c>
      <c r="F372" s="7"/>
      <c r="G372" s="7"/>
      <c r="H372" s="8" t="str">
        <f>IF(A372="","",(('بيانات الموظفين'!G372+'بيانات الموظفين'!H372)/30)*MIN(30,MAX(0,E372))+F372+G372)</f>
        <v/>
      </c>
      <c r="I372" s="8" t="str">
        <f>IF(A372="","",MIN(16700,MAX(2700,'بيانات الموظفين'!I372))*11%)</f>
        <v/>
      </c>
      <c r="J372" s="8" t="str">
        <f>IF(A372="","",MAX(0,ROUNDDOWN(H372*12-I372*12-20000,-1)))</f>
        <v/>
      </c>
      <c r="K372" s="8" t="str">
        <f>IF(A372="","",MAX(0,(IF(J372&lt;=40000,0,IF(J372&lt;=60000,(J372-40000)*10%,IF(J372&lt;=70000,2000+(J372-60000)*15%,IF(J372&lt;=200000,3500+(J372-70000)*20%,IF(J372&lt;=400000,29500+(J372-200000)*22.5%,IF(J372&lt;=1000000,74500+(J372-400000)*25%,224500+(J372-1000000)*27.5%)))))))/12))</f>
        <v/>
      </c>
      <c r="L372" s="8" t="str">
        <f>IF(A372="","",IF('كشف التوقيع والملخص'!$B$3="نعم",MAX(0,H372-10000)*0.003,0))</f>
        <v/>
      </c>
      <c r="M372" s="8" t="str">
        <f>IF(A372="","",I372+K372+L372)</f>
        <v/>
      </c>
      <c r="N372" s="8" t="str">
        <f>IF(A372="","",H372-M372)</f>
        <v/>
      </c>
    </row>
    <row r="373" spans="1:14" ht="14.25" x14ac:dyDescent="0.15">
      <c r="A373" s="5" t="str">
        <f>IF('بيانات الموظفين'!A373="","",'بيانات الموظفين'!A373)</f>
        <v/>
      </c>
      <c r="B373" s="5" t="str">
        <f>IF(A373="","",'بيانات الموظفين'!B373)</f>
        <v/>
      </c>
      <c r="C373" s="6" t="s">
        <v>25</v>
      </c>
      <c r="D373" s="6">
        <v>2026</v>
      </c>
      <c r="E373" s="6">
        <v>30</v>
      </c>
      <c r="F373" s="7"/>
      <c r="G373" s="7"/>
      <c r="H373" s="8" t="str">
        <f>IF(A373="","",(('بيانات الموظفين'!G373+'بيانات الموظفين'!H373)/30)*MIN(30,MAX(0,E373))+F373+G373)</f>
        <v/>
      </c>
      <c r="I373" s="8" t="str">
        <f>IF(A373="","",MIN(16700,MAX(2700,'بيانات الموظفين'!I373))*11%)</f>
        <v/>
      </c>
      <c r="J373" s="8" t="str">
        <f>IF(A373="","",MAX(0,ROUNDDOWN(H373*12-I373*12-20000,-1)))</f>
        <v/>
      </c>
      <c r="K373" s="8" t="str">
        <f>IF(A373="","",MAX(0,(IF(J373&lt;=40000,0,IF(J373&lt;=60000,(J373-40000)*10%,IF(J373&lt;=70000,2000+(J373-60000)*15%,IF(J373&lt;=200000,3500+(J373-70000)*20%,IF(J373&lt;=400000,29500+(J373-200000)*22.5%,IF(J373&lt;=1000000,74500+(J373-400000)*25%,224500+(J373-1000000)*27.5%)))))))/12))</f>
        <v/>
      </c>
      <c r="L373" s="8" t="str">
        <f>IF(A373="","",IF('كشف التوقيع والملخص'!$B$3="نعم",MAX(0,H373-10000)*0.003,0))</f>
        <v/>
      </c>
      <c r="M373" s="8" t="str">
        <f>IF(A373="","",I373+K373+L373)</f>
        <v/>
      </c>
      <c r="N373" s="8" t="str">
        <f>IF(A373="","",H373-M373)</f>
        <v/>
      </c>
    </row>
    <row r="374" spans="1:14" ht="14.25" x14ac:dyDescent="0.15">
      <c r="A374" s="5" t="str">
        <f>IF('بيانات الموظفين'!A374="","",'بيانات الموظفين'!A374)</f>
        <v/>
      </c>
      <c r="B374" s="5" t="str">
        <f>IF(A374="","",'بيانات الموظفين'!B374)</f>
        <v/>
      </c>
      <c r="C374" s="6" t="s">
        <v>25</v>
      </c>
      <c r="D374" s="6">
        <v>2026</v>
      </c>
      <c r="E374" s="6">
        <v>30</v>
      </c>
      <c r="F374" s="7"/>
      <c r="G374" s="7"/>
      <c r="H374" s="8" t="str">
        <f>IF(A374="","",(('بيانات الموظفين'!G374+'بيانات الموظفين'!H374)/30)*MIN(30,MAX(0,E374))+F374+G374)</f>
        <v/>
      </c>
      <c r="I374" s="8" t="str">
        <f>IF(A374="","",MIN(16700,MAX(2700,'بيانات الموظفين'!I374))*11%)</f>
        <v/>
      </c>
      <c r="J374" s="8" t="str">
        <f>IF(A374="","",MAX(0,ROUNDDOWN(H374*12-I374*12-20000,-1)))</f>
        <v/>
      </c>
      <c r="K374" s="8" t="str">
        <f>IF(A374="","",MAX(0,(IF(J374&lt;=40000,0,IF(J374&lt;=60000,(J374-40000)*10%,IF(J374&lt;=70000,2000+(J374-60000)*15%,IF(J374&lt;=200000,3500+(J374-70000)*20%,IF(J374&lt;=400000,29500+(J374-200000)*22.5%,IF(J374&lt;=1000000,74500+(J374-400000)*25%,224500+(J374-1000000)*27.5%)))))))/12))</f>
        <v/>
      </c>
      <c r="L374" s="8" t="str">
        <f>IF(A374="","",IF('كشف التوقيع والملخص'!$B$3="نعم",MAX(0,H374-10000)*0.003,0))</f>
        <v/>
      </c>
      <c r="M374" s="8" t="str">
        <f>IF(A374="","",I374+K374+L374)</f>
        <v/>
      </c>
      <c r="N374" s="8" t="str">
        <f>IF(A374="","",H374-M374)</f>
        <v/>
      </c>
    </row>
    <row r="375" spans="1:14" ht="14.25" x14ac:dyDescent="0.15">
      <c r="A375" s="5" t="str">
        <f>IF('بيانات الموظفين'!A375="","",'بيانات الموظفين'!A375)</f>
        <v/>
      </c>
      <c r="B375" s="5" t="str">
        <f>IF(A375="","",'بيانات الموظفين'!B375)</f>
        <v/>
      </c>
      <c r="C375" s="6" t="s">
        <v>25</v>
      </c>
      <c r="D375" s="6">
        <v>2026</v>
      </c>
      <c r="E375" s="6">
        <v>30</v>
      </c>
      <c r="F375" s="7"/>
      <c r="G375" s="7"/>
      <c r="H375" s="8" t="str">
        <f>IF(A375="","",(('بيانات الموظفين'!G375+'بيانات الموظفين'!H375)/30)*MIN(30,MAX(0,E375))+F375+G375)</f>
        <v/>
      </c>
      <c r="I375" s="8" t="str">
        <f>IF(A375="","",MIN(16700,MAX(2700,'بيانات الموظفين'!I375))*11%)</f>
        <v/>
      </c>
      <c r="J375" s="8" t="str">
        <f>IF(A375="","",MAX(0,ROUNDDOWN(H375*12-I375*12-20000,-1)))</f>
        <v/>
      </c>
      <c r="K375" s="8" t="str">
        <f>IF(A375="","",MAX(0,(IF(J375&lt;=40000,0,IF(J375&lt;=60000,(J375-40000)*10%,IF(J375&lt;=70000,2000+(J375-60000)*15%,IF(J375&lt;=200000,3500+(J375-70000)*20%,IF(J375&lt;=400000,29500+(J375-200000)*22.5%,IF(J375&lt;=1000000,74500+(J375-400000)*25%,224500+(J375-1000000)*27.5%)))))))/12))</f>
        <v/>
      </c>
      <c r="L375" s="8" t="str">
        <f>IF(A375="","",IF('كشف التوقيع والملخص'!$B$3="نعم",MAX(0,H375-10000)*0.003,0))</f>
        <v/>
      </c>
      <c r="M375" s="8" t="str">
        <f>IF(A375="","",I375+K375+L375)</f>
        <v/>
      </c>
      <c r="N375" s="8" t="str">
        <f>IF(A375="","",H375-M375)</f>
        <v/>
      </c>
    </row>
    <row r="376" spans="1:14" ht="14.25" x14ac:dyDescent="0.15">
      <c r="A376" s="5" t="str">
        <f>IF('بيانات الموظفين'!A376="","",'بيانات الموظفين'!A376)</f>
        <v/>
      </c>
      <c r="B376" s="5" t="str">
        <f>IF(A376="","",'بيانات الموظفين'!B376)</f>
        <v/>
      </c>
      <c r="C376" s="6" t="s">
        <v>25</v>
      </c>
      <c r="D376" s="6">
        <v>2026</v>
      </c>
      <c r="E376" s="6">
        <v>30</v>
      </c>
      <c r="F376" s="7"/>
      <c r="G376" s="7"/>
      <c r="H376" s="8" t="str">
        <f>IF(A376="","",(('بيانات الموظفين'!G376+'بيانات الموظفين'!H376)/30)*MIN(30,MAX(0,E376))+F376+G376)</f>
        <v/>
      </c>
      <c r="I376" s="8" t="str">
        <f>IF(A376="","",MIN(16700,MAX(2700,'بيانات الموظفين'!I376))*11%)</f>
        <v/>
      </c>
      <c r="J376" s="8" t="str">
        <f>IF(A376="","",MAX(0,ROUNDDOWN(H376*12-I376*12-20000,-1)))</f>
        <v/>
      </c>
      <c r="K376" s="8" t="str">
        <f>IF(A376="","",MAX(0,(IF(J376&lt;=40000,0,IF(J376&lt;=60000,(J376-40000)*10%,IF(J376&lt;=70000,2000+(J376-60000)*15%,IF(J376&lt;=200000,3500+(J376-70000)*20%,IF(J376&lt;=400000,29500+(J376-200000)*22.5%,IF(J376&lt;=1000000,74500+(J376-400000)*25%,224500+(J376-1000000)*27.5%)))))))/12))</f>
        <v/>
      </c>
      <c r="L376" s="8" t="str">
        <f>IF(A376="","",IF('كشف التوقيع والملخص'!$B$3="نعم",MAX(0,H376-10000)*0.003,0))</f>
        <v/>
      </c>
      <c r="M376" s="8" t="str">
        <f>IF(A376="","",I376+K376+L376)</f>
        <v/>
      </c>
      <c r="N376" s="8" t="str">
        <f>IF(A376="","",H376-M376)</f>
        <v/>
      </c>
    </row>
    <row r="377" spans="1:14" ht="14.25" x14ac:dyDescent="0.15">
      <c r="A377" s="5" t="str">
        <f>IF('بيانات الموظفين'!A377="","",'بيانات الموظفين'!A377)</f>
        <v/>
      </c>
      <c r="B377" s="5" t="str">
        <f>IF(A377="","",'بيانات الموظفين'!B377)</f>
        <v/>
      </c>
      <c r="C377" s="6" t="s">
        <v>25</v>
      </c>
      <c r="D377" s="6">
        <v>2026</v>
      </c>
      <c r="E377" s="6">
        <v>30</v>
      </c>
      <c r="F377" s="7"/>
      <c r="G377" s="7"/>
      <c r="H377" s="8" t="str">
        <f>IF(A377="","",(('بيانات الموظفين'!G377+'بيانات الموظفين'!H377)/30)*MIN(30,MAX(0,E377))+F377+G377)</f>
        <v/>
      </c>
      <c r="I377" s="8" t="str">
        <f>IF(A377="","",MIN(16700,MAX(2700,'بيانات الموظفين'!I377))*11%)</f>
        <v/>
      </c>
      <c r="J377" s="8" t="str">
        <f>IF(A377="","",MAX(0,ROUNDDOWN(H377*12-I377*12-20000,-1)))</f>
        <v/>
      </c>
      <c r="K377" s="8" t="str">
        <f>IF(A377="","",MAX(0,(IF(J377&lt;=40000,0,IF(J377&lt;=60000,(J377-40000)*10%,IF(J377&lt;=70000,2000+(J377-60000)*15%,IF(J377&lt;=200000,3500+(J377-70000)*20%,IF(J377&lt;=400000,29500+(J377-200000)*22.5%,IF(J377&lt;=1000000,74500+(J377-400000)*25%,224500+(J377-1000000)*27.5%)))))))/12))</f>
        <v/>
      </c>
      <c r="L377" s="8" t="str">
        <f>IF(A377="","",IF('كشف التوقيع والملخص'!$B$3="نعم",MAX(0,H377-10000)*0.003,0))</f>
        <v/>
      </c>
      <c r="M377" s="8" t="str">
        <f>IF(A377="","",I377+K377+L377)</f>
        <v/>
      </c>
      <c r="N377" s="8" t="str">
        <f>IF(A377="","",H377-M377)</f>
        <v/>
      </c>
    </row>
    <row r="378" spans="1:14" ht="14.25" x14ac:dyDescent="0.15">
      <c r="A378" s="5" t="str">
        <f>IF('بيانات الموظفين'!A378="","",'بيانات الموظفين'!A378)</f>
        <v/>
      </c>
      <c r="B378" s="5" t="str">
        <f>IF(A378="","",'بيانات الموظفين'!B378)</f>
        <v/>
      </c>
      <c r="C378" s="6" t="s">
        <v>25</v>
      </c>
      <c r="D378" s="6">
        <v>2026</v>
      </c>
      <c r="E378" s="6">
        <v>30</v>
      </c>
      <c r="F378" s="7"/>
      <c r="G378" s="7"/>
      <c r="H378" s="8" t="str">
        <f>IF(A378="","",(('بيانات الموظفين'!G378+'بيانات الموظفين'!H378)/30)*MIN(30,MAX(0,E378))+F378+G378)</f>
        <v/>
      </c>
      <c r="I378" s="8" t="str">
        <f>IF(A378="","",MIN(16700,MAX(2700,'بيانات الموظفين'!I378))*11%)</f>
        <v/>
      </c>
      <c r="J378" s="8" t="str">
        <f>IF(A378="","",MAX(0,ROUNDDOWN(H378*12-I378*12-20000,-1)))</f>
        <v/>
      </c>
      <c r="K378" s="8" t="str">
        <f>IF(A378="","",MAX(0,(IF(J378&lt;=40000,0,IF(J378&lt;=60000,(J378-40000)*10%,IF(J378&lt;=70000,2000+(J378-60000)*15%,IF(J378&lt;=200000,3500+(J378-70000)*20%,IF(J378&lt;=400000,29500+(J378-200000)*22.5%,IF(J378&lt;=1000000,74500+(J378-400000)*25%,224500+(J378-1000000)*27.5%)))))))/12))</f>
        <v/>
      </c>
      <c r="L378" s="8" t="str">
        <f>IF(A378="","",IF('كشف التوقيع والملخص'!$B$3="نعم",MAX(0,H378-10000)*0.003,0))</f>
        <v/>
      </c>
      <c r="M378" s="8" t="str">
        <f>IF(A378="","",I378+K378+L378)</f>
        <v/>
      </c>
      <c r="N378" s="8" t="str">
        <f>IF(A378="","",H378-M378)</f>
        <v/>
      </c>
    </row>
    <row r="379" spans="1:14" ht="14.25" x14ac:dyDescent="0.15">
      <c r="A379" s="5" t="str">
        <f>IF('بيانات الموظفين'!A379="","",'بيانات الموظفين'!A379)</f>
        <v/>
      </c>
      <c r="B379" s="5" t="str">
        <f>IF(A379="","",'بيانات الموظفين'!B379)</f>
        <v/>
      </c>
      <c r="C379" s="6" t="s">
        <v>25</v>
      </c>
      <c r="D379" s="6">
        <v>2026</v>
      </c>
      <c r="E379" s="6">
        <v>30</v>
      </c>
      <c r="F379" s="7"/>
      <c r="G379" s="7"/>
      <c r="H379" s="8" t="str">
        <f>IF(A379="","",(('بيانات الموظفين'!G379+'بيانات الموظفين'!H379)/30)*MIN(30,MAX(0,E379))+F379+G379)</f>
        <v/>
      </c>
      <c r="I379" s="8" t="str">
        <f>IF(A379="","",MIN(16700,MAX(2700,'بيانات الموظفين'!I379))*11%)</f>
        <v/>
      </c>
      <c r="J379" s="8" t="str">
        <f>IF(A379="","",MAX(0,ROUNDDOWN(H379*12-I379*12-20000,-1)))</f>
        <v/>
      </c>
      <c r="K379" s="8" t="str">
        <f>IF(A379="","",MAX(0,(IF(J379&lt;=40000,0,IF(J379&lt;=60000,(J379-40000)*10%,IF(J379&lt;=70000,2000+(J379-60000)*15%,IF(J379&lt;=200000,3500+(J379-70000)*20%,IF(J379&lt;=400000,29500+(J379-200000)*22.5%,IF(J379&lt;=1000000,74500+(J379-400000)*25%,224500+(J379-1000000)*27.5%)))))))/12))</f>
        <v/>
      </c>
      <c r="L379" s="8" t="str">
        <f>IF(A379="","",IF('كشف التوقيع والملخص'!$B$3="نعم",MAX(0,H379-10000)*0.003,0))</f>
        <v/>
      </c>
      <c r="M379" s="8" t="str">
        <f>IF(A379="","",I379+K379+L379)</f>
        <v/>
      </c>
      <c r="N379" s="8" t="str">
        <f>IF(A379="","",H379-M379)</f>
        <v/>
      </c>
    </row>
    <row r="380" spans="1:14" ht="14.25" x14ac:dyDescent="0.15">
      <c r="A380" s="5" t="str">
        <f>IF('بيانات الموظفين'!A380="","",'بيانات الموظفين'!A380)</f>
        <v/>
      </c>
      <c r="B380" s="5" t="str">
        <f>IF(A380="","",'بيانات الموظفين'!B380)</f>
        <v/>
      </c>
      <c r="C380" s="6" t="s">
        <v>25</v>
      </c>
      <c r="D380" s="6">
        <v>2026</v>
      </c>
      <c r="E380" s="6">
        <v>30</v>
      </c>
      <c r="F380" s="7"/>
      <c r="G380" s="7"/>
      <c r="H380" s="8" t="str">
        <f>IF(A380="","",(('بيانات الموظفين'!G380+'بيانات الموظفين'!H380)/30)*MIN(30,MAX(0,E380))+F380+G380)</f>
        <v/>
      </c>
      <c r="I380" s="8" t="str">
        <f>IF(A380="","",MIN(16700,MAX(2700,'بيانات الموظفين'!I380))*11%)</f>
        <v/>
      </c>
      <c r="J380" s="8" t="str">
        <f>IF(A380="","",MAX(0,ROUNDDOWN(H380*12-I380*12-20000,-1)))</f>
        <v/>
      </c>
      <c r="K380" s="8" t="str">
        <f>IF(A380="","",MAX(0,(IF(J380&lt;=40000,0,IF(J380&lt;=60000,(J380-40000)*10%,IF(J380&lt;=70000,2000+(J380-60000)*15%,IF(J380&lt;=200000,3500+(J380-70000)*20%,IF(J380&lt;=400000,29500+(J380-200000)*22.5%,IF(J380&lt;=1000000,74500+(J380-400000)*25%,224500+(J380-1000000)*27.5%)))))))/12))</f>
        <v/>
      </c>
      <c r="L380" s="8" t="str">
        <f>IF(A380="","",IF('كشف التوقيع والملخص'!$B$3="نعم",MAX(0,H380-10000)*0.003,0))</f>
        <v/>
      </c>
      <c r="M380" s="8" t="str">
        <f>IF(A380="","",I380+K380+L380)</f>
        <v/>
      </c>
      <c r="N380" s="8" t="str">
        <f>IF(A380="","",H380-M380)</f>
        <v/>
      </c>
    </row>
    <row r="381" spans="1:14" ht="14.25" x14ac:dyDescent="0.15">
      <c r="A381" s="5" t="str">
        <f>IF('بيانات الموظفين'!A381="","",'بيانات الموظفين'!A381)</f>
        <v/>
      </c>
      <c r="B381" s="5" t="str">
        <f>IF(A381="","",'بيانات الموظفين'!B381)</f>
        <v/>
      </c>
      <c r="C381" s="6" t="s">
        <v>25</v>
      </c>
      <c r="D381" s="6">
        <v>2026</v>
      </c>
      <c r="E381" s="6">
        <v>30</v>
      </c>
      <c r="F381" s="7"/>
      <c r="G381" s="7"/>
      <c r="H381" s="8" t="str">
        <f>IF(A381="","",(('بيانات الموظفين'!G381+'بيانات الموظفين'!H381)/30)*MIN(30,MAX(0,E381))+F381+G381)</f>
        <v/>
      </c>
      <c r="I381" s="8" t="str">
        <f>IF(A381="","",MIN(16700,MAX(2700,'بيانات الموظفين'!I381))*11%)</f>
        <v/>
      </c>
      <c r="J381" s="8" t="str">
        <f>IF(A381="","",MAX(0,ROUNDDOWN(H381*12-I381*12-20000,-1)))</f>
        <v/>
      </c>
      <c r="K381" s="8" t="str">
        <f>IF(A381="","",MAX(0,(IF(J381&lt;=40000,0,IF(J381&lt;=60000,(J381-40000)*10%,IF(J381&lt;=70000,2000+(J381-60000)*15%,IF(J381&lt;=200000,3500+(J381-70000)*20%,IF(J381&lt;=400000,29500+(J381-200000)*22.5%,IF(J381&lt;=1000000,74500+(J381-400000)*25%,224500+(J381-1000000)*27.5%)))))))/12))</f>
        <v/>
      </c>
      <c r="L381" s="8" t="str">
        <f>IF(A381="","",IF('كشف التوقيع والملخص'!$B$3="نعم",MAX(0,H381-10000)*0.003,0))</f>
        <v/>
      </c>
      <c r="M381" s="8" t="str">
        <f>IF(A381="","",I381+K381+L381)</f>
        <v/>
      </c>
      <c r="N381" s="8" t="str">
        <f>IF(A381="","",H381-M381)</f>
        <v/>
      </c>
    </row>
    <row r="382" spans="1:14" ht="14.25" x14ac:dyDescent="0.15">
      <c r="A382" s="5" t="str">
        <f>IF('بيانات الموظفين'!A382="","",'بيانات الموظفين'!A382)</f>
        <v/>
      </c>
      <c r="B382" s="5" t="str">
        <f>IF(A382="","",'بيانات الموظفين'!B382)</f>
        <v/>
      </c>
      <c r="C382" s="6" t="s">
        <v>25</v>
      </c>
      <c r="D382" s="6">
        <v>2026</v>
      </c>
      <c r="E382" s="6">
        <v>30</v>
      </c>
      <c r="F382" s="7"/>
      <c r="G382" s="7"/>
      <c r="H382" s="8" t="str">
        <f>IF(A382="","",(('بيانات الموظفين'!G382+'بيانات الموظفين'!H382)/30)*MIN(30,MAX(0,E382))+F382+G382)</f>
        <v/>
      </c>
      <c r="I382" s="8" t="str">
        <f>IF(A382="","",MIN(16700,MAX(2700,'بيانات الموظفين'!I382))*11%)</f>
        <v/>
      </c>
      <c r="J382" s="8" t="str">
        <f>IF(A382="","",MAX(0,ROUNDDOWN(H382*12-I382*12-20000,-1)))</f>
        <v/>
      </c>
      <c r="K382" s="8" t="str">
        <f>IF(A382="","",MAX(0,(IF(J382&lt;=40000,0,IF(J382&lt;=60000,(J382-40000)*10%,IF(J382&lt;=70000,2000+(J382-60000)*15%,IF(J382&lt;=200000,3500+(J382-70000)*20%,IF(J382&lt;=400000,29500+(J382-200000)*22.5%,IF(J382&lt;=1000000,74500+(J382-400000)*25%,224500+(J382-1000000)*27.5%)))))))/12))</f>
        <v/>
      </c>
      <c r="L382" s="8" t="str">
        <f>IF(A382="","",IF('كشف التوقيع والملخص'!$B$3="نعم",MAX(0,H382-10000)*0.003,0))</f>
        <v/>
      </c>
      <c r="M382" s="8" t="str">
        <f>IF(A382="","",I382+K382+L382)</f>
        <v/>
      </c>
      <c r="N382" s="8" t="str">
        <f>IF(A382="","",H382-M382)</f>
        <v/>
      </c>
    </row>
    <row r="383" spans="1:14" ht="14.25" x14ac:dyDescent="0.15">
      <c r="A383" s="5" t="str">
        <f>IF('بيانات الموظفين'!A383="","",'بيانات الموظفين'!A383)</f>
        <v/>
      </c>
      <c r="B383" s="5" t="str">
        <f>IF(A383="","",'بيانات الموظفين'!B383)</f>
        <v/>
      </c>
      <c r="C383" s="6" t="s">
        <v>25</v>
      </c>
      <c r="D383" s="6">
        <v>2026</v>
      </c>
      <c r="E383" s="6">
        <v>30</v>
      </c>
      <c r="F383" s="7"/>
      <c r="G383" s="7"/>
      <c r="H383" s="8" t="str">
        <f>IF(A383="","",(('بيانات الموظفين'!G383+'بيانات الموظفين'!H383)/30)*MIN(30,MAX(0,E383))+F383+G383)</f>
        <v/>
      </c>
      <c r="I383" s="8" t="str">
        <f>IF(A383="","",MIN(16700,MAX(2700,'بيانات الموظفين'!I383))*11%)</f>
        <v/>
      </c>
      <c r="J383" s="8" t="str">
        <f>IF(A383="","",MAX(0,ROUNDDOWN(H383*12-I383*12-20000,-1)))</f>
        <v/>
      </c>
      <c r="K383" s="8" t="str">
        <f>IF(A383="","",MAX(0,(IF(J383&lt;=40000,0,IF(J383&lt;=60000,(J383-40000)*10%,IF(J383&lt;=70000,2000+(J383-60000)*15%,IF(J383&lt;=200000,3500+(J383-70000)*20%,IF(J383&lt;=400000,29500+(J383-200000)*22.5%,IF(J383&lt;=1000000,74500+(J383-400000)*25%,224500+(J383-1000000)*27.5%)))))))/12))</f>
        <v/>
      </c>
      <c r="L383" s="8" t="str">
        <f>IF(A383="","",IF('كشف التوقيع والملخص'!$B$3="نعم",MAX(0,H383-10000)*0.003,0))</f>
        <v/>
      </c>
      <c r="M383" s="8" t="str">
        <f>IF(A383="","",I383+K383+L383)</f>
        <v/>
      </c>
      <c r="N383" s="8" t="str">
        <f>IF(A383="","",H383-M383)</f>
        <v/>
      </c>
    </row>
    <row r="384" spans="1:14" ht="14.25" x14ac:dyDescent="0.15">
      <c r="A384" s="5" t="str">
        <f>IF('بيانات الموظفين'!A384="","",'بيانات الموظفين'!A384)</f>
        <v/>
      </c>
      <c r="B384" s="5" t="str">
        <f>IF(A384="","",'بيانات الموظفين'!B384)</f>
        <v/>
      </c>
      <c r="C384" s="6" t="s">
        <v>25</v>
      </c>
      <c r="D384" s="6">
        <v>2026</v>
      </c>
      <c r="E384" s="6">
        <v>30</v>
      </c>
      <c r="F384" s="7"/>
      <c r="G384" s="7"/>
      <c r="H384" s="8" t="str">
        <f>IF(A384="","",(('بيانات الموظفين'!G384+'بيانات الموظفين'!H384)/30)*MIN(30,MAX(0,E384))+F384+G384)</f>
        <v/>
      </c>
      <c r="I384" s="8" t="str">
        <f>IF(A384="","",MIN(16700,MAX(2700,'بيانات الموظفين'!I384))*11%)</f>
        <v/>
      </c>
      <c r="J384" s="8" t="str">
        <f>IF(A384="","",MAX(0,ROUNDDOWN(H384*12-I384*12-20000,-1)))</f>
        <v/>
      </c>
      <c r="K384" s="8" t="str">
        <f>IF(A384="","",MAX(0,(IF(J384&lt;=40000,0,IF(J384&lt;=60000,(J384-40000)*10%,IF(J384&lt;=70000,2000+(J384-60000)*15%,IF(J384&lt;=200000,3500+(J384-70000)*20%,IF(J384&lt;=400000,29500+(J384-200000)*22.5%,IF(J384&lt;=1000000,74500+(J384-400000)*25%,224500+(J384-1000000)*27.5%)))))))/12))</f>
        <v/>
      </c>
      <c r="L384" s="8" t="str">
        <f>IF(A384="","",IF('كشف التوقيع والملخص'!$B$3="نعم",MAX(0,H384-10000)*0.003,0))</f>
        <v/>
      </c>
      <c r="M384" s="8" t="str">
        <f>IF(A384="","",I384+K384+L384)</f>
        <v/>
      </c>
      <c r="N384" s="8" t="str">
        <f>IF(A384="","",H384-M384)</f>
        <v/>
      </c>
    </row>
    <row r="385" spans="1:14" ht="14.25" x14ac:dyDescent="0.15">
      <c r="A385" s="5" t="str">
        <f>IF('بيانات الموظفين'!A385="","",'بيانات الموظفين'!A385)</f>
        <v/>
      </c>
      <c r="B385" s="5" t="str">
        <f>IF(A385="","",'بيانات الموظفين'!B385)</f>
        <v/>
      </c>
      <c r="C385" s="6" t="s">
        <v>25</v>
      </c>
      <c r="D385" s="6">
        <v>2026</v>
      </c>
      <c r="E385" s="6">
        <v>30</v>
      </c>
      <c r="F385" s="7"/>
      <c r="G385" s="7"/>
      <c r="H385" s="8" t="str">
        <f>IF(A385="","",(('بيانات الموظفين'!G385+'بيانات الموظفين'!H385)/30)*MIN(30,MAX(0,E385))+F385+G385)</f>
        <v/>
      </c>
      <c r="I385" s="8" t="str">
        <f>IF(A385="","",MIN(16700,MAX(2700,'بيانات الموظفين'!I385))*11%)</f>
        <v/>
      </c>
      <c r="J385" s="8" t="str">
        <f>IF(A385="","",MAX(0,ROUNDDOWN(H385*12-I385*12-20000,-1)))</f>
        <v/>
      </c>
      <c r="K385" s="8" t="str">
        <f>IF(A385="","",MAX(0,(IF(J385&lt;=40000,0,IF(J385&lt;=60000,(J385-40000)*10%,IF(J385&lt;=70000,2000+(J385-60000)*15%,IF(J385&lt;=200000,3500+(J385-70000)*20%,IF(J385&lt;=400000,29500+(J385-200000)*22.5%,IF(J385&lt;=1000000,74500+(J385-400000)*25%,224500+(J385-1000000)*27.5%)))))))/12))</f>
        <v/>
      </c>
      <c r="L385" s="8" t="str">
        <f>IF(A385="","",IF('كشف التوقيع والملخص'!$B$3="نعم",MAX(0,H385-10000)*0.003,0))</f>
        <v/>
      </c>
      <c r="M385" s="8" t="str">
        <f>IF(A385="","",I385+K385+L385)</f>
        <v/>
      </c>
      <c r="N385" s="8" t="str">
        <f>IF(A385="","",H385-M385)</f>
        <v/>
      </c>
    </row>
    <row r="386" spans="1:14" ht="14.25" x14ac:dyDescent="0.15">
      <c r="A386" s="5" t="str">
        <f>IF('بيانات الموظفين'!A386="","",'بيانات الموظفين'!A386)</f>
        <v/>
      </c>
      <c r="B386" s="5" t="str">
        <f>IF(A386="","",'بيانات الموظفين'!B386)</f>
        <v/>
      </c>
      <c r="C386" s="6" t="s">
        <v>25</v>
      </c>
      <c r="D386" s="6">
        <v>2026</v>
      </c>
      <c r="E386" s="6">
        <v>30</v>
      </c>
      <c r="F386" s="7"/>
      <c r="G386" s="7"/>
      <c r="H386" s="8" t="str">
        <f>IF(A386="","",(('بيانات الموظفين'!G386+'بيانات الموظفين'!H386)/30)*MIN(30,MAX(0,E386))+F386+G386)</f>
        <v/>
      </c>
      <c r="I386" s="8" t="str">
        <f>IF(A386="","",MIN(16700,MAX(2700,'بيانات الموظفين'!I386))*11%)</f>
        <v/>
      </c>
      <c r="J386" s="8" t="str">
        <f>IF(A386="","",MAX(0,ROUNDDOWN(H386*12-I386*12-20000,-1)))</f>
        <v/>
      </c>
      <c r="K386" s="8" t="str">
        <f>IF(A386="","",MAX(0,(IF(J386&lt;=40000,0,IF(J386&lt;=60000,(J386-40000)*10%,IF(J386&lt;=70000,2000+(J386-60000)*15%,IF(J386&lt;=200000,3500+(J386-70000)*20%,IF(J386&lt;=400000,29500+(J386-200000)*22.5%,IF(J386&lt;=1000000,74500+(J386-400000)*25%,224500+(J386-1000000)*27.5%)))))))/12))</f>
        <v/>
      </c>
      <c r="L386" s="8" t="str">
        <f>IF(A386="","",IF('كشف التوقيع والملخص'!$B$3="نعم",MAX(0,H386-10000)*0.003,0))</f>
        <v/>
      </c>
      <c r="M386" s="8" t="str">
        <f>IF(A386="","",I386+K386+L386)</f>
        <v/>
      </c>
      <c r="N386" s="8" t="str">
        <f>IF(A386="","",H386-M386)</f>
        <v/>
      </c>
    </row>
    <row r="387" spans="1:14" ht="14.25" x14ac:dyDescent="0.15">
      <c r="A387" s="5" t="str">
        <f>IF('بيانات الموظفين'!A387="","",'بيانات الموظفين'!A387)</f>
        <v/>
      </c>
      <c r="B387" s="5" t="str">
        <f>IF(A387="","",'بيانات الموظفين'!B387)</f>
        <v/>
      </c>
      <c r="C387" s="6" t="s">
        <v>25</v>
      </c>
      <c r="D387" s="6">
        <v>2026</v>
      </c>
      <c r="E387" s="6">
        <v>30</v>
      </c>
      <c r="F387" s="7"/>
      <c r="G387" s="7"/>
      <c r="H387" s="8" t="str">
        <f>IF(A387="","",(('بيانات الموظفين'!G387+'بيانات الموظفين'!H387)/30)*MIN(30,MAX(0,E387))+F387+G387)</f>
        <v/>
      </c>
      <c r="I387" s="8" t="str">
        <f>IF(A387="","",MIN(16700,MAX(2700,'بيانات الموظفين'!I387))*11%)</f>
        <v/>
      </c>
      <c r="J387" s="8" t="str">
        <f>IF(A387="","",MAX(0,ROUNDDOWN(H387*12-I387*12-20000,-1)))</f>
        <v/>
      </c>
      <c r="K387" s="8" t="str">
        <f>IF(A387="","",MAX(0,(IF(J387&lt;=40000,0,IF(J387&lt;=60000,(J387-40000)*10%,IF(J387&lt;=70000,2000+(J387-60000)*15%,IF(J387&lt;=200000,3500+(J387-70000)*20%,IF(J387&lt;=400000,29500+(J387-200000)*22.5%,IF(J387&lt;=1000000,74500+(J387-400000)*25%,224500+(J387-1000000)*27.5%)))))))/12))</f>
        <v/>
      </c>
      <c r="L387" s="8" t="str">
        <f>IF(A387="","",IF('كشف التوقيع والملخص'!$B$3="نعم",MAX(0,H387-10000)*0.003,0))</f>
        <v/>
      </c>
      <c r="M387" s="8" t="str">
        <f>IF(A387="","",I387+K387+L387)</f>
        <v/>
      </c>
      <c r="N387" s="8" t="str">
        <f>IF(A387="","",H387-M387)</f>
        <v/>
      </c>
    </row>
    <row r="388" spans="1:14" ht="14.25" x14ac:dyDescent="0.15">
      <c r="A388" s="5" t="str">
        <f>IF('بيانات الموظفين'!A388="","",'بيانات الموظفين'!A388)</f>
        <v/>
      </c>
      <c r="B388" s="5" t="str">
        <f>IF(A388="","",'بيانات الموظفين'!B388)</f>
        <v/>
      </c>
      <c r="C388" s="6" t="s">
        <v>25</v>
      </c>
      <c r="D388" s="6">
        <v>2026</v>
      </c>
      <c r="E388" s="6">
        <v>30</v>
      </c>
      <c r="F388" s="7"/>
      <c r="G388" s="7"/>
      <c r="H388" s="8" t="str">
        <f>IF(A388="","",(('بيانات الموظفين'!G388+'بيانات الموظفين'!H388)/30)*MIN(30,MAX(0,E388))+F388+G388)</f>
        <v/>
      </c>
      <c r="I388" s="8" t="str">
        <f>IF(A388="","",MIN(16700,MAX(2700,'بيانات الموظفين'!I388))*11%)</f>
        <v/>
      </c>
      <c r="J388" s="8" t="str">
        <f>IF(A388="","",MAX(0,ROUNDDOWN(H388*12-I388*12-20000,-1)))</f>
        <v/>
      </c>
      <c r="K388" s="8" t="str">
        <f>IF(A388="","",MAX(0,(IF(J388&lt;=40000,0,IF(J388&lt;=60000,(J388-40000)*10%,IF(J388&lt;=70000,2000+(J388-60000)*15%,IF(J388&lt;=200000,3500+(J388-70000)*20%,IF(J388&lt;=400000,29500+(J388-200000)*22.5%,IF(J388&lt;=1000000,74500+(J388-400000)*25%,224500+(J388-1000000)*27.5%)))))))/12))</f>
        <v/>
      </c>
      <c r="L388" s="8" t="str">
        <f>IF(A388="","",IF('كشف التوقيع والملخص'!$B$3="نعم",MAX(0,H388-10000)*0.003,0))</f>
        <v/>
      </c>
      <c r="M388" s="8" t="str">
        <f>IF(A388="","",I388+K388+L388)</f>
        <v/>
      </c>
      <c r="N388" s="8" t="str">
        <f>IF(A388="","",H388-M388)</f>
        <v/>
      </c>
    </row>
    <row r="389" spans="1:14" ht="14.25" x14ac:dyDescent="0.15">
      <c r="A389" s="5" t="str">
        <f>IF('بيانات الموظفين'!A389="","",'بيانات الموظفين'!A389)</f>
        <v/>
      </c>
      <c r="B389" s="5" t="str">
        <f>IF(A389="","",'بيانات الموظفين'!B389)</f>
        <v/>
      </c>
      <c r="C389" s="6" t="s">
        <v>25</v>
      </c>
      <c r="D389" s="6">
        <v>2026</v>
      </c>
      <c r="E389" s="6">
        <v>30</v>
      </c>
      <c r="F389" s="7"/>
      <c r="G389" s="7"/>
      <c r="H389" s="8" t="str">
        <f>IF(A389="","",(('بيانات الموظفين'!G389+'بيانات الموظفين'!H389)/30)*MIN(30,MAX(0,E389))+F389+G389)</f>
        <v/>
      </c>
      <c r="I389" s="8" t="str">
        <f>IF(A389="","",MIN(16700,MAX(2700,'بيانات الموظفين'!I389))*11%)</f>
        <v/>
      </c>
      <c r="J389" s="8" t="str">
        <f>IF(A389="","",MAX(0,ROUNDDOWN(H389*12-I389*12-20000,-1)))</f>
        <v/>
      </c>
      <c r="K389" s="8" t="str">
        <f>IF(A389="","",MAX(0,(IF(J389&lt;=40000,0,IF(J389&lt;=60000,(J389-40000)*10%,IF(J389&lt;=70000,2000+(J389-60000)*15%,IF(J389&lt;=200000,3500+(J389-70000)*20%,IF(J389&lt;=400000,29500+(J389-200000)*22.5%,IF(J389&lt;=1000000,74500+(J389-400000)*25%,224500+(J389-1000000)*27.5%)))))))/12))</f>
        <v/>
      </c>
      <c r="L389" s="8" t="str">
        <f>IF(A389="","",IF('كشف التوقيع والملخص'!$B$3="نعم",MAX(0,H389-10000)*0.003,0))</f>
        <v/>
      </c>
      <c r="M389" s="8" t="str">
        <f>IF(A389="","",I389+K389+L389)</f>
        <v/>
      </c>
      <c r="N389" s="8" t="str">
        <f>IF(A389="","",H389-M389)</f>
        <v/>
      </c>
    </row>
    <row r="390" spans="1:14" ht="14.25" x14ac:dyDescent="0.15">
      <c r="A390" s="5" t="str">
        <f>IF('بيانات الموظفين'!A390="","",'بيانات الموظفين'!A390)</f>
        <v/>
      </c>
      <c r="B390" s="5" t="str">
        <f>IF(A390="","",'بيانات الموظفين'!B390)</f>
        <v/>
      </c>
      <c r="C390" s="6" t="s">
        <v>25</v>
      </c>
      <c r="D390" s="6">
        <v>2026</v>
      </c>
      <c r="E390" s="6">
        <v>30</v>
      </c>
      <c r="F390" s="7"/>
      <c r="G390" s="7"/>
      <c r="H390" s="8" t="str">
        <f>IF(A390="","",(('بيانات الموظفين'!G390+'بيانات الموظفين'!H390)/30)*MIN(30,MAX(0,E390))+F390+G390)</f>
        <v/>
      </c>
      <c r="I390" s="8" t="str">
        <f>IF(A390="","",MIN(16700,MAX(2700,'بيانات الموظفين'!I390))*11%)</f>
        <v/>
      </c>
      <c r="J390" s="8" t="str">
        <f>IF(A390="","",MAX(0,ROUNDDOWN(H390*12-I390*12-20000,-1)))</f>
        <v/>
      </c>
      <c r="K390" s="8" t="str">
        <f>IF(A390="","",MAX(0,(IF(J390&lt;=40000,0,IF(J390&lt;=60000,(J390-40000)*10%,IF(J390&lt;=70000,2000+(J390-60000)*15%,IF(J390&lt;=200000,3500+(J390-70000)*20%,IF(J390&lt;=400000,29500+(J390-200000)*22.5%,IF(J390&lt;=1000000,74500+(J390-400000)*25%,224500+(J390-1000000)*27.5%)))))))/12))</f>
        <v/>
      </c>
      <c r="L390" s="8" t="str">
        <f>IF(A390="","",IF('كشف التوقيع والملخص'!$B$3="نعم",MAX(0,H390-10000)*0.003,0))</f>
        <v/>
      </c>
      <c r="M390" s="8" t="str">
        <f>IF(A390="","",I390+K390+L390)</f>
        <v/>
      </c>
      <c r="N390" s="8" t="str">
        <f>IF(A390="","",H390-M390)</f>
        <v/>
      </c>
    </row>
    <row r="391" spans="1:14" ht="14.25" x14ac:dyDescent="0.15">
      <c r="A391" s="5" t="str">
        <f>IF('بيانات الموظفين'!A391="","",'بيانات الموظفين'!A391)</f>
        <v/>
      </c>
      <c r="B391" s="5" t="str">
        <f>IF(A391="","",'بيانات الموظفين'!B391)</f>
        <v/>
      </c>
      <c r="C391" s="6" t="s">
        <v>25</v>
      </c>
      <c r="D391" s="6">
        <v>2026</v>
      </c>
      <c r="E391" s="6">
        <v>30</v>
      </c>
      <c r="F391" s="7"/>
      <c r="G391" s="7"/>
      <c r="H391" s="8" t="str">
        <f>IF(A391="","",(('بيانات الموظفين'!G391+'بيانات الموظفين'!H391)/30)*MIN(30,MAX(0,E391))+F391+G391)</f>
        <v/>
      </c>
      <c r="I391" s="8" t="str">
        <f>IF(A391="","",MIN(16700,MAX(2700,'بيانات الموظفين'!I391))*11%)</f>
        <v/>
      </c>
      <c r="J391" s="8" t="str">
        <f>IF(A391="","",MAX(0,ROUNDDOWN(H391*12-I391*12-20000,-1)))</f>
        <v/>
      </c>
      <c r="K391" s="8" t="str">
        <f>IF(A391="","",MAX(0,(IF(J391&lt;=40000,0,IF(J391&lt;=60000,(J391-40000)*10%,IF(J391&lt;=70000,2000+(J391-60000)*15%,IF(J391&lt;=200000,3500+(J391-70000)*20%,IF(J391&lt;=400000,29500+(J391-200000)*22.5%,IF(J391&lt;=1000000,74500+(J391-400000)*25%,224500+(J391-1000000)*27.5%)))))))/12))</f>
        <v/>
      </c>
      <c r="L391" s="8" t="str">
        <f>IF(A391="","",IF('كشف التوقيع والملخص'!$B$3="نعم",MAX(0,H391-10000)*0.003,0))</f>
        <v/>
      </c>
      <c r="M391" s="8" t="str">
        <f>IF(A391="","",I391+K391+L391)</f>
        <v/>
      </c>
      <c r="N391" s="8" t="str">
        <f>IF(A391="","",H391-M391)</f>
        <v/>
      </c>
    </row>
    <row r="392" spans="1:14" ht="14.25" x14ac:dyDescent="0.15">
      <c r="A392" s="5" t="str">
        <f>IF('بيانات الموظفين'!A392="","",'بيانات الموظفين'!A392)</f>
        <v/>
      </c>
      <c r="B392" s="5" t="str">
        <f>IF(A392="","",'بيانات الموظفين'!B392)</f>
        <v/>
      </c>
      <c r="C392" s="6" t="s">
        <v>25</v>
      </c>
      <c r="D392" s="6">
        <v>2026</v>
      </c>
      <c r="E392" s="6">
        <v>30</v>
      </c>
      <c r="F392" s="7"/>
      <c r="G392" s="7"/>
      <c r="H392" s="8" t="str">
        <f>IF(A392="","",(('بيانات الموظفين'!G392+'بيانات الموظفين'!H392)/30)*MIN(30,MAX(0,E392))+F392+G392)</f>
        <v/>
      </c>
      <c r="I392" s="8" t="str">
        <f>IF(A392="","",MIN(16700,MAX(2700,'بيانات الموظفين'!I392))*11%)</f>
        <v/>
      </c>
      <c r="J392" s="8" t="str">
        <f>IF(A392="","",MAX(0,ROUNDDOWN(H392*12-I392*12-20000,-1)))</f>
        <v/>
      </c>
      <c r="K392" s="8" t="str">
        <f>IF(A392="","",MAX(0,(IF(J392&lt;=40000,0,IF(J392&lt;=60000,(J392-40000)*10%,IF(J392&lt;=70000,2000+(J392-60000)*15%,IF(J392&lt;=200000,3500+(J392-70000)*20%,IF(J392&lt;=400000,29500+(J392-200000)*22.5%,IF(J392&lt;=1000000,74500+(J392-400000)*25%,224500+(J392-1000000)*27.5%)))))))/12))</f>
        <v/>
      </c>
      <c r="L392" s="8" t="str">
        <f>IF(A392="","",IF('كشف التوقيع والملخص'!$B$3="نعم",MAX(0,H392-10000)*0.003,0))</f>
        <v/>
      </c>
      <c r="M392" s="8" t="str">
        <f>IF(A392="","",I392+K392+L392)</f>
        <v/>
      </c>
      <c r="N392" s="8" t="str">
        <f>IF(A392="","",H392-M392)</f>
        <v/>
      </c>
    </row>
    <row r="393" spans="1:14" ht="14.25" x14ac:dyDescent="0.15">
      <c r="A393" s="5" t="str">
        <f>IF('بيانات الموظفين'!A393="","",'بيانات الموظفين'!A393)</f>
        <v/>
      </c>
      <c r="B393" s="5" t="str">
        <f>IF(A393="","",'بيانات الموظفين'!B393)</f>
        <v/>
      </c>
      <c r="C393" s="6" t="s">
        <v>25</v>
      </c>
      <c r="D393" s="6">
        <v>2026</v>
      </c>
      <c r="E393" s="6">
        <v>30</v>
      </c>
      <c r="F393" s="7"/>
      <c r="G393" s="7"/>
      <c r="H393" s="8" t="str">
        <f>IF(A393="","",(('بيانات الموظفين'!G393+'بيانات الموظفين'!H393)/30)*MIN(30,MAX(0,E393))+F393+G393)</f>
        <v/>
      </c>
      <c r="I393" s="8" t="str">
        <f>IF(A393="","",MIN(16700,MAX(2700,'بيانات الموظفين'!I393))*11%)</f>
        <v/>
      </c>
      <c r="J393" s="8" t="str">
        <f>IF(A393="","",MAX(0,ROUNDDOWN(H393*12-I393*12-20000,-1)))</f>
        <v/>
      </c>
      <c r="K393" s="8" t="str">
        <f>IF(A393="","",MAX(0,(IF(J393&lt;=40000,0,IF(J393&lt;=60000,(J393-40000)*10%,IF(J393&lt;=70000,2000+(J393-60000)*15%,IF(J393&lt;=200000,3500+(J393-70000)*20%,IF(J393&lt;=400000,29500+(J393-200000)*22.5%,IF(J393&lt;=1000000,74500+(J393-400000)*25%,224500+(J393-1000000)*27.5%)))))))/12))</f>
        <v/>
      </c>
      <c r="L393" s="8" t="str">
        <f>IF(A393="","",IF('كشف التوقيع والملخص'!$B$3="نعم",MAX(0,H393-10000)*0.003,0))</f>
        <v/>
      </c>
      <c r="M393" s="8" t="str">
        <f>IF(A393="","",I393+K393+L393)</f>
        <v/>
      </c>
      <c r="N393" s="8" t="str">
        <f>IF(A393="","",H393-M393)</f>
        <v/>
      </c>
    </row>
    <row r="394" spans="1:14" ht="14.25" x14ac:dyDescent="0.15">
      <c r="A394" s="5" t="str">
        <f>IF('بيانات الموظفين'!A394="","",'بيانات الموظفين'!A394)</f>
        <v/>
      </c>
      <c r="B394" s="5" t="str">
        <f>IF(A394="","",'بيانات الموظفين'!B394)</f>
        <v/>
      </c>
      <c r="C394" s="6" t="s">
        <v>25</v>
      </c>
      <c r="D394" s="6">
        <v>2026</v>
      </c>
      <c r="E394" s="6">
        <v>30</v>
      </c>
      <c r="F394" s="7"/>
      <c r="G394" s="7"/>
      <c r="H394" s="8" t="str">
        <f>IF(A394="","",(('بيانات الموظفين'!G394+'بيانات الموظفين'!H394)/30)*MIN(30,MAX(0,E394))+F394+G394)</f>
        <v/>
      </c>
      <c r="I394" s="8" t="str">
        <f>IF(A394="","",MIN(16700,MAX(2700,'بيانات الموظفين'!I394))*11%)</f>
        <v/>
      </c>
      <c r="J394" s="8" t="str">
        <f>IF(A394="","",MAX(0,ROUNDDOWN(H394*12-I394*12-20000,-1)))</f>
        <v/>
      </c>
      <c r="K394" s="8" t="str">
        <f>IF(A394="","",MAX(0,(IF(J394&lt;=40000,0,IF(J394&lt;=60000,(J394-40000)*10%,IF(J394&lt;=70000,2000+(J394-60000)*15%,IF(J394&lt;=200000,3500+(J394-70000)*20%,IF(J394&lt;=400000,29500+(J394-200000)*22.5%,IF(J394&lt;=1000000,74500+(J394-400000)*25%,224500+(J394-1000000)*27.5%)))))))/12))</f>
        <v/>
      </c>
      <c r="L394" s="8" t="str">
        <f>IF(A394="","",IF('كشف التوقيع والملخص'!$B$3="نعم",MAX(0,H394-10000)*0.003,0))</f>
        <v/>
      </c>
      <c r="M394" s="8" t="str">
        <f>IF(A394="","",I394+K394+L394)</f>
        <v/>
      </c>
      <c r="N394" s="8" t="str">
        <f>IF(A394="","",H394-M394)</f>
        <v/>
      </c>
    </row>
    <row r="395" spans="1:14" ht="14.25" x14ac:dyDescent="0.15">
      <c r="A395" s="5" t="str">
        <f>IF('بيانات الموظفين'!A395="","",'بيانات الموظفين'!A395)</f>
        <v/>
      </c>
      <c r="B395" s="5" t="str">
        <f>IF(A395="","",'بيانات الموظفين'!B395)</f>
        <v/>
      </c>
      <c r="C395" s="6" t="s">
        <v>25</v>
      </c>
      <c r="D395" s="6">
        <v>2026</v>
      </c>
      <c r="E395" s="6">
        <v>30</v>
      </c>
      <c r="F395" s="7"/>
      <c r="G395" s="7"/>
      <c r="H395" s="8" t="str">
        <f>IF(A395="","",(('بيانات الموظفين'!G395+'بيانات الموظفين'!H395)/30)*MIN(30,MAX(0,E395))+F395+G395)</f>
        <v/>
      </c>
      <c r="I395" s="8" t="str">
        <f>IF(A395="","",MIN(16700,MAX(2700,'بيانات الموظفين'!I395))*11%)</f>
        <v/>
      </c>
      <c r="J395" s="8" t="str">
        <f>IF(A395="","",MAX(0,ROUNDDOWN(H395*12-I395*12-20000,-1)))</f>
        <v/>
      </c>
      <c r="K395" s="8" t="str">
        <f>IF(A395="","",MAX(0,(IF(J395&lt;=40000,0,IF(J395&lt;=60000,(J395-40000)*10%,IF(J395&lt;=70000,2000+(J395-60000)*15%,IF(J395&lt;=200000,3500+(J395-70000)*20%,IF(J395&lt;=400000,29500+(J395-200000)*22.5%,IF(J395&lt;=1000000,74500+(J395-400000)*25%,224500+(J395-1000000)*27.5%)))))))/12))</f>
        <v/>
      </c>
      <c r="L395" s="8" t="str">
        <f>IF(A395="","",IF('كشف التوقيع والملخص'!$B$3="نعم",MAX(0,H395-10000)*0.003,0))</f>
        <v/>
      </c>
      <c r="M395" s="8" t="str">
        <f>IF(A395="","",I395+K395+L395)</f>
        <v/>
      </c>
      <c r="N395" s="8" t="str">
        <f>IF(A395="","",H395-M395)</f>
        <v/>
      </c>
    </row>
    <row r="396" spans="1:14" ht="14.25" x14ac:dyDescent="0.15">
      <c r="A396" s="5" t="str">
        <f>IF('بيانات الموظفين'!A396="","",'بيانات الموظفين'!A396)</f>
        <v/>
      </c>
      <c r="B396" s="5" t="str">
        <f>IF(A396="","",'بيانات الموظفين'!B396)</f>
        <v/>
      </c>
      <c r="C396" s="6" t="s">
        <v>25</v>
      </c>
      <c r="D396" s="6">
        <v>2026</v>
      </c>
      <c r="E396" s="6">
        <v>30</v>
      </c>
      <c r="F396" s="7"/>
      <c r="G396" s="7"/>
      <c r="H396" s="8" t="str">
        <f>IF(A396="","",(('بيانات الموظفين'!G396+'بيانات الموظفين'!H396)/30)*MIN(30,MAX(0,E396))+F396+G396)</f>
        <v/>
      </c>
      <c r="I396" s="8" t="str">
        <f>IF(A396="","",MIN(16700,MAX(2700,'بيانات الموظفين'!I396))*11%)</f>
        <v/>
      </c>
      <c r="J396" s="8" t="str">
        <f>IF(A396="","",MAX(0,ROUNDDOWN(H396*12-I396*12-20000,-1)))</f>
        <v/>
      </c>
      <c r="K396" s="8" t="str">
        <f>IF(A396="","",MAX(0,(IF(J396&lt;=40000,0,IF(J396&lt;=60000,(J396-40000)*10%,IF(J396&lt;=70000,2000+(J396-60000)*15%,IF(J396&lt;=200000,3500+(J396-70000)*20%,IF(J396&lt;=400000,29500+(J396-200000)*22.5%,IF(J396&lt;=1000000,74500+(J396-400000)*25%,224500+(J396-1000000)*27.5%)))))))/12))</f>
        <v/>
      </c>
      <c r="L396" s="8" t="str">
        <f>IF(A396="","",IF('كشف التوقيع والملخص'!$B$3="نعم",MAX(0,H396-10000)*0.003,0))</f>
        <v/>
      </c>
      <c r="M396" s="8" t="str">
        <f>IF(A396="","",I396+K396+L396)</f>
        <v/>
      </c>
      <c r="N396" s="8" t="str">
        <f>IF(A396="","",H396-M396)</f>
        <v/>
      </c>
    </row>
    <row r="397" spans="1:14" ht="14.25" x14ac:dyDescent="0.15">
      <c r="A397" s="5" t="str">
        <f>IF('بيانات الموظفين'!A397="","",'بيانات الموظفين'!A397)</f>
        <v/>
      </c>
      <c r="B397" s="5" t="str">
        <f>IF(A397="","",'بيانات الموظفين'!B397)</f>
        <v/>
      </c>
      <c r="C397" s="6" t="s">
        <v>25</v>
      </c>
      <c r="D397" s="6">
        <v>2026</v>
      </c>
      <c r="E397" s="6">
        <v>30</v>
      </c>
      <c r="F397" s="7"/>
      <c r="G397" s="7"/>
      <c r="H397" s="8" t="str">
        <f>IF(A397="","",(('بيانات الموظفين'!G397+'بيانات الموظفين'!H397)/30)*MIN(30,MAX(0,E397))+F397+G397)</f>
        <v/>
      </c>
      <c r="I397" s="8" t="str">
        <f>IF(A397="","",MIN(16700,MAX(2700,'بيانات الموظفين'!I397))*11%)</f>
        <v/>
      </c>
      <c r="J397" s="8" t="str">
        <f>IF(A397="","",MAX(0,ROUNDDOWN(H397*12-I397*12-20000,-1)))</f>
        <v/>
      </c>
      <c r="K397" s="8" t="str">
        <f>IF(A397="","",MAX(0,(IF(J397&lt;=40000,0,IF(J397&lt;=60000,(J397-40000)*10%,IF(J397&lt;=70000,2000+(J397-60000)*15%,IF(J397&lt;=200000,3500+(J397-70000)*20%,IF(J397&lt;=400000,29500+(J397-200000)*22.5%,IF(J397&lt;=1000000,74500+(J397-400000)*25%,224500+(J397-1000000)*27.5%)))))))/12))</f>
        <v/>
      </c>
      <c r="L397" s="8" t="str">
        <f>IF(A397="","",IF('كشف التوقيع والملخص'!$B$3="نعم",MAX(0,H397-10000)*0.003,0))</f>
        <v/>
      </c>
      <c r="M397" s="8" t="str">
        <f>IF(A397="","",I397+K397+L397)</f>
        <v/>
      </c>
      <c r="N397" s="8" t="str">
        <f>IF(A397="","",H397-M397)</f>
        <v/>
      </c>
    </row>
    <row r="398" spans="1:14" ht="14.25" x14ac:dyDescent="0.15">
      <c r="A398" s="5" t="str">
        <f>IF('بيانات الموظفين'!A398="","",'بيانات الموظفين'!A398)</f>
        <v/>
      </c>
      <c r="B398" s="5" t="str">
        <f>IF(A398="","",'بيانات الموظفين'!B398)</f>
        <v/>
      </c>
      <c r="C398" s="6" t="s">
        <v>25</v>
      </c>
      <c r="D398" s="6">
        <v>2026</v>
      </c>
      <c r="E398" s="6">
        <v>30</v>
      </c>
      <c r="F398" s="7"/>
      <c r="G398" s="7"/>
      <c r="H398" s="8" t="str">
        <f>IF(A398="","",(('بيانات الموظفين'!G398+'بيانات الموظفين'!H398)/30)*MIN(30,MAX(0,E398))+F398+G398)</f>
        <v/>
      </c>
      <c r="I398" s="8" t="str">
        <f>IF(A398="","",MIN(16700,MAX(2700,'بيانات الموظفين'!I398))*11%)</f>
        <v/>
      </c>
      <c r="J398" s="8" t="str">
        <f>IF(A398="","",MAX(0,ROUNDDOWN(H398*12-I398*12-20000,-1)))</f>
        <v/>
      </c>
      <c r="K398" s="8" t="str">
        <f>IF(A398="","",MAX(0,(IF(J398&lt;=40000,0,IF(J398&lt;=60000,(J398-40000)*10%,IF(J398&lt;=70000,2000+(J398-60000)*15%,IF(J398&lt;=200000,3500+(J398-70000)*20%,IF(J398&lt;=400000,29500+(J398-200000)*22.5%,IF(J398&lt;=1000000,74500+(J398-400000)*25%,224500+(J398-1000000)*27.5%)))))))/12))</f>
        <v/>
      </c>
      <c r="L398" s="8" t="str">
        <f>IF(A398="","",IF('كشف التوقيع والملخص'!$B$3="نعم",MAX(0,H398-10000)*0.003,0))</f>
        <v/>
      </c>
      <c r="M398" s="8" t="str">
        <f>IF(A398="","",I398+K398+L398)</f>
        <v/>
      </c>
      <c r="N398" s="8" t="str">
        <f>IF(A398="","",H398-M398)</f>
        <v/>
      </c>
    </row>
    <row r="399" spans="1:14" ht="14.25" x14ac:dyDescent="0.15">
      <c r="A399" s="5" t="str">
        <f>IF('بيانات الموظفين'!A399="","",'بيانات الموظفين'!A399)</f>
        <v/>
      </c>
      <c r="B399" s="5" t="str">
        <f>IF(A399="","",'بيانات الموظفين'!B399)</f>
        <v/>
      </c>
      <c r="C399" s="6" t="s">
        <v>25</v>
      </c>
      <c r="D399" s="6">
        <v>2026</v>
      </c>
      <c r="E399" s="6">
        <v>30</v>
      </c>
      <c r="F399" s="7"/>
      <c r="G399" s="7"/>
      <c r="H399" s="8" t="str">
        <f>IF(A399="","",(('بيانات الموظفين'!G399+'بيانات الموظفين'!H399)/30)*MIN(30,MAX(0,E399))+F399+G399)</f>
        <v/>
      </c>
      <c r="I399" s="8" t="str">
        <f>IF(A399="","",MIN(16700,MAX(2700,'بيانات الموظفين'!I399))*11%)</f>
        <v/>
      </c>
      <c r="J399" s="8" t="str">
        <f>IF(A399="","",MAX(0,ROUNDDOWN(H399*12-I399*12-20000,-1)))</f>
        <v/>
      </c>
      <c r="K399" s="8" t="str">
        <f>IF(A399="","",MAX(0,(IF(J399&lt;=40000,0,IF(J399&lt;=60000,(J399-40000)*10%,IF(J399&lt;=70000,2000+(J399-60000)*15%,IF(J399&lt;=200000,3500+(J399-70000)*20%,IF(J399&lt;=400000,29500+(J399-200000)*22.5%,IF(J399&lt;=1000000,74500+(J399-400000)*25%,224500+(J399-1000000)*27.5%)))))))/12))</f>
        <v/>
      </c>
      <c r="L399" s="8" t="str">
        <f>IF(A399="","",IF('كشف التوقيع والملخص'!$B$3="نعم",MAX(0,H399-10000)*0.003,0))</f>
        <v/>
      </c>
      <c r="M399" s="8" t="str">
        <f>IF(A399="","",I399+K399+L399)</f>
        <v/>
      </c>
      <c r="N399" s="8" t="str">
        <f>IF(A399="","",H399-M399)</f>
        <v/>
      </c>
    </row>
    <row r="400" spans="1:14" ht="14.25" x14ac:dyDescent="0.15">
      <c r="A400" s="5" t="str">
        <f>IF('بيانات الموظفين'!A400="","",'بيانات الموظفين'!A400)</f>
        <v/>
      </c>
      <c r="B400" s="5" t="str">
        <f>IF(A400="","",'بيانات الموظفين'!B400)</f>
        <v/>
      </c>
      <c r="C400" s="6" t="s">
        <v>25</v>
      </c>
      <c r="D400" s="6">
        <v>2026</v>
      </c>
      <c r="E400" s="6">
        <v>30</v>
      </c>
      <c r="F400" s="7"/>
      <c r="G400" s="7"/>
      <c r="H400" s="8" t="str">
        <f>IF(A400="","",(('بيانات الموظفين'!G400+'بيانات الموظفين'!H400)/30)*MIN(30,MAX(0,E400))+F400+G400)</f>
        <v/>
      </c>
      <c r="I400" s="8" t="str">
        <f>IF(A400="","",MIN(16700,MAX(2700,'بيانات الموظفين'!I400))*11%)</f>
        <v/>
      </c>
      <c r="J400" s="8" t="str">
        <f>IF(A400="","",MAX(0,ROUNDDOWN(H400*12-I400*12-20000,-1)))</f>
        <v/>
      </c>
      <c r="K400" s="8" t="str">
        <f>IF(A400="","",MAX(0,(IF(J400&lt;=40000,0,IF(J400&lt;=60000,(J400-40000)*10%,IF(J400&lt;=70000,2000+(J400-60000)*15%,IF(J400&lt;=200000,3500+(J400-70000)*20%,IF(J400&lt;=400000,29500+(J400-200000)*22.5%,IF(J400&lt;=1000000,74500+(J400-400000)*25%,224500+(J400-1000000)*27.5%)))))))/12))</f>
        <v/>
      </c>
      <c r="L400" s="8" t="str">
        <f>IF(A400="","",IF('كشف التوقيع والملخص'!$B$3="نعم",MAX(0,H400-10000)*0.003,0))</f>
        <v/>
      </c>
      <c r="M400" s="8" t="str">
        <f>IF(A400="","",I400+K400+L400)</f>
        <v/>
      </c>
      <c r="N400" s="8" t="str">
        <f>IF(A400="","",H400-M400)</f>
        <v/>
      </c>
    </row>
    <row r="401" spans="1:14" ht="14.25" x14ac:dyDescent="0.15">
      <c r="A401" s="5" t="str">
        <f>IF('بيانات الموظفين'!A401="","",'بيانات الموظفين'!A401)</f>
        <v/>
      </c>
      <c r="B401" s="5" t="str">
        <f>IF(A401="","",'بيانات الموظفين'!B401)</f>
        <v/>
      </c>
      <c r="C401" s="6" t="s">
        <v>25</v>
      </c>
      <c r="D401" s="6">
        <v>2026</v>
      </c>
      <c r="E401" s="6">
        <v>30</v>
      </c>
      <c r="F401" s="7"/>
      <c r="G401" s="7"/>
      <c r="H401" s="8" t="str">
        <f>IF(A401="","",(('بيانات الموظفين'!G401+'بيانات الموظفين'!H401)/30)*MIN(30,MAX(0,E401))+F401+G401)</f>
        <v/>
      </c>
      <c r="I401" s="8" t="str">
        <f>IF(A401="","",MIN(16700,MAX(2700,'بيانات الموظفين'!I401))*11%)</f>
        <v/>
      </c>
      <c r="J401" s="8" t="str">
        <f>IF(A401="","",MAX(0,ROUNDDOWN(H401*12-I401*12-20000,-1)))</f>
        <v/>
      </c>
      <c r="K401" s="8" t="str">
        <f>IF(A401="","",MAX(0,(IF(J401&lt;=40000,0,IF(J401&lt;=60000,(J401-40000)*10%,IF(J401&lt;=70000,2000+(J401-60000)*15%,IF(J401&lt;=200000,3500+(J401-70000)*20%,IF(J401&lt;=400000,29500+(J401-200000)*22.5%,IF(J401&lt;=1000000,74500+(J401-400000)*25%,224500+(J401-1000000)*27.5%)))))))/12))</f>
        <v/>
      </c>
      <c r="L401" s="8" t="str">
        <f>IF(A401="","",IF('كشف التوقيع والملخص'!$B$3="نعم",MAX(0,H401-10000)*0.003,0))</f>
        <v/>
      </c>
      <c r="M401" s="8" t="str">
        <f>IF(A401="","",I401+K401+L401)</f>
        <v/>
      </c>
      <c r="N401" s="8" t="str">
        <f>IF(A401="","",H401-M401)</f>
        <v/>
      </c>
    </row>
    <row r="402" spans="1:14" ht="14.25" x14ac:dyDescent="0.15">
      <c r="A402" s="5" t="str">
        <f>IF('بيانات الموظفين'!A402="","",'بيانات الموظفين'!A402)</f>
        <v/>
      </c>
      <c r="B402" s="5" t="str">
        <f>IF(A402="","",'بيانات الموظفين'!B402)</f>
        <v/>
      </c>
      <c r="C402" s="6" t="s">
        <v>25</v>
      </c>
      <c r="D402" s="6">
        <v>2026</v>
      </c>
      <c r="E402" s="6">
        <v>30</v>
      </c>
      <c r="F402" s="7"/>
      <c r="G402" s="7"/>
      <c r="H402" s="8" t="str">
        <f>IF(A402="","",(('بيانات الموظفين'!G402+'بيانات الموظفين'!H402)/30)*MIN(30,MAX(0,E402))+F402+G402)</f>
        <v/>
      </c>
      <c r="I402" s="8" t="str">
        <f>IF(A402="","",MIN(16700,MAX(2700,'بيانات الموظفين'!I402))*11%)</f>
        <v/>
      </c>
      <c r="J402" s="8" t="str">
        <f>IF(A402="","",MAX(0,ROUNDDOWN(H402*12-I402*12-20000,-1)))</f>
        <v/>
      </c>
      <c r="K402" s="8" t="str">
        <f>IF(A402="","",MAX(0,(IF(J402&lt;=40000,0,IF(J402&lt;=60000,(J402-40000)*10%,IF(J402&lt;=70000,2000+(J402-60000)*15%,IF(J402&lt;=200000,3500+(J402-70000)*20%,IF(J402&lt;=400000,29500+(J402-200000)*22.5%,IF(J402&lt;=1000000,74500+(J402-400000)*25%,224500+(J402-1000000)*27.5%)))))))/12))</f>
        <v/>
      </c>
      <c r="L402" s="8" t="str">
        <f>IF(A402="","",IF('كشف التوقيع والملخص'!$B$3="نعم",MAX(0,H402-10000)*0.003,0))</f>
        <v/>
      </c>
      <c r="M402" s="8" t="str">
        <f>IF(A402="","",I402+K402+L402)</f>
        <v/>
      </c>
      <c r="N402" s="8" t="str">
        <f>IF(A402="","",H402-M402)</f>
        <v/>
      </c>
    </row>
    <row r="403" spans="1:14" ht="14.25" x14ac:dyDescent="0.15">
      <c r="A403" s="5" t="str">
        <f>IF('بيانات الموظفين'!A403="","",'بيانات الموظفين'!A403)</f>
        <v/>
      </c>
      <c r="B403" s="5" t="str">
        <f>IF(A403="","",'بيانات الموظفين'!B403)</f>
        <v/>
      </c>
      <c r="C403" s="6" t="s">
        <v>25</v>
      </c>
      <c r="D403" s="6">
        <v>2026</v>
      </c>
      <c r="E403" s="6">
        <v>30</v>
      </c>
      <c r="F403" s="7"/>
      <c r="G403" s="7"/>
      <c r="H403" s="8" t="str">
        <f>IF(A403="","",(('بيانات الموظفين'!G403+'بيانات الموظفين'!H403)/30)*MIN(30,MAX(0,E403))+F403+G403)</f>
        <v/>
      </c>
      <c r="I403" s="8" t="str">
        <f>IF(A403="","",MIN(16700,MAX(2700,'بيانات الموظفين'!I403))*11%)</f>
        <v/>
      </c>
      <c r="J403" s="8" t="str">
        <f>IF(A403="","",MAX(0,ROUNDDOWN(H403*12-I403*12-20000,-1)))</f>
        <v/>
      </c>
      <c r="K403" s="8" t="str">
        <f>IF(A403="","",MAX(0,(IF(J403&lt;=40000,0,IF(J403&lt;=60000,(J403-40000)*10%,IF(J403&lt;=70000,2000+(J403-60000)*15%,IF(J403&lt;=200000,3500+(J403-70000)*20%,IF(J403&lt;=400000,29500+(J403-200000)*22.5%,IF(J403&lt;=1000000,74500+(J403-400000)*25%,224500+(J403-1000000)*27.5%)))))))/12))</f>
        <v/>
      </c>
      <c r="L403" s="8" t="str">
        <f>IF(A403="","",IF('كشف التوقيع والملخص'!$B$3="نعم",MAX(0,H403-10000)*0.003,0))</f>
        <v/>
      </c>
      <c r="M403" s="8" t="str">
        <f>IF(A403="","",I403+K403+L403)</f>
        <v/>
      </c>
      <c r="N403" s="8" t="str">
        <f>IF(A403="","",H403-M403)</f>
        <v/>
      </c>
    </row>
    <row r="404" spans="1:14" ht="14.25" x14ac:dyDescent="0.15">
      <c r="A404" s="5" t="str">
        <f>IF('بيانات الموظفين'!A404="","",'بيانات الموظفين'!A404)</f>
        <v/>
      </c>
      <c r="B404" s="5" t="str">
        <f>IF(A404="","",'بيانات الموظفين'!B404)</f>
        <v/>
      </c>
      <c r="C404" s="6" t="s">
        <v>25</v>
      </c>
      <c r="D404" s="6">
        <v>2026</v>
      </c>
      <c r="E404" s="6">
        <v>30</v>
      </c>
      <c r="F404" s="7"/>
      <c r="G404" s="7"/>
      <c r="H404" s="8" t="str">
        <f>IF(A404="","",(('بيانات الموظفين'!G404+'بيانات الموظفين'!H404)/30)*MIN(30,MAX(0,E404))+F404+G404)</f>
        <v/>
      </c>
      <c r="I404" s="8" t="str">
        <f>IF(A404="","",MIN(16700,MAX(2700,'بيانات الموظفين'!I404))*11%)</f>
        <v/>
      </c>
      <c r="J404" s="8" t="str">
        <f>IF(A404="","",MAX(0,ROUNDDOWN(H404*12-I404*12-20000,-1)))</f>
        <v/>
      </c>
      <c r="K404" s="8" t="str">
        <f>IF(A404="","",MAX(0,(IF(J404&lt;=40000,0,IF(J404&lt;=60000,(J404-40000)*10%,IF(J404&lt;=70000,2000+(J404-60000)*15%,IF(J404&lt;=200000,3500+(J404-70000)*20%,IF(J404&lt;=400000,29500+(J404-200000)*22.5%,IF(J404&lt;=1000000,74500+(J404-400000)*25%,224500+(J404-1000000)*27.5%)))))))/12))</f>
        <v/>
      </c>
      <c r="L404" s="8" t="str">
        <f>IF(A404="","",IF('كشف التوقيع والملخص'!$B$3="نعم",MAX(0,H404-10000)*0.003,0))</f>
        <v/>
      </c>
      <c r="M404" s="8" t="str">
        <f>IF(A404="","",I404+K404+L404)</f>
        <v/>
      </c>
      <c r="N404" s="8" t="str">
        <f>IF(A404="","",H404-M404)</f>
        <v/>
      </c>
    </row>
    <row r="405" spans="1:14" ht="14.25" x14ac:dyDescent="0.15">
      <c r="A405" s="5" t="str">
        <f>IF('بيانات الموظفين'!A405="","",'بيانات الموظفين'!A405)</f>
        <v/>
      </c>
      <c r="B405" s="5" t="str">
        <f>IF(A405="","",'بيانات الموظفين'!B405)</f>
        <v/>
      </c>
      <c r="C405" s="6" t="s">
        <v>25</v>
      </c>
      <c r="D405" s="6">
        <v>2026</v>
      </c>
      <c r="E405" s="6">
        <v>30</v>
      </c>
      <c r="F405" s="7"/>
      <c r="G405" s="7"/>
      <c r="H405" s="8" t="str">
        <f>IF(A405="","",(('بيانات الموظفين'!G405+'بيانات الموظفين'!H405)/30)*MIN(30,MAX(0,E405))+F405+G405)</f>
        <v/>
      </c>
      <c r="I405" s="8" t="str">
        <f>IF(A405="","",MIN(16700,MAX(2700,'بيانات الموظفين'!I405))*11%)</f>
        <v/>
      </c>
      <c r="J405" s="8" t="str">
        <f>IF(A405="","",MAX(0,ROUNDDOWN(H405*12-I405*12-20000,-1)))</f>
        <v/>
      </c>
      <c r="K405" s="8" t="str">
        <f>IF(A405="","",MAX(0,(IF(J405&lt;=40000,0,IF(J405&lt;=60000,(J405-40000)*10%,IF(J405&lt;=70000,2000+(J405-60000)*15%,IF(J405&lt;=200000,3500+(J405-70000)*20%,IF(J405&lt;=400000,29500+(J405-200000)*22.5%,IF(J405&lt;=1000000,74500+(J405-400000)*25%,224500+(J405-1000000)*27.5%)))))))/12))</f>
        <v/>
      </c>
      <c r="L405" s="8" t="str">
        <f>IF(A405="","",IF('كشف التوقيع والملخص'!$B$3="نعم",MAX(0,H405-10000)*0.003,0))</f>
        <v/>
      </c>
      <c r="M405" s="8" t="str">
        <f>IF(A405="","",I405+K405+L405)</f>
        <v/>
      </c>
      <c r="N405" s="8" t="str">
        <f>IF(A405="","",H405-M405)</f>
        <v/>
      </c>
    </row>
    <row r="406" spans="1:14" ht="14.25" x14ac:dyDescent="0.15">
      <c r="A406" s="5" t="str">
        <f>IF('بيانات الموظفين'!A406="","",'بيانات الموظفين'!A406)</f>
        <v/>
      </c>
      <c r="B406" s="5" t="str">
        <f>IF(A406="","",'بيانات الموظفين'!B406)</f>
        <v/>
      </c>
      <c r="C406" s="6" t="s">
        <v>25</v>
      </c>
      <c r="D406" s="6">
        <v>2026</v>
      </c>
      <c r="E406" s="6">
        <v>30</v>
      </c>
      <c r="F406" s="7"/>
      <c r="G406" s="7"/>
      <c r="H406" s="8" t="str">
        <f>IF(A406="","",(('بيانات الموظفين'!G406+'بيانات الموظفين'!H406)/30)*MIN(30,MAX(0,E406))+F406+G406)</f>
        <v/>
      </c>
      <c r="I406" s="8" t="str">
        <f>IF(A406="","",MIN(16700,MAX(2700,'بيانات الموظفين'!I406))*11%)</f>
        <v/>
      </c>
      <c r="J406" s="8" t="str">
        <f>IF(A406="","",MAX(0,ROUNDDOWN(H406*12-I406*12-20000,-1)))</f>
        <v/>
      </c>
      <c r="K406" s="8" t="str">
        <f>IF(A406="","",MAX(0,(IF(J406&lt;=40000,0,IF(J406&lt;=60000,(J406-40000)*10%,IF(J406&lt;=70000,2000+(J406-60000)*15%,IF(J406&lt;=200000,3500+(J406-70000)*20%,IF(J406&lt;=400000,29500+(J406-200000)*22.5%,IF(J406&lt;=1000000,74500+(J406-400000)*25%,224500+(J406-1000000)*27.5%)))))))/12))</f>
        <v/>
      </c>
      <c r="L406" s="8" t="str">
        <f>IF(A406="","",IF('كشف التوقيع والملخص'!$B$3="نعم",MAX(0,H406-10000)*0.003,0))</f>
        <v/>
      </c>
      <c r="M406" s="8" t="str">
        <f>IF(A406="","",I406+K406+L406)</f>
        <v/>
      </c>
      <c r="N406" s="8" t="str">
        <f>IF(A406="","",H406-M406)</f>
        <v/>
      </c>
    </row>
    <row r="407" spans="1:14" ht="14.25" x14ac:dyDescent="0.15">
      <c r="A407" s="5" t="str">
        <f>IF('بيانات الموظفين'!A407="","",'بيانات الموظفين'!A407)</f>
        <v/>
      </c>
      <c r="B407" s="5" t="str">
        <f>IF(A407="","",'بيانات الموظفين'!B407)</f>
        <v/>
      </c>
      <c r="C407" s="6" t="s">
        <v>25</v>
      </c>
      <c r="D407" s="6">
        <v>2026</v>
      </c>
      <c r="E407" s="6">
        <v>30</v>
      </c>
      <c r="F407" s="7"/>
      <c r="G407" s="7"/>
      <c r="H407" s="8" t="str">
        <f>IF(A407="","",(('بيانات الموظفين'!G407+'بيانات الموظفين'!H407)/30)*MIN(30,MAX(0,E407))+F407+G407)</f>
        <v/>
      </c>
      <c r="I407" s="8" t="str">
        <f>IF(A407="","",MIN(16700,MAX(2700,'بيانات الموظفين'!I407))*11%)</f>
        <v/>
      </c>
      <c r="J407" s="8" t="str">
        <f>IF(A407="","",MAX(0,ROUNDDOWN(H407*12-I407*12-20000,-1)))</f>
        <v/>
      </c>
      <c r="K407" s="8" t="str">
        <f>IF(A407="","",MAX(0,(IF(J407&lt;=40000,0,IF(J407&lt;=60000,(J407-40000)*10%,IF(J407&lt;=70000,2000+(J407-60000)*15%,IF(J407&lt;=200000,3500+(J407-70000)*20%,IF(J407&lt;=400000,29500+(J407-200000)*22.5%,IF(J407&lt;=1000000,74500+(J407-400000)*25%,224500+(J407-1000000)*27.5%)))))))/12))</f>
        <v/>
      </c>
      <c r="L407" s="8" t="str">
        <f>IF(A407="","",IF('كشف التوقيع والملخص'!$B$3="نعم",MAX(0,H407-10000)*0.003,0))</f>
        <v/>
      </c>
      <c r="M407" s="8" t="str">
        <f>IF(A407="","",I407+K407+L407)</f>
        <v/>
      </c>
      <c r="N407" s="8" t="str">
        <f>IF(A407="","",H407-M407)</f>
        <v/>
      </c>
    </row>
    <row r="408" spans="1:14" ht="14.25" x14ac:dyDescent="0.15">
      <c r="A408" s="5" t="str">
        <f>IF('بيانات الموظفين'!A408="","",'بيانات الموظفين'!A408)</f>
        <v/>
      </c>
      <c r="B408" s="5" t="str">
        <f>IF(A408="","",'بيانات الموظفين'!B408)</f>
        <v/>
      </c>
      <c r="C408" s="6" t="s">
        <v>25</v>
      </c>
      <c r="D408" s="6">
        <v>2026</v>
      </c>
      <c r="E408" s="6">
        <v>30</v>
      </c>
      <c r="F408" s="7"/>
      <c r="G408" s="7"/>
      <c r="H408" s="8" t="str">
        <f>IF(A408="","",(('بيانات الموظفين'!G408+'بيانات الموظفين'!H408)/30)*MIN(30,MAX(0,E408))+F408+G408)</f>
        <v/>
      </c>
      <c r="I408" s="8" t="str">
        <f>IF(A408="","",MIN(16700,MAX(2700,'بيانات الموظفين'!I408))*11%)</f>
        <v/>
      </c>
      <c r="J408" s="8" t="str">
        <f>IF(A408="","",MAX(0,ROUNDDOWN(H408*12-I408*12-20000,-1)))</f>
        <v/>
      </c>
      <c r="K408" s="8" t="str">
        <f>IF(A408="","",MAX(0,(IF(J408&lt;=40000,0,IF(J408&lt;=60000,(J408-40000)*10%,IF(J408&lt;=70000,2000+(J408-60000)*15%,IF(J408&lt;=200000,3500+(J408-70000)*20%,IF(J408&lt;=400000,29500+(J408-200000)*22.5%,IF(J408&lt;=1000000,74500+(J408-400000)*25%,224500+(J408-1000000)*27.5%)))))))/12))</f>
        <v/>
      </c>
      <c r="L408" s="8" t="str">
        <f>IF(A408="","",IF('كشف التوقيع والملخص'!$B$3="نعم",MAX(0,H408-10000)*0.003,0))</f>
        <v/>
      </c>
      <c r="M408" s="8" t="str">
        <f>IF(A408="","",I408+K408+L408)</f>
        <v/>
      </c>
      <c r="N408" s="8" t="str">
        <f>IF(A408="","",H408-M408)</f>
        <v/>
      </c>
    </row>
    <row r="409" spans="1:14" ht="14.25" x14ac:dyDescent="0.15">
      <c r="A409" s="5" t="str">
        <f>IF('بيانات الموظفين'!A409="","",'بيانات الموظفين'!A409)</f>
        <v/>
      </c>
      <c r="B409" s="5" t="str">
        <f>IF(A409="","",'بيانات الموظفين'!B409)</f>
        <v/>
      </c>
      <c r="C409" s="6" t="s">
        <v>25</v>
      </c>
      <c r="D409" s="6">
        <v>2026</v>
      </c>
      <c r="E409" s="6">
        <v>30</v>
      </c>
      <c r="F409" s="7"/>
      <c r="G409" s="7"/>
      <c r="H409" s="8" t="str">
        <f>IF(A409="","",(('بيانات الموظفين'!G409+'بيانات الموظفين'!H409)/30)*MIN(30,MAX(0,E409))+F409+G409)</f>
        <v/>
      </c>
      <c r="I409" s="8" t="str">
        <f>IF(A409="","",MIN(16700,MAX(2700,'بيانات الموظفين'!I409))*11%)</f>
        <v/>
      </c>
      <c r="J409" s="8" t="str">
        <f>IF(A409="","",MAX(0,ROUNDDOWN(H409*12-I409*12-20000,-1)))</f>
        <v/>
      </c>
      <c r="K409" s="8" t="str">
        <f>IF(A409="","",MAX(0,(IF(J409&lt;=40000,0,IF(J409&lt;=60000,(J409-40000)*10%,IF(J409&lt;=70000,2000+(J409-60000)*15%,IF(J409&lt;=200000,3500+(J409-70000)*20%,IF(J409&lt;=400000,29500+(J409-200000)*22.5%,IF(J409&lt;=1000000,74500+(J409-400000)*25%,224500+(J409-1000000)*27.5%)))))))/12))</f>
        <v/>
      </c>
      <c r="L409" s="8" t="str">
        <f>IF(A409="","",IF('كشف التوقيع والملخص'!$B$3="نعم",MAX(0,H409-10000)*0.003,0))</f>
        <v/>
      </c>
      <c r="M409" s="8" t="str">
        <f>IF(A409="","",I409+K409+L409)</f>
        <v/>
      </c>
      <c r="N409" s="8" t="str">
        <f>IF(A409="","",H409-M409)</f>
        <v/>
      </c>
    </row>
    <row r="410" spans="1:14" ht="14.25" x14ac:dyDescent="0.15">
      <c r="A410" s="5" t="str">
        <f>IF('بيانات الموظفين'!A410="","",'بيانات الموظفين'!A410)</f>
        <v/>
      </c>
      <c r="B410" s="5" t="str">
        <f>IF(A410="","",'بيانات الموظفين'!B410)</f>
        <v/>
      </c>
      <c r="C410" s="6" t="s">
        <v>25</v>
      </c>
      <c r="D410" s="6">
        <v>2026</v>
      </c>
      <c r="E410" s="6">
        <v>30</v>
      </c>
      <c r="F410" s="7"/>
      <c r="G410" s="7"/>
      <c r="H410" s="8" t="str">
        <f>IF(A410="","",(('بيانات الموظفين'!G410+'بيانات الموظفين'!H410)/30)*MIN(30,MAX(0,E410))+F410+G410)</f>
        <v/>
      </c>
      <c r="I410" s="8" t="str">
        <f>IF(A410="","",MIN(16700,MAX(2700,'بيانات الموظفين'!I410))*11%)</f>
        <v/>
      </c>
      <c r="J410" s="8" t="str">
        <f>IF(A410="","",MAX(0,ROUNDDOWN(H410*12-I410*12-20000,-1)))</f>
        <v/>
      </c>
      <c r="K410" s="8" t="str">
        <f>IF(A410="","",MAX(0,(IF(J410&lt;=40000,0,IF(J410&lt;=60000,(J410-40000)*10%,IF(J410&lt;=70000,2000+(J410-60000)*15%,IF(J410&lt;=200000,3500+(J410-70000)*20%,IF(J410&lt;=400000,29500+(J410-200000)*22.5%,IF(J410&lt;=1000000,74500+(J410-400000)*25%,224500+(J410-1000000)*27.5%)))))))/12))</f>
        <v/>
      </c>
      <c r="L410" s="8" t="str">
        <f>IF(A410="","",IF('كشف التوقيع والملخص'!$B$3="نعم",MAX(0,H410-10000)*0.003,0))</f>
        <v/>
      </c>
      <c r="M410" s="8" t="str">
        <f>IF(A410="","",I410+K410+L410)</f>
        <v/>
      </c>
      <c r="N410" s="8" t="str">
        <f>IF(A410="","",H410-M410)</f>
        <v/>
      </c>
    </row>
    <row r="411" spans="1:14" ht="14.25" x14ac:dyDescent="0.15">
      <c r="A411" s="5" t="str">
        <f>IF('بيانات الموظفين'!A411="","",'بيانات الموظفين'!A411)</f>
        <v/>
      </c>
      <c r="B411" s="5" t="str">
        <f>IF(A411="","",'بيانات الموظفين'!B411)</f>
        <v/>
      </c>
      <c r="C411" s="6" t="s">
        <v>25</v>
      </c>
      <c r="D411" s="6">
        <v>2026</v>
      </c>
      <c r="E411" s="6">
        <v>30</v>
      </c>
      <c r="F411" s="7"/>
      <c r="G411" s="7"/>
      <c r="H411" s="8" t="str">
        <f>IF(A411="","",(('بيانات الموظفين'!G411+'بيانات الموظفين'!H411)/30)*MIN(30,MAX(0,E411))+F411+G411)</f>
        <v/>
      </c>
      <c r="I411" s="8" t="str">
        <f>IF(A411="","",MIN(16700,MAX(2700,'بيانات الموظفين'!I411))*11%)</f>
        <v/>
      </c>
      <c r="J411" s="8" t="str">
        <f>IF(A411="","",MAX(0,ROUNDDOWN(H411*12-I411*12-20000,-1)))</f>
        <v/>
      </c>
      <c r="K411" s="8" t="str">
        <f>IF(A411="","",MAX(0,(IF(J411&lt;=40000,0,IF(J411&lt;=60000,(J411-40000)*10%,IF(J411&lt;=70000,2000+(J411-60000)*15%,IF(J411&lt;=200000,3500+(J411-70000)*20%,IF(J411&lt;=400000,29500+(J411-200000)*22.5%,IF(J411&lt;=1000000,74500+(J411-400000)*25%,224500+(J411-1000000)*27.5%)))))))/12))</f>
        <v/>
      </c>
      <c r="L411" s="8" t="str">
        <f>IF(A411="","",IF('كشف التوقيع والملخص'!$B$3="نعم",MAX(0,H411-10000)*0.003,0))</f>
        <v/>
      </c>
      <c r="M411" s="8" t="str">
        <f>IF(A411="","",I411+K411+L411)</f>
        <v/>
      </c>
      <c r="N411" s="8" t="str">
        <f>IF(A411="","",H411-M411)</f>
        <v/>
      </c>
    </row>
    <row r="412" spans="1:14" ht="14.25" x14ac:dyDescent="0.15">
      <c r="A412" s="5" t="str">
        <f>IF('بيانات الموظفين'!A412="","",'بيانات الموظفين'!A412)</f>
        <v/>
      </c>
      <c r="B412" s="5" t="str">
        <f>IF(A412="","",'بيانات الموظفين'!B412)</f>
        <v/>
      </c>
      <c r="C412" s="6" t="s">
        <v>25</v>
      </c>
      <c r="D412" s="6">
        <v>2026</v>
      </c>
      <c r="E412" s="6">
        <v>30</v>
      </c>
      <c r="F412" s="7"/>
      <c r="G412" s="7"/>
      <c r="H412" s="8" t="str">
        <f>IF(A412="","",(('بيانات الموظفين'!G412+'بيانات الموظفين'!H412)/30)*MIN(30,MAX(0,E412))+F412+G412)</f>
        <v/>
      </c>
      <c r="I412" s="8" t="str">
        <f>IF(A412="","",MIN(16700,MAX(2700,'بيانات الموظفين'!I412))*11%)</f>
        <v/>
      </c>
      <c r="J412" s="8" t="str">
        <f>IF(A412="","",MAX(0,ROUNDDOWN(H412*12-I412*12-20000,-1)))</f>
        <v/>
      </c>
      <c r="K412" s="8" t="str">
        <f>IF(A412="","",MAX(0,(IF(J412&lt;=40000,0,IF(J412&lt;=60000,(J412-40000)*10%,IF(J412&lt;=70000,2000+(J412-60000)*15%,IF(J412&lt;=200000,3500+(J412-70000)*20%,IF(J412&lt;=400000,29500+(J412-200000)*22.5%,IF(J412&lt;=1000000,74500+(J412-400000)*25%,224500+(J412-1000000)*27.5%)))))))/12))</f>
        <v/>
      </c>
      <c r="L412" s="8" t="str">
        <f>IF(A412="","",IF('كشف التوقيع والملخص'!$B$3="نعم",MAX(0,H412-10000)*0.003,0))</f>
        <v/>
      </c>
      <c r="M412" s="8" t="str">
        <f>IF(A412="","",I412+K412+L412)</f>
        <v/>
      </c>
      <c r="N412" s="8" t="str">
        <f>IF(A412="","",H412-M412)</f>
        <v/>
      </c>
    </row>
    <row r="413" spans="1:14" ht="14.25" x14ac:dyDescent="0.15">
      <c r="A413" s="5" t="str">
        <f>IF('بيانات الموظفين'!A413="","",'بيانات الموظفين'!A413)</f>
        <v/>
      </c>
      <c r="B413" s="5" t="str">
        <f>IF(A413="","",'بيانات الموظفين'!B413)</f>
        <v/>
      </c>
      <c r="C413" s="6" t="s">
        <v>25</v>
      </c>
      <c r="D413" s="6">
        <v>2026</v>
      </c>
      <c r="E413" s="6">
        <v>30</v>
      </c>
      <c r="F413" s="7"/>
      <c r="G413" s="7"/>
      <c r="H413" s="8" t="str">
        <f>IF(A413="","",(('بيانات الموظفين'!G413+'بيانات الموظفين'!H413)/30)*MIN(30,MAX(0,E413))+F413+G413)</f>
        <v/>
      </c>
      <c r="I413" s="8" t="str">
        <f>IF(A413="","",MIN(16700,MAX(2700,'بيانات الموظفين'!I413))*11%)</f>
        <v/>
      </c>
      <c r="J413" s="8" t="str">
        <f>IF(A413="","",MAX(0,ROUNDDOWN(H413*12-I413*12-20000,-1)))</f>
        <v/>
      </c>
      <c r="K413" s="8" t="str">
        <f>IF(A413="","",MAX(0,(IF(J413&lt;=40000,0,IF(J413&lt;=60000,(J413-40000)*10%,IF(J413&lt;=70000,2000+(J413-60000)*15%,IF(J413&lt;=200000,3500+(J413-70000)*20%,IF(J413&lt;=400000,29500+(J413-200000)*22.5%,IF(J413&lt;=1000000,74500+(J413-400000)*25%,224500+(J413-1000000)*27.5%)))))))/12))</f>
        <v/>
      </c>
      <c r="L413" s="8" t="str">
        <f>IF(A413="","",IF('كشف التوقيع والملخص'!$B$3="نعم",MAX(0,H413-10000)*0.003,0))</f>
        <v/>
      </c>
      <c r="M413" s="8" t="str">
        <f>IF(A413="","",I413+K413+L413)</f>
        <v/>
      </c>
      <c r="N413" s="8" t="str">
        <f>IF(A413="","",H413-M413)</f>
        <v/>
      </c>
    </row>
    <row r="414" spans="1:14" ht="14.25" x14ac:dyDescent="0.15">
      <c r="A414" s="5" t="str">
        <f>IF('بيانات الموظفين'!A414="","",'بيانات الموظفين'!A414)</f>
        <v/>
      </c>
      <c r="B414" s="5" t="str">
        <f>IF(A414="","",'بيانات الموظفين'!B414)</f>
        <v/>
      </c>
      <c r="C414" s="6" t="s">
        <v>25</v>
      </c>
      <c r="D414" s="6">
        <v>2026</v>
      </c>
      <c r="E414" s="6">
        <v>30</v>
      </c>
      <c r="F414" s="7"/>
      <c r="G414" s="7"/>
      <c r="H414" s="8" t="str">
        <f>IF(A414="","",(('بيانات الموظفين'!G414+'بيانات الموظفين'!H414)/30)*MIN(30,MAX(0,E414))+F414+G414)</f>
        <v/>
      </c>
      <c r="I414" s="8" t="str">
        <f>IF(A414="","",MIN(16700,MAX(2700,'بيانات الموظفين'!I414))*11%)</f>
        <v/>
      </c>
      <c r="J414" s="8" t="str">
        <f>IF(A414="","",MAX(0,ROUNDDOWN(H414*12-I414*12-20000,-1)))</f>
        <v/>
      </c>
      <c r="K414" s="8" t="str">
        <f>IF(A414="","",MAX(0,(IF(J414&lt;=40000,0,IF(J414&lt;=60000,(J414-40000)*10%,IF(J414&lt;=70000,2000+(J414-60000)*15%,IF(J414&lt;=200000,3500+(J414-70000)*20%,IF(J414&lt;=400000,29500+(J414-200000)*22.5%,IF(J414&lt;=1000000,74500+(J414-400000)*25%,224500+(J414-1000000)*27.5%)))))))/12))</f>
        <v/>
      </c>
      <c r="L414" s="8" t="str">
        <f>IF(A414="","",IF('كشف التوقيع والملخص'!$B$3="نعم",MAX(0,H414-10000)*0.003,0))</f>
        <v/>
      </c>
      <c r="M414" s="8" t="str">
        <f>IF(A414="","",I414+K414+L414)</f>
        <v/>
      </c>
      <c r="N414" s="8" t="str">
        <f>IF(A414="","",H414-M414)</f>
        <v/>
      </c>
    </row>
    <row r="415" spans="1:14" ht="14.25" x14ac:dyDescent="0.15">
      <c r="A415" s="5" t="str">
        <f>IF('بيانات الموظفين'!A415="","",'بيانات الموظفين'!A415)</f>
        <v/>
      </c>
      <c r="B415" s="5" t="str">
        <f>IF(A415="","",'بيانات الموظفين'!B415)</f>
        <v/>
      </c>
      <c r="C415" s="6" t="s">
        <v>25</v>
      </c>
      <c r="D415" s="6">
        <v>2026</v>
      </c>
      <c r="E415" s="6">
        <v>30</v>
      </c>
      <c r="F415" s="7"/>
      <c r="G415" s="7"/>
      <c r="H415" s="8" t="str">
        <f>IF(A415="","",(('بيانات الموظفين'!G415+'بيانات الموظفين'!H415)/30)*MIN(30,MAX(0,E415))+F415+G415)</f>
        <v/>
      </c>
      <c r="I415" s="8" t="str">
        <f>IF(A415="","",MIN(16700,MAX(2700,'بيانات الموظفين'!I415))*11%)</f>
        <v/>
      </c>
      <c r="J415" s="8" t="str">
        <f>IF(A415="","",MAX(0,ROUNDDOWN(H415*12-I415*12-20000,-1)))</f>
        <v/>
      </c>
      <c r="K415" s="8" t="str">
        <f>IF(A415="","",MAX(0,(IF(J415&lt;=40000,0,IF(J415&lt;=60000,(J415-40000)*10%,IF(J415&lt;=70000,2000+(J415-60000)*15%,IF(J415&lt;=200000,3500+(J415-70000)*20%,IF(J415&lt;=400000,29500+(J415-200000)*22.5%,IF(J415&lt;=1000000,74500+(J415-400000)*25%,224500+(J415-1000000)*27.5%)))))))/12))</f>
        <v/>
      </c>
      <c r="L415" s="8" t="str">
        <f>IF(A415="","",IF('كشف التوقيع والملخص'!$B$3="نعم",MAX(0,H415-10000)*0.003,0))</f>
        <v/>
      </c>
      <c r="M415" s="8" t="str">
        <f>IF(A415="","",I415+K415+L415)</f>
        <v/>
      </c>
      <c r="N415" s="8" t="str">
        <f>IF(A415="","",H415-M415)</f>
        <v/>
      </c>
    </row>
    <row r="416" spans="1:14" ht="14.25" x14ac:dyDescent="0.15">
      <c r="A416" s="5" t="str">
        <f>IF('بيانات الموظفين'!A416="","",'بيانات الموظفين'!A416)</f>
        <v/>
      </c>
      <c r="B416" s="5" t="str">
        <f>IF(A416="","",'بيانات الموظفين'!B416)</f>
        <v/>
      </c>
      <c r="C416" s="6" t="s">
        <v>25</v>
      </c>
      <c r="D416" s="6">
        <v>2026</v>
      </c>
      <c r="E416" s="6">
        <v>30</v>
      </c>
      <c r="F416" s="7"/>
      <c r="G416" s="7"/>
      <c r="H416" s="8" t="str">
        <f>IF(A416="","",(('بيانات الموظفين'!G416+'بيانات الموظفين'!H416)/30)*MIN(30,MAX(0,E416))+F416+G416)</f>
        <v/>
      </c>
      <c r="I416" s="8" t="str">
        <f>IF(A416="","",MIN(16700,MAX(2700,'بيانات الموظفين'!I416))*11%)</f>
        <v/>
      </c>
      <c r="J416" s="8" t="str">
        <f>IF(A416="","",MAX(0,ROUNDDOWN(H416*12-I416*12-20000,-1)))</f>
        <v/>
      </c>
      <c r="K416" s="8" t="str">
        <f>IF(A416="","",MAX(0,(IF(J416&lt;=40000,0,IF(J416&lt;=60000,(J416-40000)*10%,IF(J416&lt;=70000,2000+(J416-60000)*15%,IF(J416&lt;=200000,3500+(J416-70000)*20%,IF(J416&lt;=400000,29500+(J416-200000)*22.5%,IF(J416&lt;=1000000,74500+(J416-400000)*25%,224500+(J416-1000000)*27.5%)))))))/12))</f>
        <v/>
      </c>
      <c r="L416" s="8" t="str">
        <f>IF(A416="","",IF('كشف التوقيع والملخص'!$B$3="نعم",MAX(0,H416-10000)*0.003,0))</f>
        <v/>
      </c>
      <c r="M416" s="8" t="str">
        <f>IF(A416="","",I416+K416+L416)</f>
        <v/>
      </c>
      <c r="N416" s="8" t="str">
        <f>IF(A416="","",H416-M416)</f>
        <v/>
      </c>
    </row>
    <row r="417" spans="1:14" ht="14.25" x14ac:dyDescent="0.15">
      <c r="A417" s="5" t="str">
        <f>IF('بيانات الموظفين'!A417="","",'بيانات الموظفين'!A417)</f>
        <v/>
      </c>
      <c r="B417" s="5" t="str">
        <f>IF(A417="","",'بيانات الموظفين'!B417)</f>
        <v/>
      </c>
      <c r="C417" s="6" t="s">
        <v>25</v>
      </c>
      <c r="D417" s="6">
        <v>2026</v>
      </c>
      <c r="E417" s="6">
        <v>30</v>
      </c>
      <c r="F417" s="7"/>
      <c r="G417" s="7"/>
      <c r="H417" s="8" t="str">
        <f>IF(A417="","",(('بيانات الموظفين'!G417+'بيانات الموظفين'!H417)/30)*MIN(30,MAX(0,E417))+F417+G417)</f>
        <v/>
      </c>
      <c r="I417" s="8" t="str">
        <f>IF(A417="","",MIN(16700,MAX(2700,'بيانات الموظفين'!I417))*11%)</f>
        <v/>
      </c>
      <c r="J417" s="8" t="str">
        <f>IF(A417="","",MAX(0,ROUNDDOWN(H417*12-I417*12-20000,-1)))</f>
        <v/>
      </c>
      <c r="K417" s="8" t="str">
        <f>IF(A417="","",MAX(0,(IF(J417&lt;=40000,0,IF(J417&lt;=60000,(J417-40000)*10%,IF(J417&lt;=70000,2000+(J417-60000)*15%,IF(J417&lt;=200000,3500+(J417-70000)*20%,IF(J417&lt;=400000,29500+(J417-200000)*22.5%,IF(J417&lt;=1000000,74500+(J417-400000)*25%,224500+(J417-1000000)*27.5%)))))))/12))</f>
        <v/>
      </c>
      <c r="L417" s="8" t="str">
        <f>IF(A417="","",IF('كشف التوقيع والملخص'!$B$3="نعم",MAX(0,H417-10000)*0.003,0))</f>
        <v/>
      </c>
      <c r="M417" s="8" t="str">
        <f>IF(A417="","",I417+K417+L417)</f>
        <v/>
      </c>
      <c r="N417" s="8" t="str">
        <f>IF(A417="","",H417-M417)</f>
        <v/>
      </c>
    </row>
    <row r="418" spans="1:14" ht="14.25" x14ac:dyDescent="0.15">
      <c r="A418" s="5" t="str">
        <f>IF('بيانات الموظفين'!A418="","",'بيانات الموظفين'!A418)</f>
        <v/>
      </c>
      <c r="B418" s="5" t="str">
        <f>IF(A418="","",'بيانات الموظفين'!B418)</f>
        <v/>
      </c>
      <c r="C418" s="6" t="s">
        <v>25</v>
      </c>
      <c r="D418" s="6">
        <v>2026</v>
      </c>
      <c r="E418" s="6">
        <v>30</v>
      </c>
      <c r="F418" s="7"/>
      <c r="G418" s="7"/>
      <c r="H418" s="8" t="str">
        <f>IF(A418="","",(('بيانات الموظفين'!G418+'بيانات الموظفين'!H418)/30)*MIN(30,MAX(0,E418))+F418+G418)</f>
        <v/>
      </c>
      <c r="I418" s="8" t="str">
        <f>IF(A418="","",MIN(16700,MAX(2700,'بيانات الموظفين'!I418))*11%)</f>
        <v/>
      </c>
      <c r="J418" s="8" t="str">
        <f>IF(A418="","",MAX(0,ROUNDDOWN(H418*12-I418*12-20000,-1)))</f>
        <v/>
      </c>
      <c r="K418" s="8" t="str">
        <f>IF(A418="","",MAX(0,(IF(J418&lt;=40000,0,IF(J418&lt;=60000,(J418-40000)*10%,IF(J418&lt;=70000,2000+(J418-60000)*15%,IF(J418&lt;=200000,3500+(J418-70000)*20%,IF(J418&lt;=400000,29500+(J418-200000)*22.5%,IF(J418&lt;=1000000,74500+(J418-400000)*25%,224500+(J418-1000000)*27.5%)))))))/12))</f>
        <v/>
      </c>
      <c r="L418" s="8" t="str">
        <f>IF(A418="","",IF('كشف التوقيع والملخص'!$B$3="نعم",MAX(0,H418-10000)*0.003,0))</f>
        <v/>
      </c>
      <c r="M418" s="8" t="str">
        <f>IF(A418="","",I418+K418+L418)</f>
        <v/>
      </c>
      <c r="N418" s="8" t="str">
        <f>IF(A418="","",H418-M418)</f>
        <v/>
      </c>
    </row>
    <row r="419" spans="1:14" ht="14.25" x14ac:dyDescent="0.15">
      <c r="A419" s="5" t="str">
        <f>IF('بيانات الموظفين'!A419="","",'بيانات الموظفين'!A419)</f>
        <v/>
      </c>
      <c r="B419" s="5" t="str">
        <f>IF(A419="","",'بيانات الموظفين'!B419)</f>
        <v/>
      </c>
      <c r="C419" s="6" t="s">
        <v>25</v>
      </c>
      <c r="D419" s="6">
        <v>2026</v>
      </c>
      <c r="E419" s="6">
        <v>30</v>
      </c>
      <c r="F419" s="7"/>
      <c r="G419" s="7"/>
      <c r="H419" s="8" t="str">
        <f>IF(A419="","",(('بيانات الموظفين'!G419+'بيانات الموظفين'!H419)/30)*MIN(30,MAX(0,E419))+F419+G419)</f>
        <v/>
      </c>
      <c r="I419" s="8" t="str">
        <f>IF(A419="","",MIN(16700,MAX(2700,'بيانات الموظفين'!I419))*11%)</f>
        <v/>
      </c>
      <c r="J419" s="8" t="str">
        <f>IF(A419="","",MAX(0,ROUNDDOWN(H419*12-I419*12-20000,-1)))</f>
        <v/>
      </c>
      <c r="K419" s="8" t="str">
        <f>IF(A419="","",MAX(0,(IF(J419&lt;=40000,0,IF(J419&lt;=60000,(J419-40000)*10%,IF(J419&lt;=70000,2000+(J419-60000)*15%,IF(J419&lt;=200000,3500+(J419-70000)*20%,IF(J419&lt;=400000,29500+(J419-200000)*22.5%,IF(J419&lt;=1000000,74500+(J419-400000)*25%,224500+(J419-1000000)*27.5%)))))))/12))</f>
        <v/>
      </c>
      <c r="L419" s="8" t="str">
        <f>IF(A419="","",IF('كشف التوقيع والملخص'!$B$3="نعم",MAX(0,H419-10000)*0.003,0))</f>
        <v/>
      </c>
      <c r="M419" s="8" t="str">
        <f>IF(A419="","",I419+K419+L419)</f>
        <v/>
      </c>
      <c r="N419" s="8" t="str">
        <f>IF(A419="","",H419-M419)</f>
        <v/>
      </c>
    </row>
    <row r="420" spans="1:14" ht="14.25" x14ac:dyDescent="0.15">
      <c r="A420" s="5" t="str">
        <f>IF('بيانات الموظفين'!A420="","",'بيانات الموظفين'!A420)</f>
        <v/>
      </c>
      <c r="B420" s="5" t="str">
        <f>IF(A420="","",'بيانات الموظفين'!B420)</f>
        <v/>
      </c>
      <c r="C420" s="6" t="s">
        <v>25</v>
      </c>
      <c r="D420" s="6">
        <v>2026</v>
      </c>
      <c r="E420" s="6">
        <v>30</v>
      </c>
      <c r="F420" s="7"/>
      <c r="G420" s="7"/>
      <c r="H420" s="8" t="str">
        <f>IF(A420="","",(('بيانات الموظفين'!G420+'بيانات الموظفين'!H420)/30)*MIN(30,MAX(0,E420))+F420+G420)</f>
        <v/>
      </c>
      <c r="I420" s="8" t="str">
        <f>IF(A420="","",MIN(16700,MAX(2700,'بيانات الموظفين'!I420))*11%)</f>
        <v/>
      </c>
      <c r="J420" s="8" t="str">
        <f>IF(A420="","",MAX(0,ROUNDDOWN(H420*12-I420*12-20000,-1)))</f>
        <v/>
      </c>
      <c r="K420" s="8" t="str">
        <f>IF(A420="","",MAX(0,(IF(J420&lt;=40000,0,IF(J420&lt;=60000,(J420-40000)*10%,IF(J420&lt;=70000,2000+(J420-60000)*15%,IF(J420&lt;=200000,3500+(J420-70000)*20%,IF(J420&lt;=400000,29500+(J420-200000)*22.5%,IF(J420&lt;=1000000,74500+(J420-400000)*25%,224500+(J420-1000000)*27.5%)))))))/12))</f>
        <v/>
      </c>
      <c r="L420" s="8" t="str">
        <f>IF(A420="","",IF('كشف التوقيع والملخص'!$B$3="نعم",MAX(0,H420-10000)*0.003,0))</f>
        <v/>
      </c>
      <c r="M420" s="8" t="str">
        <f>IF(A420="","",I420+K420+L420)</f>
        <v/>
      </c>
      <c r="N420" s="8" t="str">
        <f>IF(A420="","",H420-M420)</f>
        <v/>
      </c>
    </row>
    <row r="421" spans="1:14" ht="14.25" x14ac:dyDescent="0.15">
      <c r="A421" s="5" t="str">
        <f>IF('بيانات الموظفين'!A421="","",'بيانات الموظفين'!A421)</f>
        <v/>
      </c>
      <c r="B421" s="5" t="str">
        <f>IF(A421="","",'بيانات الموظفين'!B421)</f>
        <v/>
      </c>
      <c r="C421" s="6" t="s">
        <v>25</v>
      </c>
      <c r="D421" s="6">
        <v>2026</v>
      </c>
      <c r="E421" s="6">
        <v>30</v>
      </c>
      <c r="F421" s="7"/>
      <c r="G421" s="7"/>
      <c r="H421" s="8" t="str">
        <f>IF(A421="","",(('بيانات الموظفين'!G421+'بيانات الموظفين'!H421)/30)*MIN(30,MAX(0,E421))+F421+G421)</f>
        <v/>
      </c>
      <c r="I421" s="8" t="str">
        <f>IF(A421="","",MIN(16700,MAX(2700,'بيانات الموظفين'!I421))*11%)</f>
        <v/>
      </c>
      <c r="J421" s="8" t="str">
        <f>IF(A421="","",MAX(0,ROUNDDOWN(H421*12-I421*12-20000,-1)))</f>
        <v/>
      </c>
      <c r="K421" s="8" t="str">
        <f>IF(A421="","",MAX(0,(IF(J421&lt;=40000,0,IF(J421&lt;=60000,(J421-40000)*10%,IF(J421&lt;=70000,2000+(J421-60000)*15%,IF(J421&lt;=200000,3500+(J421-70000)*20%,IF(J421&lt;=400000,29500+(J421-200000)*22.5%,IF(J421&lt;=1000000,74500+(J421-400000)*25%,224500+(J421-1000000)*27.5%)))))))/12))</f>
        <v/>
      </c>
      <c r="L421" s="8" t="str">
        <f>IF(A421="","",IF('كشف التوقيع والملخص'!$B$3="نعم",MAX(0,H421-10000)*0.003,0))</f>
        <v/>
      </c>
      <c r="M421" s="8" t="str">
        <f>IF(A421="","",I421+K421+L421)</f>
        <v/>
      </c>
      <c r="N421" s="8" t="str">
        <f>IF(A421="","",H421-M421)</f>
        <v/>
      </c>
    </row>
    <row r="422" spans="1:14" ht="14.25" x14ac:dyDescent="0.15">
      <c r="A422" s="5" t="str">
        <f>IF('بيانات الموظفين'!A422="","",'بيانات الموظفين'!A422)</f>
        <v/>
      </c>
      <c r="B422" s="5" t="str">
        <f>IF(A422="","",'بيانات الموظفين'!B422)</f>
        <v/>
      </c>
      <c r="C422" s="6" t="s">
        <v>25</v>
      </c>
      <c r="D422" s="6">
        <v>2026</v>
      </c>
      <c r="E422" s="6">
        <v>30</v>
      </c>
      <c r="F422" s="7"/>
      <c r="G422" s="7"/>
      <c r="H422" s="8" t="str">
        <f>IF(A422="","",(('بيانات الموظفين'!G422+'بيانات الموظفين'!H422)/30)*MIN(30,MAX(0,E422))+F422+G422)</f>
        <v/>
      </c>
      <c r="I422" s="8" t="str">
        <f>IF(A422="","",MIN(16700,MAX(2700,'بيانات الموظفين'!I422))*11%)</f>
        <v/>
      </c>
      <c r="J422" s="8" t="str">
        <f>IF(A422="","",MAX(0,ROUNDDOWN(H422*12-I422*12-20000,-1)))</f>
        <v/>
      </c>
      <c r="K422" s="8" t="str">
        <f>IF(A422="","",MAX(0,(IF(J422&lt;=40000,0,IF(J422&lt;=60000,(J422-40000)*10%,IF(J422&lt;=70000,2000+(J422-60000)*15%,IF(J422&lt;=200000,3500+(J422-70000)*20%,IF(J422&lt;=400000,29500+(J422-200000)*22.5%,IF(J422&lt;=1000000,74500+(J422-400000)*25%,224500+(J422-1000000)*27.5%)))))))/12))</f>
        <v/>
      </c>
      <c r="L422" s="8" t="str">
        <f>IF(A422="","",IF('كشف التوقيع والملخص'!$B$3="نعم",MAX(0,H422-10000)*0.003,0))</f>
        <v/>
      </c>
      <c r="M422" s="8" t="str">
        <f>IF(A422="","",I422+K422+L422)</f>
        <v/>
      </c>
      <c r="N422" s="8" t="str">
        <f>IF(A422="","",H422-M422)</f>
        <v/>
      </c>
    </row>
    <row r="423" spans="1:14" ht="14.25" x14ac:dyDescent="0.15">
      <c r="A423" s="5" t="str">
        <f>IF('بيانات الموظفين'!A423="","",'بيانات الموظفين'!A423)</f>
        <v/>
      </c>
      <c r="B423" s="5" t="str">
        <f>IF(A423="","",'بيانات الموظفين'!B423)</f>
        <v/>
      </c>
      <c r="C423" s="6" t="s">
        <v>25</v>
      </c>
      <c r="D423" s="6">
        <v>2026</v>
      </c>
      <c r="E423" s="6">
        <v>30</v>
      </c>
      <c r="F423" s="7"/>
      <c r="G423" s="7"/>
      <c r="H423" s="8" t="str">
        <f>IF(A423="","",(('بيانات الموظفين'!G423+'بيانات الموظفين'!H423)/30)*MIN(30,MAX(0,E423))+F423+G423)</f>
        <v/>
      </c>
      <c r="I423" s="8" t="str">
        <f>IF(A423="","",MIN(16700,MAX(2700,'بيانات الموظفين'!I423))*11%)</f>
        <v/>
      </c>
      <c r="J423" s="8" t="str">
        <f>IF(A423="","",MAX(0,ROUNDDOWN(H423*12-I423*12-20000,-1)))</f>
        <v/>
      </c>
      <c r="K423" s="8" t="str">
        <f>IF(A423="","",MAX(0,(IF(J423&lt;=40000,0,IF(J423&lt;=60000,(J423-40000)*10%,IF(J423&lt;=70000,2000+(J423-60000)*15%,IF(J423&lt;=200000,3500+(J423-70000)*20%,IF(J423&lt;=400000,29500+(J423-200000)*22.5%,IF(J423&lt;=1000000,74500+(J423-400000)*25%,224500+(J423-1000000)*27.5%)))))))/12))</f>
        <v/>
      </c>
      <c r="L423" s="8" t="str">
        <f>IF(A423="","",IF('كشف التوقيع والملخص'!$B$3="نعم",MAX(0,H423-10000)*0.003,0))</f>
        <v/>
      </c>
      <c r="M423" s="8" t="str">
        <f>IF(A423="","",I423+K423+L423)</f>
        <v/>
      </c>
      <c r="N423" s="8" t="str">
        <f>IF(A423="","",H423-M423)</f>
        <v/>
      </c>
    </row>
    <row r="424" spans="1:14" ht="14.25" x14ac:dyDescent="0.15">
      <c r="A424" s="5" t="str">
        <f>IF('بيانات الموظفين'!A424="","",'بيانات الموظفين'!A424)</f>
        <v/>
      </c>
      <c r="B424" s="5" t="str">
        <f>IF(A424="","",'بيانات الموظفين'!B424)</f>
        <v/>
      </c>
      <c r="C424" s="6" t="s">
        <v>25</v>
      </c>
      <c r="D424" s="6">
        <v>2026</v>
      </c>
      <c r="E424" s="6">
        <v>30</v>
      </c>
      <c r="F424" s="7"/>
      <c r="G424" s="7"/>
      <c r="H424" s="8" t="str">
        <f>IF(A424="","",(('بيانات الموظفين'!G424+'بيانات الموظفين'!H424)/30)*MIN(30,MAX(0,E424))+F424+G424)</f>
        <v/>
      </c>
      <c r="I424" s="8" t="str">
        <f>IF(A424="","",MIN(16700,MAX(2700,'بيانات الموظفين'!I424))*11%)</f>
        <v/>
      </c>
      <c r="J424" s="8" t="str">
        <f>IF(A424="","",MAX(0,ROUNDDOWN(H424*12-I424*12-20000,-1)))</f>
        <v/>
      </c>
      <c r="K424" s="8" t="str">
        <f>IF(A424="","",MAX(0,(IF(J424&lt;=40000,0,IF(J424&lt;=60000,(J424-40000)*10%,IF(J424&lt;=70000,2000+(J424-60000)*15%,IF(J424&lt;=200000,3500+(J424-70000)*20%,IF(J424&lt;=400000,29500+(J424-200000)*22.5%,IF(J424&lt;=1000000,74500+(J424-400000)*25%,224500+(J424-1000000)*27.5%)))))))/12))</f>
        <v/>
      </c>
      <c r="L424" s="8" t="str">
        <f>IF(A424="","",IF('كشف التوقيع والملخص'!$B$3="نعم",MAX(0,H424-10000)*0.003,0))</f>
        <v/>
      </c>
      <c r="M424" s="8" t="str">
        <f>IF(A424="","",I424+K424+L424)</f>
        <v/>
      </c>
      <c r="N424" s="8" t="str">
        <f>IF(A424="","",H424-M424)</f>
        <v/>
      </c>
    </row>
    <row r="425" spans="1:14" ht="14.25" x14ac:dyDescent="0.15">
      <c r="A425" s="5" t="str">
        <f>IF('بيانات الموظفين'!A425="","",'بيانات الموظفين'!A425)</f>
        <v/>
      </c>
      <c r="B425" s="5" t="str">
        <f>IF(A425="","",'بيانات الموظفين'!B425)</f>
        <v/>
      </c>
      <c r="C425" s="6" t="s">
        <v>25</v>
      </c>
      <c r="D425" s="6">
        <v>2026</v>
      </c>
      <c r="E425" s="6">
        <v>30</v>
      </c>
      <c r="F425" s="7"/>
      <c r="G425" s="7"/>
      <c r="H425" s="8" t="str">
        <f>IF(A425="","",(('بيانات الموظفين'!G425+'بيانات الموظفين'!H425)/30)*MIN(30,MAX(0,E425))+F425+G425)</f>
        <v/>
      </c>
      <c r="I425" s="8" t="str">
        <f>IF(A425="","",MIN(16700,MAX(2700,'بيانات الموظفين'!I425))*11%)</f>
        <v/>
      </c>
      <c r="J425" s="8" t="str">
        <f>IF(A425="","",MAX(0,ROUNDDOWN(H425*12-I425*12-20000,-1)))</f>
        <v/>
      </c>
      <c r="K425" s="8" t="str">
        <f>IF(A425="","",MAX(0,(IF(J425&lt;=40000,0,IF(J425&lt;=60000,(J425-40000)*10%,IF(J425&lt;=70000,2000+(J425-60000)*15%,IF(J425&lt;=200000,3500+(J425-70000)*20%,IF(J425&lt;=400000,29500+(J425-200000)*22.5%,IF(J425&lt;=1000000,74500+(J425-400000)*25%,224500+(J425-1000000)*27.5%)))))))/12))</f>
        <v/>
      </c>
      <c r="L425" s="8" t="str">
        <f>IF(A425="","",IF('كشف التوقيع والملخص'!$B$3="نعم",MAX(0,H425-10000)*0.003,0))</f>
        <v/>
      </c>
      <c r="M425" s="8" t="str">
        <f>IF(A425="","",I425+K425+L425)</f>
        <v/>
      </c>
      <c r="N425" s="8" t="str">
        <f>IF(A425="","",H425-M425)</f>
        <v/>
      </c>
    </row>
    <row r="426" spans="1:14" ht="14.25" x14ac:dyDescent="0.15">
      <c r="A426" s="5" t="str">
        <f>IF('بيانات الموظفين'!A426="","",'بيانات الموظفين'!A426)</f>
        <v/>
      </c>
      <c r="B426" s="5" t="str">
        <f>IF(A426="","",'بيانات الموظفين'!B426)</f>
        <v/>
      </c>
      <c r="C426" s="6" t="s">
        <v>25</v>
      </c>
      <c r="D426" s="6">
        <v>2026</v>
      </c>
      <c r="E426" s="6">
        <v>30</v>
      </c>
      <c r="F426" s="7"/>
      <c r="G426" s="7"/>
      <c r="H426" s="8" t="str">
        <f>IF(A426="","",(('بيانات الموظفين'!G426+'بيانات الموظفين'!H426)/30)*MIN(30,MAX(0,E426))+F426+G426)</f>
        <v/>
      </c>
      <c r="I426" s="8" t="str">
        <f>IF(A426="","",MIN(16700,MAX(2700,'بيانات الموظفين'!I426))*11%)</f>
        <v/>
      </c>
      <c r="J426" s="8" t="str">
        <f>IF(A426="","",MAX(0,ROUNDDOWN(H426*12-I426*12-20000,-1)))</f>
        <v/>
      </c>
      <c r="K426" s="8" t="str">
        <f>IF(A426="","",MAX(0,(IF(J426&lt;=40000,0,IF(J426&lt;=60000,(J426-40000)*10%,IF(J426&lt;=70000,2000+(J426-60000)*15%,IF(J426&lt;=200000,3500+(J426-70000)*20%,IF(J426&lt;=400000,29500+(J426-200000)*22.5%,IF(J426&lt;=1000000,74500+(J426-400000)*25%,224500+(J426-1000000)*27.5%)))))))/12))</f>
        <v/>
      </c>
      <c r="L426" s="8" t="str">
        <f>IF(A426="","",IF('كشف التوقيع والملخص'!$B$3="نعم",MAX(0,H426-10000)*0.003,0))</f>
        <v/>
      </c>
      <c r="M426" s="8" t="str">
        <f>IF(A426="","",I426+K426+L426)</f>
        <v/>
      </c>
      <c r="N426" s="8" t="str">
        <f>IF(A426="","",H426-M426)</f>
        <v/>
      </c>
    </row>
    <row r="427" spans="1:14" ht="14.25" x14ac:dyDescent="0.15">
      <c r="A427" s="5" t="str">
        <f>IF('بيانات الموظفين'!A427="","",'بيانات الموظفين'!A427)</f>
        <v/>
      </c>
      <c r="B427" s="5" t="str">
        <f>IF(A427="","",'بيانات الموظفين'!B427)</f>
        <v/>
      </c>
      <c r="C427" s="6" t="s">
        <v>25</v>
      </c>
      <c r="D427" s="6">
        <v>2026</v>
      </c>
      <c r="E427" s="6">
        <v>30</v>
      </c>
      <c r="F427" s="7"/>
      <c r="G427" s="7"/>
      <c r="H427" s="8" t="str">
        <f>IF(A427="","",(('بيانات الموظفين'!G427+'بيانات الموظفين'!H427)/30)*MIN(30,MAX(0,E427))+F427+G427)</f>
        <v/>
      </c>
      <c r="I427" s="8" t="str">
        <f>IF(A427="","",MIN(16700,MAX(2700,'بيانات الموظفين'!I427))*11%)</f>
        <v/>
      </c>
      <c r="J427" s="8" t="str">
        <f>IF(A427="","",MAX(0,ROUNDDOWN(H427*12-I427*12-20000,-1)))</f>
        <v/>
      </c>
      <c r="K427" s="8" t="str">
        <f>IF(A427="","",MAX(0,(IF(J427&lt;=40000,0,IF(J427&lt;=60000,(J427-40000)*10%,IF(J427&lt;=70000,2000+(J427-60000)*15%,IF(J427&lt;=200000,3500+(J427-70000)*20%,IF(J427&lt;=400000,29500+(J427-200000)*22.5%,IF(J427&lt;=1000000,74500+(J427-400000)*25%,224500+(J427-1000000)*27.5%)))))))/12))</f>
        <v/>
      </c>
      <c r="L427" s="8" t="str">
        <f>IF(A427="","",IF('كشف التوقيع والملخص'!$B$3="نعم",MAX(0,H427-10000)*0.003,0))</f>
        <v/>
      </c>
      <c r="M427" s="8" t="str">
        <f>IF(A427="","",I427+K427+L427)</f>
        <v/>
      </c>
      <c r="N427" s="8" t="str">
        <f>IF(A427="","",H427-M427)</f>
        <v/>
      </c>
    </row>
    <row r="428" spans="1:14" ht="14.25" x14ac:dyDescent="0.15">
      <c r="A428" s="5" t="str">
        <f>IF('بيانات الموظفين'!A428="","",'بيانات الموظفين'!A428)</f>
        <v/>
      </c>
      <c r="B428" s="5" t="str">
        <f>IF(A428="","",'بيانات الموظفين'!B428)</f>
        <v/>
      </c>
      <c r="C428" s="6" t="s">
        <v>25</v>
      </c>
      <c r="D428" s="6">
        <v>2026</v>
      </c>
      <c r="E428" s="6">
        <v>30</v>
      </c>
      <c r="F428" s="7"/>
      <c r="G428" s="7"/>
      <c r="H428" s="8" t="str">
        <f>IF(A428="","",(('بيانات الموظفين'!G428+'بيانات الموظفين'!H428)/30)*MIN(30,MAX(0,E428))+F428+G428)</f>
        <v/>
      </c>
      <c r="I428" s="8" t="str">
        <f>IF(A428="","",MIN(16700,MAX(2700,'بيانات الموظفين'!I428))*11%)</f>
        <v/>
      </c>
      <c r="J428" s="8" t="str">
        <f>IF(A428="","",MAX(0,ROUNDDOWN(H428*12-I428*12-20000,-1)))</f>
        <v/>
      </c>
      <c r="K428" s="8" t="str">
        <f>IF(A428="","",MAX(0,(IF(J428&lt;=40000,0,IF(J428&lt;=60000,(J428-40000)*10%,IF(J428&lt;=70000,2000+(J428-60000)*15%,IF(J428&lt;=200000,3500+(J428-70000)*20%,IF(J428&lt;=400000,29500+(J428-200000)*22.5%,IF(J428&lt;=1000000,74500+(J428-400000)*25%,224500+(J428-1000000)*27.5%)))))))/12))</f>
        <v/>
      </c>
      <c r="L428" s="8" t="str">
        <f>IF(A428="","",IF('كشف التوقيع والملخص'!$B$3="نعم",MAX(0,H428-10000)*0.003,0))</f>
        <v/>
      </c>
      <c r="M428" s="8" t="str">
        <f>IF(A428="","",I428+K428+L428)</f>
        <v/>
      </c>
      <c r="N428" s="8" t="str">
        <f>IF(A428="","",H428-M428)</f>
        <v/>
      </c>
    </row>
    <row r="429" spans="1:14" ht="14.25" x14ac:dyDescent="0.15">
      <c r="A429" s="5" t="str">
        <f>IF('بيانات الموظفين'!A429="","",'بيانات الموظفين'!A429)</f>
        <v/>
      </c>
      <c r="B429" s="5" t="str">
        <f>IF(A429="","",'بيانات الموظفين'!B429)</f>
        <v/>
      </c>
      <c r="C429" s="6" t="s">
        <v>25</v>
      </c>
      <c r="D429" s="6">
        <v>2026</v>
      </c>
      <c r="E429" s="6">
        <v>30</v>
      </c>
      <c r="F429" s="7"/>
      <c r="G429" s="7"/>
      <c r="H429" s="8" t="str">
        <f>IF(A429="","",(('بيانات الموظفين'!G429+'بيانات الموظفين'!H429)/30)*MIN(30,MAX(0,E429))+F429+G429)</f>
        <v/>
      </c>
      <c r="I429" s="8" t="str">
        <f>IF(A429="","",MIN(16700,MAX(2700,'بيانات الموظفين'!I429))*11%)</f>
        <v/>
      </c>
      <c r="J429" s="8" t="str">
        <f>IF(A429="","",MAX(0,ROUNDDOWN(H429*12-I429*12-20000,-1)))</f>
        <v/>
      </c>
      <c r="K429" s="8" t="str">
        <f>IF(A429="","",MAX(0,(IF(J429&lt;=40000,0,IF(J429&lt;=60000,(J429-40000)*10%,IF(J429&lt;=70000,2000+(J429-60000)*15%,IF(J429&lt;=200000,3500+(J429-70000)*20%,IF(J429&lt;=400000,29500+(J429-200000)*22.5%,IF(J429&lt;=1000000,74500+(J429-400000)*25%,224500+(J429-1000000)*27.5%)))))))/12))</f>
        <v/>
      </c>
      <c r="L429" s="8" t="str">
        <f>IF(A429="","",IF('كشف التوقيع والملخص'!$B$3="نعم",MAX(0,H429-10000)*0.003,0))</f>
        <v/>
      </c>
      <c r="M429" s="8" t="str">
        <f>IF(A429="","",I429+K429+L429)</f>
        <v/>
      </c>
      <c r="N429" s="8" t="str">
        <f>IF(A429="","",H429-M429)</f>
        <v/>
      </c>
    </row>
    <row r="430" spans="1:14" ht="14.25" x14ac:dyDescent="0.15">
      <c r="A430" s="5" t="str">
        <f>IF('بيانات الموظفين'!A430="","",'بيانات الموظفين'!A430)</f>
        <v/>
      </c>
      <c r="B430" s="5" t="str">
        <f>IF(A430="","",'بيانات الموظفين'!B430)</f>
        <v/>
      </c>
      <c r="C430" s="6" t="s">
        <v>25</v>
      </c>
      <c r="D430" s="6">
        <v>2026</v>
      </c>
      <c r="E430" s="6">
        <v>30</v>
      </c>
      <c r="F430" s="7"/>
      <c r="G430" s="7"/>
      <c r="H430" s="8" t="str">
        <f>IF(A430="","",(('بيانات الموظفين'!G430+'بيانات الموظفين'!H430)/30)*MIN(30,MAX(0,E430))+F430+G430)</f>
        <v/>
      </c>
      <c r="I430" s="8" t="str">
        <f>IF(A430="","",MIN(16700,MAX(2700,'بيانات الموظفين'!I430))*11%)</f>
        <v/>
      </c>
      <c r="J430" s="8" t="str">
        <f>IF(A430="","",MAX(0,ROUNDDOWN(H430*12-I430*12-20000,-1)))</f>
        <v/>
      </c>
      <c r="K430" s="8" t="str">
        <f>IF(A430="","",MAX(0,(IF(J430&lt;=40000,0,IF(J430&lt;=60000,(J430-40000)*10%,IF(J430&lt;=70000,2000+(J430-60000)*15%,IF(J430&lt;=200000,3500+(J430-70000)*20%,IF(J430&lt;=400000,29500+(J430-200000)*22.5%,IF(J430&lt;=1000000,74500+(J430-400000)*25%,224500+(J430-1000000)*27.5%)))))))/12))</f>
        <v/>
      </c>
      <c r="L430" s="8" t="str">
        <f>IF(A430="","",IF('كشف التوقيع والملخص'!$B$3="نعم",MAX(0,H430-10000)*0.003,0))</f>
        <v/>
      </c>
      <c r="M430" s="8" t="str">
        <f>IF(A430="","",I430+K430+L430)</f>
        <v/>
      </c>
      <c r="N430" s="8" t="str">
        <f>IF(A430="","",H430-M430)</f>
        <v/>
      </c>
    </row>
    <row r="431" spans="1:14" ht="14.25" x14ac:dyDescent="0.15">
      <c r="A431" s="5" t="str">
        <f>IF('بيانات الموظفين'!A431="","",'بيانات الموظفين'!A431)</f>
        <v/>
      </c>
      <c r="B431" s="5" t="str">
        <f>IF(A431="","",'بيانات الموظفين'!B431)</f>
        <v/>
      </c>
      <c r="C431" s="6" t="s">
        <v>25</v>
      </c>
      <c r="D431" s="6">
        <v>2026</v>
      </c>
      <c r="E431" s="6">
        <v>30</v>
      </c>
      <c r="F431" s="7"/>
      <c r="G431" s="7"/>
      <c r="H431" s="8" t="str">
        <f>IF(A431="","",(('بيانات الموظفين'!G431+'بيانات الموظفين'!H431)/30)*MIN(30,MAX(0,E431))+F431+G431)</f>
        <v/>
      </c>
      <c r="I431" s="8" t="str">
        <f>IF(A431="","",MIN(16700,MAX(2700,'بيانات الموظفين'!I431))*11%)</f>
        <v/>
      </c>
      <c r="J431" s="8" t="str">
        <f>IF(A431="","",MAX(0,ROUNDDOWN(H431*12-I431*12-20000,-1)))</f>
        <v/>
      </c>
      <c r="K431" s="8" t="str">
        <f>IF(A431="","",MAX(0,(IF(J431&lt;=40000,0,IF(J431&lt;=60000,(J431-40000)*10%,IF(J431&lt;=70000,2000+(J431-60000)*15%,IF(J431&lt;=200000,3500+(J431-70000)*20%,IF(J431&lt;=400000,29500+(J431-200000)*22.5%,IF(J431&lt;=1000000,74500+(J431-400000)*25%,224500+(J431-1000000)*27.5%)))))))/12))</f>
        <v/>
      </c>
      <c r="L431" s="8" t="str">
        <f>IF(A431="","",IF('كشف التوقيع والملخص'!$B$3="نعم",MAX(0,H431-10000)*0.003,0))</f>
        <v/>
      </c>
      <c r="M431" s="8" t="str">
        <f>IF(A431="","",I431+K431+L431)</f>
        <v/>
      </c>
      <c r="N431" s="8" t="str">
        <f>IF(A431="","",H431-M431)</f>
        <v/>
      </c>
    </row>
    <row r="432" spans="1:14" ht="14.25" x14ac:dyDescent="0.15">
      <c r="A432" s="5" t="str">
        <f>IF('بيانات الموظفين'!A432="","",'بيانات الموظفين'!A432)</f>
        <v/>
      </c>
      <c r="B432" s="5" t="str">
        <f>IF(A432="","",'بيانات الموظفين'!B432)</f>
        <v/>
      </c>
      <c r="C432" s="6" t="s">
        <v>25</v>
      </c>
      <c r="D432" s="6">
        <v>2026</v>
      </c>
      <c r="E432" s="6">
        <v>30</v>
      </c>
      <c r="F432" s="7"/>
      <c r="G432" s="7"/>
      <c r="H432" s="8" t="str">
        <f>IF(A432="","",(('بيانات الموظفين'!G432+'بيانات الموظفين'!H432)/30)*MIN(30,MAX(0,E432))+F432+G432)</f>
        <v/>
      </c>
      <c r="I432" s="8" t="str">
        <f>IF(A432="","",MIN(16700,MAX(2700,'بيانات الموظفين'!I432))*11%)</f>
        <v/>
      </c>
      <c r="J432" s="8" t="str">
        <f>IF(A432="","",MAX(0,ROUNDDOWN(H432*12-I432*12-20000,-1)))</f>
        <v/>
      </c>
      <c r="K432" s="8" t="str">
        <f>IF(A432="","",MAX(0,(IF(J432&lt;=40000,0,IF(J432&lt;=60000,(J432-40000)*10%,IF(J432&lt;=70000,2000+(J432-60000)*15%,IF(J432&lt;=200000,3500+(J432-70000)*20%,IF(J432&lt;=400000,29500+(J432-200000)*22.5%,IF(J432&lt;=1000000,74500+(J432-400000)*25%,224500+(J432-1000000)*27.5%)))))))/12))</f>
        <v/>
      </c>
      <c r="L432" s="8" t="str">
        <f>IF(A432="","",IF('كشف التوقيع والملخص'!$B$3="نعم",MAX(0,H432-10000)*0.003,0))</f>
        <v/>
      </c>
      <c r="M432" s="8" t="str">
        <f>IF(A432="","",I432+K432+L432)</f>
        <v/>
      </c>
      <c r="N432" s="8" t="str">
        <f>IF(A432="","",H432-M432)</f>
        <v/>
      </c>
    </row>
    <row r="433" spans="1:14" ht="14.25" x14ac:dyDescent="0.15">
      <c r="A433" s="5" t="str">
        <f>IF('بيانات الموظفين'!A433="","",'بيانات الموظفين'!A433)</f>
        <v/>
      </c>
      <c r="B433" s="5" t="str">
        <f>IF(A433="","",'بيانات الموظفين'!B433)</f>
        <v/>
      </c>
      <c r="C433" s="6" t="s">
        <v>25</v>
      </c>
      <c r="D433" s="6">
        <v>2026</v>
      </c>
      <c r="E433" s="6">
        <v>30</v>
      </c>
      <c r="F433" s="7"/>
      <c r="G433" s="7"/>
      <c r="H433" s="8" t="str">
        <f>IF(A433="","",(('بيانات الموظفين'!G433+'بيانات الموظفين'!H433)/30)*MIN(30,MAX(0,E433))+F433+G433)</f>
        <v/>
      </c>
      <c r="I433" s="8" t="str">
        <f>IF(A433="","",MIN(16700,MAX(2700,'بيانات الموظفين'!I433))*11%)</f>
        <v/>
      </c>
      <c r="J433" s="8" t="str">
        <f>IF(A433="","",MAX(0,ROUNDDOWN(H433*12-I433*12-20000,-1)))</f>
        <v/>
      </c>
      <c r="K433" s="8" t="str">
        <f>IF(A433="","",MAX(0,(IF(J433&lt;=40000,0,IF(J433&lt;=60000,(J433-40000)*10%,IF(J433&lt;=70000,2000+(J433-60000)*15%,IF(J433&lt;=200000,3500+(J433-70000)*20%,IF(J433&lt;=400000,29500+(J433-200000)*22.5%,IF(J433&lt;=1000000,74500+(J433-400000)*25%,224500+(J433-1000000)*27.5%)))))))/12))</f>
        <v/>
      </c>
      <c r="L433" s="8" t="str">
        <f>IF(A433="","",IF('كشف التوقيع والملخص'!$B$3="نعم",MAX(0,H433-10000)*0.003,0))</f>
        <v/>
      </c>
      <c r="M433" s="8" t="str">
        <f>IF(A433="","",I433+K433+L433)</f>
        <v/>
      </c>
      <c r="N433" s="8" t="str">
        <f>IF(A433="","",H433-M433)</f>
        <v/>
      </c>
    </row>
    <row r="434" spans="1:14" ht="14.25" x14ac:dyDescent="0.15">
      <c r="A434" s="5" t="str">
        <f>IF('بيانات الموظفين'!A434="","",'بيانات الموظفين'!A434)</f>
        <v/>
      </c>
      <c r="B434" s="5" t="str">
        <f>IF(A434="","",'بيانات الموظفين'!B434)</f>
        <v/>
      </c>
      <c r="C434" s="6" t="s">
        <v>25</v>
      </c>
      <c r="D434" s="6">
        <v>2026</v>
      </c>
      <c r="E434" s="6">
        <v>30</v>
      </c>
      <c r="F434" s="7"/>
      <c r="G434" s="7"/>
      <c r="H434" s="8" t="str">
        <f>IF(A434="","",(('بيانات الموظفين'!G434+'بيانات الموظفين'!H434)/30)*MIN(30,MAX(0,E434))+F434+G434)</f>
        <v/>
      </c>
      <c r="I434" s="8" t="str">
        <f>IF(A434="","",MIN(16700,MAX(2700,'بيانات الموظفين'!I434))*11%)</f>
        <v/>
      </c>
      <c r="J434" s="8" t="str">
        <f>IF(A434="","",MAX(0,ROUNDDOWN(H434*12-I434*12-20000,-1)))</f>
        <v/>
      </c>
      <c r="K434" s="8" t="str">
        <f>IF(A434="","",MAX(0,(IF(J434&lt;=40000,0,IF(J434&lt;=60000,(J434-40000)*10%,IF(J434&lt;=70000,2000+(J434-60000)*15%,IF(J434&lt;=200000,3500+(J434-70000)*20%,IF(J434&lt;=400000,29500+(J434-200000)*22.5%,IF(J434&lt;=1000000,74500+(J434-400000)*25%,224500+(J434-1000000)*27.5%)))))))/12))</f>
        <v/>
      </c>
      <c r="L434" s="8" t="str">
        <f>IF(A434="","",IF('كشف التوقيع والملخص'!$B$3="نعم",MAX(0,H434-10000)*0.003,0))</f>
        <v/>
      </c>
      <c r="M434" s="8" t="str">
        <f>IF(A434="","",I434+K434+L434)</f>
        <v/>
      </c>
      <c r="N434" s="8" t="str">
        <f>IF(A434="","",H434-M434)</f>
        <v/>
      </c>
    </row>
    <row r="435" spans="1:14" ht="14.25" x14ac:dyDescent="0.15">
      <c r="A435" s="5" t="str">
        <f>IF('بيانات الموظفين'!A435="","",'بيانات الموظفين'!A435)</f>
        <v/>
      </c>
      <c r="B435" s="5" t="str">
        <f>IF(A435="","",'بيانات الموظفين'!B435)</f>
        <v/>
      </c>
      <c r="C435" s="6" t="s">
        <v>25</v>
      </c>
      <c r="D435" s="6">
        <v>2026</v>
      </c>
      <c r="E435" s="6">
        <v>30</v>
      </c>
      <c r="F435" s="7"/>
      <c r="G435" s="7"/>
      <c r="H435" s="8" t="str">
        <f>IF(A435="","",(('بيانات الموظفين'!G435+'بيانات الموظفين'!H435)/30)*MIN(30,MAX(0,E435))+F435+G435)</f>
        <v/>
      </c>
      <c r="I435" s="8" t="str">
        <f>IF(A435="","",MIN(16700,MAX(2700,'بيانات الموظفين'!I435))*11%)</f>
        <v/>
      </c>
      <c r="J435" s="8" t="str">
        <f>IF(A435="","",MAX(0,ROUNDDOWN(H435*12-I435*12-20000,-1)))</f>
        <v/>
      </c>
      <c r="K435" s="8" t="str">
        <f>IF(A435="","",MAX(0,(IF(J435&lt;=40000,0,IF(J435&lt;=60000,(J435-40000)*10%,IF(J435&lt;=70000,2000+(J435-60000)*15%,IF(J435&lt;=200000,3500+(J435-70000)*20%,IF(J435&lt;=400000,29500+(J435-200000)*22.5%,IF(J435&lt;=1000000,74500+(J435-400000)*25%,224500+(J435-1000000)*27.5%)))))))/12))</f>
        <v/>
      </c>
      <c r="L435" s="8" t="str">
        <f>IF(A435="","",IF('كشف التوقيع والملخص'!$B$3="نعم",MAX(0,H435-10000)*0.003,0))</f>
        <v/>
      </c>
      <c r="M435" s="8" t="str">
        <f>IF(A435="","",I435+K435+L435)</f>
        <v/>
      </c>
      <c r="N435" s="8" t="str">
        <f>IF(A435="","",H435-M435)</f>
        <v/>
      </c>
    </row>
    <row r="436" spans="1:14" ht="14.25" x14ac:dyDescent="0.15">
      <c r="A436" s="5" t="str">
        <f>IF('بيانات الموظفين'!A436="","",'بيانات الموظفين'!A436)</f>
        <v/>
      </c>
      <c r="B436" s="5" t="str">
        <f>IF(A436="","",'بيانات الموظفين'!B436)</f>
        <v/>
      </c>
      <c r="C436" s="6" t="s">
        <v>25</v>
      </c>
      <c r="D436" s="6">
        <v>2026</v>
      </c>
      <c r="E436" s="6">
        <v>30</v>
      </c>
      <c r="F436" s="7"/>
      <c r="G436" s="7"/>
      <c r="H436" s="8" t="str">
        <f>IF(A436="","",(('بيانات الموظفين'!G436+'بيانات الموظفين'!H436)/30)*MIN(30,MAX(0,E436))+F436+G436)</f>
        <v/>
      </c>
      <c r="I436" s="8" t="str">
        <f>IF(A436="","",MIN(16700,MAX(2700,'بيانات الموظفين'!I436))*11%)</f>
        <v/>
      </c>
      <c r="J436" s="8" t="str">
        <f>IF(A436="","",MAX(0,ROUNDDOWN(H436*12-I436*12-20000,-1)))</f>
        <v/>
      </c>
      <c r="K436" s="8" t="str">
        <f>IF(A436="","",MAX(0,(IF(J436&lt;=40000,0,IF(J436&lt;=60000,(J436-40000)*10%,IF(J436&lt;=70000,2000+(J436-60000)*15%,IF(J436&lt;=200000,3500+(J436-70000)*20%,IF(J436&lt;=400000,29500+(J436-200000)*22.5%,IF(J436&lt;=1000000,74500+(J436-400000)*25%,224500+(J436-1000000)*27.5%)))))))/12))</f>
        <v/>
      </c>
      <c r="L436" s="8" t="str">
        <f>IF(A436="","",IF('كشف التوقيع والملخص'!$B$3="نعم",MAX(0,H436-10000)*0.003,0))</f>
        <v/>
      </c>
      <c r="M436" s="8" t="str">
        <f>IF(A436="","",I436+K436+L436)</f>
        <v/>
      </c>
      <c r="N436" s="8" t="str">
        <f>IF(A436="","",H436-M436)</f>
        <v/>
      </c>
    </row>
    <row r="437" spans="1:14" ht="14.25" x14ac:dyDescent="0.15">
      <c r="A437" s="5" t="str">
        <f>IF('بيانات الموظفين'!A437="","",'بيانات الموظفين'!A437)</f>
        <v/>
      </c>
      <c r="B437" s="5" t="str">
        <f>IF(A437="","",'بيانات الموظفين'!B437)</f>
        <v/>
      </c>
      <c r="C437" s="6" t="s">
        <v>25</v>
      </c>
      <c r="D437" s="6">
        <v>2026</v>
      </c>
      <c r="E437" s="6">
        <v>30</v>
      </c>
      <c r="F437" s="7"/>
      <c r="G437" s="7"/>
      <c r="H437" s="8" t="str">
        <f>IF(A437="","",(('بيانات الموظفين'!G437+'بيانات الموظفين'!H437)/30)*MIN(30,MAX(0,E437))+F437+G437)</f>
        <v/>
      </c>
      <c r="I437" s="8" t="str">
        <f>IF(A437="","",MIN(16700,MAX(2700,'بيانات الموظفين'!I437))*11%)</f>
        <v/>
      </c>
      <c r="J437" s="8" t="str">
        <f>IF(A437="","",MAX(0,ROUNDDOWN(H437*12-I437*12-20000,-1)))</f>
        <v/>
      </c>
      <c r="K437" s="8" t="str">
        <f>IF(A437="","",MAX(0,(IF(J437&lt;=40000,0,IF(J437&lt;=60000,(J437-40000)*10%,IF(J437&lt;=70000,2000+(J437-60000)*15%,IF(J437&lt;=200000,3500+(J437-70000)*20%,IF(J437&lt;=400000,29500+(J437-200000)*22.5%,IF(J437&lt;=1000000,74500+(J437-400000)*25%,224500+(J437-1000000)*27.5%)))))))/12))</f>
        <v/>
      </c>
      <c r="L437" s="8" t="str">
        <f>IF(A437="","",IF('كشف التوقيع والملخص'!$B$3="نعم",MAX(0,H437-10000)*0.003,0))</f>
        <v/>
      </c>
      <c r="M437" s="8" t="str">
        <f>IF(A437="","",I437+K437+L437)</f>
        <v/>
      </c>
      <c r="N437" s="8" t="str">
        <f>IF(A437="","",H437-M437)</f>
        <v/>
      </c>
    </row>
    <row r="438" spans="1:14" ht="14.25" x14ac:dyDescent="0.15">
      <c r="A438" s="5" t="str">
        <f>IF('بيانات الموظفين'!A438="","",'بيانات الموظفين'!A438)</f>
        <v/>
      </c>
      <c r="B438" s="5" t="str">
        <f>IF(A438="","",'بيانات الموظفين'!B438)</f>
        <v/>
      </c>
      <c r="C438" s="6" t="s">
        <v>25</v>
      </c>
      <c r="D438" s="6">
        <v>2026</v>
      </c>
      <c r="E438" s="6">
        <v>30</v>
      </c>
      <c r="F438" s="7"/>
      <c r="G438" s="7"/>
      <c r="H438" s="8" t="str">
        <f>IF(A438="","",(('بيانات الموظفين'!G438+'بيانات الموظفين'!H438)/30)*MIN(30,MAX(0,E438))+F438+G438)</f>
        <v/>
      </c>
      <c r="I438" s="8" t="str">
        <f>IF(A438="","",MIN(16700,MAX(2700,'بيانات الموظفين'!I438))*11%)</f>
        <v/>
      </c>
      <c r="J438" s="8" t="str">
        <f>IF(A438="","",MAX(0,ROUNDDOWN(H438*12-I438*12-20000,-1)))</f>
        <v/>
      </c>
      <c r="K438" s="8" t="str">
        <f>IF(A438="","",MAX(0,(IF(J438&lt;=40000,0,IF(J438&lt;=60000,(J438-40000)*10%,IF(J438&lt;=70000,2000+(J438-60000)*15%,IF(J438&lt;=200000,3500+(J438-70000)*20%,IF(J438&lt;=400000,29500+(J438-200000)*22.5%,IF(J438&lt;=1000000,74500+(J438-400000)*25%,224500+(J438-1000000)*27.5%)))))))/12))</f>
        <v/>
      </c>
      <c r="L438" s="8" t="str">
        <f>IF(A438="","",IF('كشف التوقيع والملخص'!$B$3="نعم",MAX(0,H438-10000)*0.003,0))</f>
        <v/>
      </c>
      <c r="M438" s="8" t="str">
        <f>IF(A438="","",I438+K438+L438)</f>
        <v/>
      </c>
      <c r="N438" s="8" t="str">
        <f>IF(A438="","",H438-M438)</f>
        <v/>
      </c>
    </row>
    <row r="439" spans="1:14" ht="14.25" x14ac:dyDescent="0.15">
      <c r="A439" s="5" t="str">
        <f>IF('بيانات الموظفين'!A439="","",'بيانات الموظفين'!A439)</f>
        <v/>
      </c>
      <c r="B439" s="5" t="str">
        <f>IF(A439="","",'بيانات الموظفين'!B439)</f>
        <v/>
      </c>
      <c r="C439" s="6" t="s">
        <v>25</v>
      </c>
      <c r="D439" s="6">
        <v>2026</v>
      </c>
      <c r="E439" s="6">
        <v>30</v>
      </c>
      <c r="F439" s="7"/>
      <c r="G439" s="7"/>
      <c r="H439" s="8" t="str">
        <f>IF(A439="","",(('بيانات الموظفين'!G439+'بيانات الموظفين'!H439)/30)*MIN(30,MAX(0,E439))+F439+G439)</f>
        <v/>
      </c>
      <c r="I439" s="8" t="str">
        <f>IF(A439="","",MIN(16700,MAX(2700,'بيانات الموظفين'!I439))*11%)</f>
        <v/>
      </c>
      <c r="J439" s="8" t="str">
        <f>IF(A439="","",MAX(0,ROUNDDOWN(H439*12-I439*12-20000,-1)))</f>
        <v/>
      </c>
      <c r="K439" s="8" t="str">
        <f>IF(A439="","",MAX(0,(IF(J439&lt;=40000,0,IF(J439&lt;=60000,(J439-40000)*10%,IF(J439&lt;=70000,2000+(J439-60000)*15%,IF(J439&lt;=200000,3500+(J439-70000)*20%,IF(J439&lt;=400000,29500+(J439-200000)*22.5%,IF(J439&lt;=1000000,74500+(J439-400000)*25%,224500+(J439-1000000)*27.5%)))))))/12))</f>
        <v/>
      </c>
      <c r="L439" s="8" t="str">
        <f>IF(A439="","",IF('كشف التوقيع والملخص'!$B$3="نعم",MAX(0,H439-10000)*0.003,0))</f>
        <v/>
      </c>
      <c r="M439" s="8" t="str">
        <f>IF(A439="","",I439+K439+L439)</f>
        <v/>
      </c>
      <c r="N439" s="8" t="str">
        <f>IF(A439="","",H439-M439)</f>
        <v/>
      </c>
    </row>
    <row r="440" spans="1:14" ht="14.25" x14ac:dyDescent="0.15">
      <c r="A440" s="5" t="str">
        <f>IF('بيانات الموظفين'!A440="","",'بيانات الموظفين'!A440)</f>
        <v/>
      </c>
      <c r="B440" s="5" t="str">
        <f>IF(A440="","",'بيانات الموظفين'!B440)</f>
        <v/>
      </c>
      <c r="C440" s="6" t="s">
        <v>25</v>
      </c>
      <c r="D440" s="6">
        <v>2026</v>
      </c>
      <c r="E440" s="6">
        <v>30</v>
      </c>
      <c r="F440" s="7"/>
      <c r="G440" s="7"/>
      <c r="H440" s="8" t="str">
        <f>IF(A440="","",(('بيانات الموظفين'!G440+'بيانات الموظفين'!H440)/30)*MIN(30,MAX(0,E440))+F440+G440)</f>
        <v/>
      </c>
      <c r="I440" s="8" t="str">
        <f>IF(A440="","",MIN(16700,MAX(2700,'بيانات الموظفين'!I440))*11%)</f>
        <v/>
      </c>
      <c r="J440" s="8" t="str">
        <f>IF(A440="","",MAX(0,ROUNDDOWN(H440*12-I440*12-20000,-1)))</f>
        <v/>
      </c>
      <c r="K440" s="8" t="str">
        <f>IF(A440="","",MAX(0,(IF(J440&lt;=40000,0,IF(J440&lt;=60000,(J440-40000)*10%,IF(J440&lt;=70000,2000+(J440-60000)*15%,IF(J440&lt;=200000,3500+(J440-70000)*20%,IF(J440&lt;=400000,29500+(J440-200000)*22.5%,IF(J440&lt;=1000000,74500+(J440-400000)*25%,224500+(J440-1000000)*27.5%)))))))/12))</f>
        <v/>
      </c>
      <c r="L440" s="8" t="str">
        <f>IF(A440="","",IF('كشف التوقيع والملخص'!$B$3="نعم",MAX(0,H440-10000)*0.003,0))</f>
        <v/>
      </c>
      <c r="M440" s="8" t="str">
        <f>IF(A440="","",I440+K440+L440)</f>
        <v/>
      </c>
      <c r="N440" s="8" t="str">
        <f>IF(A440="","",H440-M440)</f>
        <v/>
      </c>
    </row>
    <row r="441" spans="1:14" ht="14.25" x14ac:dyDescent="0.15">
      <c r="A441" s="5" t="str">
        <f>IF('بيانات الموظفين'!A441="","",'بيانات الموظفين'!A441)</f>
        <v/>
      </c>
      <c r="B441" s="5" t="str">
        <f>IF(A441="","",'بيانات الموظفين'!B441)</f>
        <v/>
      </c>
      <c r="C441" s="6" t="s">
        <v>25</v>
      </c>
      <c r="D441" s="6">
        <v>2026</v>
      </c>
      <c r="E441" s="6">
        <v>30</v>
      </c>
      <c r="F441" s="7"/>
      <c r="G441" s="7"/>
      <c r="H441" s="8" t="str">
        <f>IF(A441="","",(('بيانات الموظفين'!G441+'بيانات الموظفين'!H441)/30)*MIN(30,MAX(0,E441))+F441+G441)</f>
        <v/>
      </c>
      <c r="I441" s="8" t="str">
        <f>IF(A441="","",MIN(16700,MAX(2700,'بيانات الموظفين'!I441))*11%)</f>
        <v/>
      </c>
      <c r="J441" s="8" t="str">
        <f>IF(A441="","",MAX(0,ROUNDDOWN(H441*12-I441*12-20000,-1)))</f>
        <v/>
      </c>
      <c r="K441" s="8" t="str">
        <f>IF(A441="","",MAX(0,(IF(J441&lt;=40000,0,IF(J441&lt;=60000,(J441-40000)*10%,IF(J441&lt;=70000,2000+(J441-60000)*15%,IF(J441&lt;=200000,3500+(J441-70000)*20%,IF(J441&lt;=400000,29500+(J441-200000)*22.5%,IF(J441&lt;=1000000,74500+(J441-400000)*25%,224500+(J441-1000000)*27.5%)))))))/12))</f>
        <v/>
      </c>
      <c r="L441" s="8" t="str">
        <f>IF(A441="","",IF('كشف التوقيع والملخص'!$B$3="نعم",MAX(0,H441-10000)*0.003,0))</f>
        <v/>
      </c>
      <c r="M441" s="8" t="str">
        <f>IF(A441="","",I441+K441+L441)</f>
        <v/>
      </c>
      <c r="N441" s="8" t="str">
        <f>IF(A441="","",H441-M441)</f>
        <v/>
      </c>
    </row>
    <row r="442" spans="1:14" ht="14.25" x14ac:dyDescent="0.15">
      <c r="A442" s="5" t="str">
        <f>IF('بيانات الموظفين'!A442="","",'بيانات الموظفين'!A442)</f>
        <v/>
      </c>
      <c r="B442" s="5" t="str">
        <f>IF(A442="","",'بيانات الموظفين'!B442)</f>
        <v/>
      </c>
      <c r="C442" s="6" t="s">
        <v>25</v>
      </c>
      <c r="D442" s="6">
        <v>2026</v>
      </c>
      <c r="E442" s="6">
        <v>30</v>
      </c>
      <c r="F442" s="7"/>
      <c r="G442" s="7"/>
      <c r="H442" s="8" t="str">
        <f>IF(A442="","",(('بيانات الموظفين'!G442+'بيانات الموظفين'!H442)/30)*MIN(30,MAX(0,E442))+F442+G442)</f>
        <v/>
      </c>
      <c r="I442" s="8" t="str">
        <f>IF(A442="","",MIN(16700,MAX(2700,'بيانات الموظفين'!I442))*11%)</f>
        <v/>
      </c>
      <c r="J442" s="8" t="str">
        <f>IF(A442="","",MAX(0,ROUNDDOWN(H442*12-I442*12-20000,-1)))</f>
        <v/>
      </c>
      <c r="K442" s="8" t="str">
        <f>IF(A442="","",MAX(0,(IF(J442&lt;=40000,0,IF(J442&lt;=60000,(J442-40000)*10%,IF(J442&lt;=70000,2000+(J442-60000)*15%,IF(J442&lt;=200000,3500+(J442-70000)*20%,IF(J442&lt;=400000,29500+(J442-200000)*22.5%,IF(J442&lt;=1000000,74500+(J442-400000)*25%,224500+(J442-1000000)*27.5%)))))))/12))</f>
        <v/>
      </c>
      <c r="L442" s="8" t="str">
        <f>IF(A442="","",IF('كشف التوقيع والملخص'!$B$3="نعم",MAX(0,H442-10000)*0.003,0))</f>
        <v/>
      </c>
      <c r="M442" s="8" t="str">
        <f>IF(A442="","",I442+K442+L442)</f>
        <v/>
      </c>
      <c r="N442" s="8" t="str">
        <f>IF(A442="","",H442-M442)</f>
        <v/>
      </c>
    </row>
    <row r="443" spans="1:14" ht="14.25" x14ac:dyDescent="0.15">
      <c r="A443" s="5" t="str">
        <f>IF('بيانات الموظفين'!A443="","",'بيانات الموظفين'!A443)</f>
        <v/>
      </c>
      <c r="B443" s="5" t="str">
        <f>IF(A443="","",'بيانات الموظفين'!B443)</f>
        <v/>
      </c>
      <c r="C443" s="6" t="s">
        <v>25</v>
      </c>
      <c r="D443" s="6">
        <v>2026</v>
      </c>
      <c r="E443" s="6">
        <v>30</v>
      </c>
      <c r="F443" s="7"/>
      <c r="G443" s="7"/>
      <c r="H443" s="8" t="str">
        <f>IF(A443="","",(('بيانات الموظفين'!G443+'بيانات الموظفين'!H443)/30)*MIN(30,MAX(0,E443))+F443+G443)</f>
        <v/>
      </c>
      <c r="I443" s="8" t="str">
        <f>IF(A443="","",MIN(16700,MAX(2700,'بيانات الموظفين'!I443))*11%)</f>
        <v/>
      </c>
      <c r="J443" s="8" t="str">
        <f>IF(A443="","",MAX(0,ROUNDDOWN(H443*12-I443*12-20000,-1)))</f>
        <v/>
      </c>
      <c r="K443" s="8" t="str">
        <f>IF(A443="","",MAX(0,(IF(J443&lt;=40000,0,IF(J443&lt;=60000,(J443-40000)*10%,IF(J443&lt;=70000,2000+(J443-60000)*15%,IF(J443&lt;=200000,3500+(J443-70000)*20%,IF(J443&lt;=400000,29500+(J443-200000)*22.5%,IF(J443&lt;=1000000,74500+(J443-400000)*25%,224500+(J443-1000000)*27.5%)))))))/12))</f>
        <v/>
      </c>
      <c r="L443" s="8" t="str">
        <f>IF(A443="","",IF('كشف التوقيع والملخص'!$B$3="نعم",MAX(0,H443-10000)*0.003,0))</f>
        <v/>
      </c>
      <c r="M443" s="8" t="str">
        <f>IF(A443="","",I443+K443+L443)</f>
        <v/>
      </c>
      <c r="N443" s="8" t="str">
        <f>IF(A443="","",H443-M443)</f>
        <v/>
      </c>
    </row>
    <row r="444" spans="1:14" ht="14.25" x14ac:dyDescent="0.15">
      <c r="A444" s="5" t="str">
        <f>IF('بيانات الموظفين'!A444="","",'بيانات الموظفين'!A444)</f>
        <v/>
      </c>
      <c r="B444" s="5" t="str">
        <f>IF(A444="","",'بيانات الموظفين'!B444)</f>
        <v/>
      </c>
      <c r="C444" s="6" t="s">
        <v>25</v>
      </c>
      <c r="D444" s="6">
        <v>2026</v>
      </c>
      <c r="E444" s="6">
        <v>30</v>
      </c>
      <c r="F444" s="7"/>
      <c r="G444" s="7"/>
      <c r="H444" s="8" t="str">
        <f>IF(A444="","",(('بيانات الموظفين'!G444+'بيانات الموظفين'!H444)/30)*MIN(30,MAX(0,E444))+F444+G444)</f>
        <v/>
      </c>
      <c r="I444" s="8" t="str">
        <f>IF(A444="","",MIN(16700,MAX(2700,'بيانات الموظفين'!I444))*11%)</f>
        <v/>
      </c>
      <c r="J444" s="8" t="str">
        <f>IF(A444="","",MAX(0,ROUNDDOWN(H444*12-I444*12-20000,-1)))</f>
        <v/>
      </c>
      <c r="K444" s="8" t="str">
        <f>IF(A444="","",MAX(0,(IF(J444&lt;=40000,0,IF(J444&lt;=60000,(J444-40000)*10%,IF(J444&lt;=70000,2000+(J444-60000)*15%,IF(J444&lt;=200000,3500+(J444-70000)*20%,IF(J444&lt;=400000,29500+(J444-200000)*22.5%,IF(J444&lt;=1000000,74500+(J444-400000)*25%,224500+(J444-1000000)*27.5%)))))))/12))</f>
        <v/>
      </c>
      <c r="L444" s="8" t="str">
        <f>IF(A444="","",IF('كشف التوقيع والملخص'!$B$3="نعم",MAX(0,H444-10000)*0.003,0))</f>
        <v/>
      </c>
      <c r="M444" s="8" t="str">
        <f>IF(A444="","",I444+K444+L444)</f>
        <v/>
      </c>
      <c r="N444" s="8" t="str">
        <f>IF(A444="","",H444-M444)</f>
        <v/>
      </c>
    </row>
    <row r="445" spans="1:14" ht="14.25" x14ac:dyDescent="0.15">
      <c r="A445" s="5" t="str">
        <f>IF('بيانات الموظفين'!A445="","",'بيانات الموظفين'!A445)</f>
        <v/>
      </c>
      <c r="B445" s="5" t="str">
        <f>IF(A445="","",'بيانات الموظفين'!B445)</f>
        <v/>
      </c>
      <c r="C445" s="6" t="s">
        <v>25</v>
      </c>
      <c r="D445" s="6">
        <v>2026</v>
      </c>
      <c r="E445" s="6">
        <v>30</v>
      </c>
      <c r="F445" s="7"/>
      <c r="G445" s="7"/>
      <c r="H445" s="8" t="str">
        <f>IF(A445="","",(('بيانات الموظفين'!G445+'بيانات الموظفين'!H445)/30)*MIN(30,MAX(0,E445))+F445+G445)</f>
        <v/>
      </c>
      <c r="I445" s="8" t="str">
        <f>IF(A445="","",MIN(16700,MAX(2700,'بيانات الموظفين'!I445))*11%)</f>
        <v/>
      </c>
      <c r="J445" s="8" t="str">
        <f>IF(A445="","",MAX(0,ROUNDDOWN(H445*12-I445*12-20000,-1)))</f>
        <v/>
      </c>
      <c r="K445" s="8" t="str">
        <f>IF(A445="","",MAX(0,(IF(J445&lt;=40000,0,IF(J445&lt;=60000,(J445-40000)*10%,IF(J445&lt;=70000,2000+(J445-60000)*15%,IF(J445&lt;=200000,3500+(J445-70000)*20%,IF(J445&lt;=400000,29500+(J445-200000)*22.5%,IF(J445&lt;=1000000,74500+(J445-400000)*25%,224500+(J445-1000000)*27.5%)))))))/12))</f>
        <v/>
      </c>
      <c r="L445" s="8" t="str">
        <f>IF(A445="","",IF('كشف التوقيع والملخص'!$B$3="نعم",MAX(0,H445-10000)*0.003,0))</f>
        <v/>
      </c>
      <c r="M445" s="8" t="str">
        <f>IF(A445="","",I445+K445+L445)</f>
        <v/>
      </c>
      <c r="N445" s="8" t="str">
        <f>IF(A445="","",H445-M445)</f>
        <v/>
      </c>
    </row>
    <row r="446" spans="1:14" ht="14.25" x14ac:dyDescent="0.15">
      <c r="A446" s="5" t="str">
        <f>IF('بيانات الموظفين'!A446="","",'بيانات الموظفين'!A446)</f>
        <v/>
      </c>
      <c r="B446" s="5" t="str">
        <f>IF(A446="","",'بيانات الموظفين'!B446)</f>
        <v/>
      </c>
      <c r="C446" s="6" t="s">
        <v>25</v>
      </c>
      <c r="D446" s="6">
        <v>2026</v>
      </c>
      <c r="E446" s="6">
        <v>30</v>
      </c>
      <c r="F446" s="7"/>
      <c r="G446" s="7"/>
      <c r="H446" s="8" t="str">
        <f>IF(A446="","",(('بيانات الموظفين'!G446+'بيانات الموظفين'!H446)/30)*MIN(30,MAX(0,E446))+F446+G446)</f>
        <v/>
      </c>
      <c r="I446" s="8" t="str">
        <f>IF(A446="","",MIN(16700,MAX(2700,'بيانات الموظفين'!I446))*11%)</f>
        <v/>
      </c>
      <c r="J446" s="8" t="str">
        <f>IF(A446="","",MAX(0,ROUNDDOWN(H446*12-I446*12-20000,-1)))</f>
        <v/>
      </c>
      <c r="K446" s="8" t="str">
        <f>IF(A446="","",MAX(0,(IF(J446&lt;=40000,0,IF(J446&lt;=60000,(J446-40000)*10%,IF(J446&lt;=70000,2000+(J446-60000)*15%,IF(J446&lt;=200000,3500+(J446-70000)*20%,IF(J446&lt;=400000,29500+(J446-200000)*22.5%,IF(J446&lt;=1000000,74500+(J446-400000)*25%,224500+(J446-1000000)*27.5%)))))))/12))</f>
        <v/>
      </c>
      <c r="L446" s="8" t="str">
        <f>IF(A446="","",IF('كشف التوقيع والملخص'!$B$3="نعم",MAX(0,H446-10000)*0.003,0))</f>
        <v/>
      </c>
      <c r="M446" s="8" t="str">
        <f>IF(A446="","",I446+K446+L446)</f>
        <v/>
      </c>
      <c r="N446" s="8" t="str">
        <f>IF(A446="","",H446-M446)</f>
        <v/>
      </c>
    </row>
    <row r="447" spans="1:14" ht="14.25" x14ac:dyDescent="0.15">
      <c r="A447" s="5" t="str">
        <f>IF('بيانات الموظفين'!A447="","",'بيانات الموظفين'!A447)</f>
        <v/>
      </c>
      <c r="B447" s="5" t="str">
        <f>IF(A447="","",'بيانات الموظفين'!B447)</f>
        <v/>
      </c>
      <c r="C447" s="6" t="s">
        <v>25</v>
      </c>
      <c r="D447" s="6">
        <v>2026</v>
      </c>
      <c r="E447" s="6">
        <v>30</v>
      </c>
      <c r="F447" s="7"/>
      <c r="G447" s="7"/>
      <c r="H447" s="8" t="str">
        <f>IF(A447="","",(('بيانات الموظفين'!G447+'بيانات الموظفين'!H447)/30)*MIN(30,MAX(0,E447))+F447+G447)</f>
        <v/>
      </c>
      <c r="I447" s="8" t="str">
        <f>IF(A447="","",MIN(16700,MAX(2700,'بيانات الموظفين'!I447))*11%)</f>
        <v/>
      </c>
      <c r="J447" s="8" t="str">
        <f>IF(A447="","",MAX(0,ROUNDDOWN(H447*12-I447*12-20000,-1)))</f>
        <v/>
      </c>
      <c r="K447" s="8" t="str">
        <f>IF(A447="","",MAX(0,(IF(J447&lt;=40000,0,IF(J447&lt;=60000,(J447-40000)*10%,IF(J447&lt;=70000,2000+(J447-60000)*15%,IF(J447&lt;=200000,3500+(J447-70000)*20%,IF(J447&lt;=400000,29500+(J447-200000)*22.5%,IF(J447&lt;=1000000,74500+(J447-400000)*25%,224500+(J447-1000000)*27.5%)))))))/12))</f>
        <v/>
      </c>
      <c r="L447" s="8" t="str">
        <f>IF(A447="","",IF('كشف التوقيع والملخص'!$B$3="نعم",MAX(0,H447-10000)*0.003,0))</f>
        <v/>
      </c>
      <c r="M447" s="8" t="str">
        <f>IF(A447="","",I447+K447+L447)</f>
        <v/>
      </c>
      <c r="N447" s="8" t="str">
        <f>IF(A447="","",H447-M447)</f>
        <v/>
      </c>
    </row>
    <row r="448" spans="1:14" ht="14.25" x14ac:dyDescent="0.15">
      <c r="A448" s="5" t="str">
        <f>IF('بيانات الموظفين'!A448="","",'بيانات الموظفين'!A448)</f>
        <v/>
      </c>
      <c r="B448" s="5" t="str">
        <f>IF(A448="","",'بيانات الموظفين'!B448)</f>
        <v/>
      </c>
      <c r="C448" s="6" t="s">
        <v>25</v>
      </c>
      <c r="D448" s="6">
        <v>2026</v>
      </c>
      <c r="E448" s="6">
        <v>30</v>
      </c>
      <c r="F448" s="7"/>
      <c r="G448" s="7"/>
      <c r="H448" s="8" t="str">
        <f>IF(A448="","",(('بيانات الموظفين'!G448+'بيانات الموظفين'!H448)/30)*MIN(30,MAX(0,E448))+F448+G448)</f>
        <v/>
      </c>
      <c r="I448" s="8" t="str">
        <f>IF(A448="","",MIN(16700,MAX(2700,'بيانات الموظفين'!I448))*11%)</f>
        <v/>
      </c>
      <c r="J448" s="8" t="str">
        <f>IF(A448="","",MAX(0,ROUNDDOWN(H448*12-I448*12-20000,-1)))</f>
        <v/>
      </c>
      <c r="K448" s="8" t="str">
        <f>IF(A448="","",MAX(0,(IF(J448&lt;=40000,0,IF(J448&lt;=60000,(J448-40000)*10%,IF(J448&lt;=70000,2000+(J448-60000)*15%,IF(J448&lt;=200000,3500+(J448-70000)*20%,IF(J448&lt;=400000,29500+(J448-200000)*22.5%,IF(J448&lt;=1000000,74500+(J448-400000)*25%,224500+(J448-1000000)*27.5%)))))))/12))</f>
        <v/>
      </c>
      <c r="L448" s="8" t="str">
        <f>IF(A448="","",IF('كشف التوقيع والملخص'!$B$3="نعم",MAX(0,H448-10000)*0.003,0))</f>
        <v/>
      </c>
      <c r="M448" s="8" t="str">
        <f>IF(A448="","",I448+K448+L448)</f>
        <v/>
      </c>
      <c r="N448" s="8" t="str">
        <f>IF(A448="","",H448-M448)</f>
        <v/>
      </c>
    </row>
    <row r="449" spans="1:14" ht="14.25" x14ac:dyDescent="0.15">
      <c r="A449" s="5" t="str">
        <f>IF('بيانات الموظفين'!A449="","",'بيانات الموظفين'!A449)</f>
        <v/>
      </c>
      <c r="B449" s="5" t="str">
        <f>IF(A449="","",'بيانات الموظفين'!B449)</f>
        <v/>
      </c>
      <c r="C449" s="6" t="s">
        <v>25</v>
      </c>
      <c r="D449" s="6">
        <v>2026</v>
      </c>
      <c r="E449" s="6">
        <v>30</v>
      </c>
      <c r="F449" s="7"/>
      <c r="G449" s="7"/>
      <c r="H449" s="8" t="str">
        <f>IF(A449="","",(('بيانات الموظفين'!G449+'بيانات الموظفين'!H449)/30)*MIN(30,MAX(0,E449))+F449+G449)</f>
        <v/>
      </c>
      <c r="I449" s="8" t="str">
        <f>IF(A449="","",MIN(16700,MAX(2700,'بيانات الموظفين'!I449))*11%)</f>
        <v/>
      </c>
      <c r="J449" s="8" t="str">
        <f>IF(A449="","",MAX(0,ROUNDDOWN(H449*12-I449*12-20000,-1)))</f>
        <v/>
      </c>
      <c r="K449" s="8" t="str">
        <f>IF(A449="","",MAX(0,(IF(J449&lt;=40000,0,IF(J449&lt;=60000,(J449-40000)*10%,IF(J449&lt;=70000,2000+(J449-60000)*15%,IF(J449&lt;=200000,3500+(J449-70000)*20%,IF(J449&lt;=400000,29500+(J449-200000)*22.5%,IF(J449&lt;=1000000,74500+(J449-400000)*25%,224500+(J449-1000000)*27.5%)))))))/12))</f>
        <v/>
      </c>
      <c r="L449" s="8" t="str">
        <f>IF(A449="","",IF('كشف التوقيع والملخص'!$B$3="نعم",MAX(0,H449-10000)*0.003,0))</f>
        <v/>
      </c>
      <c r="M449" s="8" t="str">
        <f>IF(A449="","",I449+K449+L449)</f>
        <v/>
      </c>
      <c r="N449" s="8" t="str">
        <f>IF(A449="","",H449-M449)</f>
        <v/>
      </c>
    </row>
    <row r="450" spans="1:14" ht="14.25" x14ac:dyDescent="0.15">
      <c r="A450" s="5" t="str">
        <f>IF('بيانات الموظفين'!A450="","",'بيانات الموظفين'!A450)</f>
        <v/>
      </c>
      <c r="B450" s="5" t="str">
        <f>IF(A450="","",'بيانات الموظفين'!B450)</f>
        <v/>
      </c>
      <c r="C450" s="6" t="s">
        <v>25</v>
      </c>
      <c r="D450" s="6">
        <v>2026</v>
      </c>
      <c r="E450" s="6">
        <v>30</v>
      </c>
      <c r="F450" s="7"/>
      <c r="G450" s="7"/>
      <c r="H450" s="8" t="str">
        <f>IF(A450="","",(('بيانات الموظفين'!G450+'بيانات الموظفين'!H450)/30)*MIN(30,MAX(0,E450))+F450+G450)</f>
        <v/>
      </c>
      <c r="I450" s="8" t="str">
        <f>IF(A450="","",MIN(16700,MAX(2700,'بيانات الموظفين'!I450))*11%)</f>
        <v/>
      </c>
      <c r="J450" s="8" t="str">
        <f>IF(A450="","",MAX(0,ROUNDDOWN(H450*12-I450*12-20000,-1)))</f>
        <v/>
      </c>
      <c r="K450" s="8" t="str">
        <f>IF(A450="","",MAX(0,(IF(J450&lt;=40000,0,IF(J450&lt;=60000,(J450-40000)*10%,IF(J450&lt;=70000,2000+(J450-60000)*15%,IF(J450&lt;=200000,3500+(J450-70000)*20%,IF(J450&lt;=400000,29500+(J450-200000)*22.5%,IF(J450&lt;=1000000,74500+(J450-400000)*25%,224500+(J450-1000000)*27.5%)))))))/12))</f>
        <v/>
      </c>
      <c r="L450" s="8" t="str">
        <f>IF(A450="","",IF('كشف التوقيع والملخص'!$B$3="نعم",MAX(0,H450-10000)*0.003,0))</f>
        <v/>
      </c>
      <c r="M450" s="8" t="str">
        <f>IF(A450="","",I450+K450+L450)</f>
        <v/>
      </c>
      <c r="N450" s="8" t="str">
        <f>IF(A450="","",H450-M450)</f>
        <v/>
      </c>
    </row>
    <row r="451" spans="1:14" ht="14.25" x14ac:dyDescent="0.15">
      <c r="A451" s="5" t="str">
        <f>IF('بيانات الموظفين'!A451="","",'بيانات الموظفين'!A451)</f>
        <v/>
      </c>
      <c r="B451" s="5" t="str">
        <f>IF(A451="","",'بيانات الموظفين'!B451)</f>
        <v/>
      </c>
      <c r="C451" s="6" t="s">
        <v>25</v>
      </c>
      <c r="D451" s="6">
        <v>2026</v>
      </c>
      <c r="E451" s="6">
        <v>30</v>
      </c>
      <c r="F451" s="7"/>
      <c r="G451" s="7"/>
      <c r="H451" s="8" t="str">
        <f>IF(A451="","",(('بيانات الموظفين'!G451+'بيانات الموظفين'!H451)/30)*MIN(30,MAX(0,E451))+F451+G451)</f>
        <v/>
      </c>
      <c r="I451" s="8" t="str">
        <f>IF(A451="","",MIN(16700,MAX(2700,'بيانات الموظفين'!I451))*11%)</f>
        <v/>
      </c>
      <c r="J451" s="8" t="str">
        <f>IF(A451="","",MAX(0,ROUNDDOWN(H451*12-I451*12-20000,-1)))</f>
        <v/>
      </c>
      <c r="K451" s="8" t="str">
        <f>IF(A451="","",MAX(0,(IF(J451&lt;=40000,0,IF(J451&lt;=60000,(J451-40000)*10%,IF(J451&lt;=70000,2000+(J451-60000)*15%,IF(J451&lt;=200000,3500+(J451-70000)*20%,IF(J451&lt;=400000,29500+(J451-200000)*22.5%,IF(J451&lt;=1000000,74500+(J451-400000)*25%,224500+(J451-1000000)*27.5%)))))))/12))</f>
        <v/>
      </c>
      <c r="L451" s="8" t="str">
        <f>IF(A451="","",IF('كشف التوقيع والملخص'!$B$3="نعم",MAX(0,H451-10000)*0.003,0))</f>
        <v/>
      </c>
      <c r="M451" s="8" t="str">
        <f>IF(A451="","",I451+K451+L451)</f>
        <v/>
      </c>
      <c r="N451" s="8" t="str">
        <f>IF(A451="","",H451-M451)</f>
        <v/>
      </c>
    </row>
    <row r="452" spans="1:14" ht="14.25" x14ac:dyDescent="0.15">
      <c r="A452" s="5" t="str">
        <f>IF('بيانات الموظفين'!A452="","",'بيانات الموظفين'!A452)</f>
        <v/>
      </c>
      <c r="B452" s="5" t="str">
        <f>IF(A452="","",'بيانات الموظفين'!B452)</f>
        <v/>
      </c>
      <c r="C452" s="6" t="s">
        <v>25</v>
      </c>
      <c r="D452" s="6">
        <v>2026</v>
      </c>
      <c r="E452" s="6">
        <v>30</v>
      </c>
      <c r="F452" s="7"/>
      <c r="G452" s="7"/>
      <c r="H452" s="8" t="str">
        <f>IF(A452="","",(('بيانات الموظفين'!G452+'بيانات الموظفين'!H452)/30)*MIN(30,MAX(0,E452))+F452+G452)</f>
        <v/>
      </c>
      <c r="I452" s="8" t="str">
        <f>IF(A452="","",MIN(16700,MAX(2700,'بيانات الموظفين'!I452))*11%)</f>
        <v/>
      </c>
      <c r="J452" s="8" t="str">
        <f>IF(A452="","",MAX(0,ROUNDDOWN(H452*12-I452*12-20000,-1)))</f>
        <v/>
      </c>
      <c r="K452" s="8" t="str">
        <f>IF(A452="","",MAX(0,(IF(J452&lt;=40000,0,IF(J452&lt;=60000,(J452-40000)*10%,IF(J452&lt;=70000,2000+(J452-60000)*15%,IF(J452&lt;=200000,3500+(J452-70000)*20%,IF(J452&lt;=400000,29500+(J452-200000)*22.5%,IF(J452&lt;=1000000,74500+(J452-400000)*25%,224500+(J452-1000000)*27.5%)))))))/12))</f>
        <v/>
      </c>
      <c r="L452" s="8" t="str">
        <f>IF(A452="","",IF('كشف التوقيع والملخص'!$B$3="نعم",MAX(0,H452-10000)*0.003,0))</f>
        <v/>
      </c>
      <c r="M452" s="8" t="str">
        <f>IF(A452="","",I452+K452+L452)</f>
        <v/>
      </c>
      <c r="N452" s="8" t="str">
        <f>IF(A452="","",H452-M452)</f>
        <v/>
      </c>
    </row>
    <row r="453" spans="1:14" ht="14.25" x14ac:dyDescent="0.15">
      <c r="A453" s="5" t="str">
        <f>IF('بيانات الموظفين'!A453="","",'بيانات الموظفين'!A453)</f>
        <v/>
      </c>
      <c r="B453" s="5" t="str">
        <f>IF(A453="","",'بيانات الموظفين'!B453)</f>
        <v/>
      </c>
      <c r="C453" s="6" t="s">
        <v>25</v>
      </c>
      <c r="D453" s="6">
        <v>2026</v>
      </c>
      <c r="E453" s="6">
        <v>30</v>
      </c>
      <c r="F453" s="7"/>
      <c r="G453" s="7"/>
      <c r="H453" s="8" t="str">
        <f>IF(A453="","",(('بيانات الموظفين'!G453+'بيانات الموظفين'!H453)/30)*MIN(30,MAX(0,E453))+F453+G453)</f>
        <v/>
      </c>
      <c r="I453" s="8" t="str">
        <f>IF(A453="","",MIN(16700,MAX(2700,'بيانات الموظفين'!I453))*11%)</f>
        <v/>
      </c>
      <c r="J453" s="8" t="str">
        <f>IF(A453="","",MAX(0,ROUNDDOWN(H453*12-I453*12-20000,-1)))</f>
        <v/>
      </c>
      <c r="K453" s="8" t="str">
        <f>IF(A453="","",MAX(0,(IF(J453&lt;=40000,0,IF(J453&lt;=60000,(J453-40000)*10%,IF(J453&lt;=70000,2000+(J453-60000)*15%,IF(J453&lt;=200000,3500+(J453-70000)*20%,IF(J453&lt;=400000,29500+(J453-200000)*22.5%,IF(J453&lt;=1000000,74500+(J453-400000)*25%,224500+(J453-1000000)*27.5%)))))))/12))</f>
        <v/>
      </c>
      <c r="L453" s="8" t="str">
        <f>IF(A453="","",IF('كشف التوقيع والملخص'!$B$3="نعم",MAX(0,H453-10000)*0.003,0))</f>
        <v/>
      </c>
      <c r="M453" s="8" t="str">
        <f>IF(A453="","",I453+K453+L453)</f>
        <v/>
      </c>
      <c r="N453" s="8" t="str">
        <f>IF(A453="","",H453-M453)</f>
        <v/>
      </c>
    </row>
    <row r="454" spans="1:14" ht="14.25" x14ac:dyDescent="0.15">
      <c r="A454" s="5" t="str">
        <f>IF('بيانات الموظفين'!A454="","",'بيانات الموظفين'!A454)</f>
        <v/>
      </c>
      <c r="B454" s="5" t="str">
        <f>IF(A454="","",'بيانات الموظفين'!B454)</f>
        <v/>
      </c>
      <c r="C454" s="6" t="s">
        <v>25</v>
      </c>
      <c r="D454" s="6">
        <v>2026</v>
      </c>
      <c r="E454" s="6">
        <v>30</v>
      </c>
      <c r="F454" s="7"/>
      <c r="G454" s="7"/>
      <c r="H454" s="8" t="str">
        <f>IF(A454="","",(('بيانات الموظفين'!G454+'بيانات الموظفين'!H454)/30)*MIN(30,MAX(0,E454))+F454+G454)</f>
        <v/>
      </c>
      <c r="I454" s="8" t="str">
        <f>IF(A454="","",MIN(16700,MAX(2700,'بيانات الموظفين'!I454))*11%)</f>
        <v/>
      </c>
      <c r="J454" s="8" t="str">
        <f>IF(A454="","",MAX(0,ROUNDDOWN(H454*12-I454*12-20000,-1)))</f>
        <v/>
      </c>
      <c r="K454" s="8" t="str">
        <f>IF(A454="","",MAX(0,(IF(J454&lt;=40000,0,IF(J454&lt;=60000,(J454-40000)*10%,IF(J454&lt;=70000,2000+(J454-60000)*15%,IF(J454&lt;=200000,3500+(J454-70000)*20%,IF(J454&lt;=400000,29500+(J454-200000)*22.5%,IF(J454&lt;=1000000,74500+(J454-400000)*25%,224500+(J454-1000000)*27.5%)))))))/12))</f>
        <v/>
      </c>
      <c r="L454" s="8" t="str">
        <f>IF(A454="","",IF('كشف التوقيع والملخص'!$B$3="نعم",MAX(0,H454-10000)*0.003,0))</f>
        <v/>
      </c>
      <c r="M454" s="8" t="str">
        <f>IF(A454="","",I454+K454+L454)</f>
        <v/>
      </c>
      <c r="N454" s="8" t="str">
        <f>IF(A454="","",H454-M454)</f>
        <v/>
      </c>
    </row>
    <row r="455" spans="1:14" ht="14.25" x14ac:dyDescent="0.15">
      <c r="A455" s="5" t="str">
        <f>IF('بيانات الموظفين'!A455="","",'بيانات الموظفين'!A455)</f>
        <v/>
      </c>
      <c r="B455" s="5" t="str">
        <f>IF(A455="","",'بيانات الموظفين'!B455)</f>
        <v/>
      </c>
      <c r="C455" s="6" t="s">
        <v>25</v>
      </c>
      <c r="D455" s="6">
        <v>2026</v>
      </c>
      <c r="E455" s="6">
        <v>30</v>
      </c>
      <c r="F455" s="7"/>
      <c r="G455" s="7"/>
      <c r="H455" s="8" t="str">
        <f>IF(A455="","",(('بيانات الموظفين'!G455+'بيانات الموظفين'!H455)/30)*MIN(30,MAX(0,E455))+F455+G455)</f>
        <v/>
      </c>
      <c r="I455" s="8" t="str">
        <f>IF(A455="","",MIN(16700,MAX(2700,'بيانات الموظفين'!I455))*11%)</f>
        <v/>
      </c>
      <c r="J455" s="8" t="str">
        <f>IF(A455="","",MAX(0,ROUNDDOWN(H455*12-I455*12-20000,-1)))</f>
        <v/>
      </c>
      <c r="K455" s="8" t="str">
        <f>IF(A455="","",MAX(0,(IF(J455&lt;=40000,0,IF(J455&lt;=60000,(J455-40000)*10%,IF(J455&lt;=70000,2000+(J455-60000)*15%,IF(J455&lt;=200000,3500+(J455-70000)*20%,IF(J455&lt;=400000,29500+(J455-200000)*22.5%,IF(J455&lt;=1000000,74500+(J455-400000)*25%,224500+(J455-1000000)*27.5%)))))))/12))</f>
        <v/>
      </c>
      <c r="L455" s="8" t="str">
        <f>IF(A455="","",IF('كشف التوقيع والملخص'!$B$3="نعم",MAX(0,H455-10000)*0.003,0))</f>
        <v/>
      </c>
      <c r="M455" s="8" t="str">
        <f>IF(A455="","",I455+K455+L455)</f>
        <v/>
      </c>
      <c r="N455" s="8" t="str">
        <f>IF(A455="","",H455-M455)</f>
        <v/>
      </c>
    </row>
    <row r="456" spans="1:14" ht="14.25" x14ac:dyDescent="0.15">
      <c r="A456" s="5" t="str">
        <f>IF('بيانات الموظفين'!A456="","",'بيانات الموظفين'!A456)</f>
        <v/>
      </c>
      <c r="B456" s="5" t="str">
        <f>IF(A456="","",'بيانات الموظفين'!B456)</f>
        <v/>
      </c>
      <c r="C456" s="6" t="s">
        <v>25</v>
      </c>
      <c r="D456" s="6">
        <v>2026</v>
      </c>
      <c r="E456" s="6">
        <v>30</v>
      </c>
      <c r="F456" s="7"/>
      <c r="G456" s="7"/>
      <c r="H456" s="8" t="str">
        <f>IF(A456="","",(('بيانات الموظفين'!G456+'بيانات الموظفين'!H456)/30)*MIN(30,MAX(0,E456))+F456+G456)</f>
        <v/>
      </c>
      <c r="I456" s="8" t="str">
        <f>IF(A456="","",MIN(16700,MAX(2700,'بيانات الموظفين'!I456))*11%)</f>
        <v/>
      </c>
      <c r="J456" s="8" t="str">
        <f>IF(A456="","",MAX(0,ROUNDDOWN(H456*12-I456*12-20000,-1)))</f>
        <v/>
      </c>
      <c r="K456" s="8" t="str">
        <f>IF(A456="","",MAX(0,(IF(J456&lt;=40000,0,IF(J456&lt;=60000,(J456-40000)*10%,IF(J456&lt;=70000,2000+(J456-60000)*15%,IF(J456&lt;=200000,3500+(J456-70000)*20%,IF(J456&lt;=400000,29500+(J456-200000)*22.5%,IF(J456&lt;=1000000,74500+(J456-400000)*25%,224500+(J456-1000000)*27.5%)))))))/12))</f>
        <v/>
      </c>
      <c r="L456" s="8" t="str">
        <f>IF(A456="","",IF('كشف التوقيع والملخص'!$B$3="نعم",MAX(0,H456-10000)*0.003,0))</f>
        <v/>
      </c>
      <c r="M456" s="8" t="str">
        <f>IF(A456="","",I456+K456+L456)</f>
        <v/>
      </c>
      <c r="N456" s="8" t="str">
        <f>IF(A456="","",H456-M456)</f>
        <v/>
      </c>
    </row>
    <row r="457" spans="1:14" ht="14.25" x14ac:dyDescent="0.15">
      <c r="A457" s="5" t="str">
        <f>IF('بيانات الموظفين'!A457="","",'بيانات الموظفين'!A457)</f>
        <v/>
      </c>
      <c r="B457" s="5" t="str">
        <f>IF(A457="","",'بيانات الموظفين'!B457)</f>
        <v/>
      </c>
      <c r="C457" s="6" t="s">
        <v>25</v>
      </c>
      <c r="D457" s="6">
        <v>2026</v>
      </c>
      <c r="E457" s="6">
        <v>30</v>
      </c>
      <c r="F457" s="7"/>
      <c r="G457" s="7"/>
      <c r="H457" s="8" t="str">
        <f>IF(A457="","",(('بيانات الموظفين'!G457+'بيانات الموظفين'!H457)/30)*MIN(30,MAX(0,E457))+F457+G457)</f>
        <v/>
      </c>
      <c r="I457" s="8" t="str">
        <f>IF(A457="","",MIN(16700,MAX(2700,'بيانات الموظفين'!I457))*11%)</f>
        <v/>
      </c>
      <c r="J457" s="8" t="str">
        <f>IF(A457="","",MAX(0,ROUNDDOWN(H457*12-I457*12-20000,-1)))</f>
        <v/>
      </c>
      <c r="K457" s="8" t="str">
        <f>IF(A457="","",MAX(0,(IF(J457&lt;=40000,0,IF(J457&lt;=60000,(J457-40000)*10%,IF(J457&lt;=70000,2000+(J457-60000)*15%,IF(J457&lt;=200000,3500+(J457-70000)*20%,IF(J457&lt;=400000,29500+(J457-200000)*22.5%,IF(J457&lt;=1000000,74500+(J457-400000)*25%,224500+(J457-1000000)*27.5%)))))))/12))</f>
        <v/>
      </c>
      <c r="L457" s="8" t="str">
        <f>IF(A457="","",IF('كشف التوقيع والملخص'!$B$3="نعم",MAX(0,H457-10000)*0.003,0))</f>
        <v/>
      </c>
      <c r="M457" s="8" t="str">
        <f>IF(A457="","",I457+K457+L457)</f>
        <v/>
      </c>
      <c r="N457" s="8" t="str">
        <f>IF(A457="","",H457-M457)</f>
        <v/>
      </c>
    </row>
    <row r="458" spans="1:14" ht="14.25" x14ac:dyDescent="0.15">
      <c r="A458" s="5" t="str">
        <f>IF('بيانات الموظفين'!A458="","",'بيانات الموظفين'!A458)</f>
        <v/>
      </c>
      <c r="B458" s="5" t="str">
        <f>IF(A458="","",'بيانات الموظفين'!B458)</f>
        <v/>
      </c>
      <c r="C458" s="6" t="s">
        <v>25</v>
      </c>
      <c r="D458" s="6">
        <v>2026</v>
      </c>
      <c r="E458" s="6">
        <v>30</v>
      </c>
      <c r="F458" s="7"/>
      <c r="G458" s="7"/>
      <c r="H458" s="8" t="str">
        <f>IF(A458="","",(('بيانات الموظفين'!G458+'بيانات الموظفين'!H458)/30)*MIN(30,MAX(0,E458))+F458+G458)</f>
        <v/>
      </c>
      <c r="I458" s="8" t="str">
        <f>IF(A458="","",MIN(16700,MAX(2700,'بيانات الموظفين'!I458))*11%)</f>
        <v/>
      </c>
      <c r="J458" s="8" t="str">
        <f>IF(A458="","",MAX(0,ROUNDDOWN(H458*12-I458*12-20000,-1)))</f>
        <v/>
      </c>
      <c r="K458" s="8" t="str">
        <f>IF(A458="","",MAX(0,(IF(J458&lt;=40000,0,IF(J458&lt;=60000,(J458-40000)*10%,IF(J458&lt;=70000,2000+(J458-60000)*15%,IF(J458&lt;=200000,3500+(J458-70000)*20%,IF(J458&lt;=400000,29500+(J458-200000)*22.5%,IF(J458&lt;=1000000,74500+(J458-400000)*25%,224500+(J458-1000000)*27.5%)))))))/12))</f>
        <v/>
      </c>
      <c r="L458" s="8" t="str">
        <f>IF(A458="","",IF('كشف التوقيع والملخص'!$B$3="نعم",MAX(0,H458-10000)*0.003,0))</f>
        <v/>
      </c>
      <c r="M458" s="8" t="str">
        <f>IF(A458="","",I458+K458+L458)</f>
        <v/>
      </c>
      <c r="N458" s="8" t="str">
        <f>IF(A458="","",H458-M458)</f>
        <v/>
      </c>
    </row>
    <row r="459" spans="1:14" ht="14.25" x14ac:dyDescent="0.15">
      <c r="A459" s="5" t="str">
        <f>IF('بيانات الموظفين'!A459="","",'بيانات الموظفين'!A459)</f>
        <v/>
      </c>
      <c r="B459" s="5" t="str">
        <f>IF(A459="","",'بيانات الموظفين'!B459)</f>
        <v/>
      </c>
      <c r="C459" s="6" t="s">
        <v>25</v>
      </c>
      <c r="D459" s="6">
        <v>2026</v>
      </c>
      <c r="E459" s="6">
        <v>30</v>
      </c>
      <c r="F459" s="7"/>
      <c r="G459" s="7"/>
      <c r="H459" s="8" t="str">
        <f>IF(A459="","",(('بيانات الموظفين'!G459+'بيانات الموظفين'!H459)/30)*MIN(30,MAX(0,E459))+F459+G459)</f>
        <v/>
      </c>
      <c r="I459" s="8" t="str">
        <f>IF(A459="","",MIN(16700,MAX(2700,'بيانات الموظفين'!I459))*11%)</f>
        <v/>
      </c>
      <c r="J459" s="8" t="str">
        <f>IF(A459="","",MAX(0,ROUNDDOWN(H459*12-I459*12-20000,-1)))</f>
        <v/>
      </c>
      <c r="K459" s="8" t="str">
        <f>IF(A459="","",MAX(0,(IF(J459&lt;=40000,0,IF(J459&lt;=60000,(J459-40000)*10%,IF(J459&lt;=70000,2000+(J459-60000)*15%,IF(J459&lt;=200000,3500+(J459-70000)*20%,IF(J459&lt;=400000,29500+(J459-200000)*22.5%,IF(J459&lt;=1000000,74500+(J459-400000)*25%,224500+(J459-1000000)*27.5%)))))))/12))</f>
        <v/>
      </c>
      <c r="L459" s="8" t="str">
        <f>IF(A459="","",IF('كشف التوقيع والملخص'!$B$3="نعم",MAX(0,H459-10000)*0.003,0))</f>
        <v/>
      </c>
      <c r="M459" s="8" t="str">
        <f>IF(A459="","",I459+K459+L459)</f>
        <v/>
      </c>
      <c r="N459" s="8" t="str">
        <f>IF(A459="","",H459-M459)</f>
        <v/>
      </c>
    </row>
    <row r="460" spans="1:14" ht="14.25" x14ac:dyDescent="0.15">
      <c r="A460" s="5" t="str">
        <f>IF('بيانات الموظفين'!A460="","",'بيانات الموظفين'!A460)</f>
        <v/>
      </c>
      <c r="B460" s="5" t="str">
        <f>IF(A460="","",'بيانات الموظفين'!B460)</f>
        <v/>
      </c>
      <c r="C460" s="6" t="s">
        <v>25</v>
      </c>
      <c r="D460" s="6">
        <v>2026</v>
      </c>
      <c r="E460" s="6">
        <v>30</v>
      </c>
      <c r="F460" s="7"/>
      <c r="G460" s="7"/>
      <c r="H460" s="8" t="str">
        <f>IF(A460="","",(('بيانات الموظفين'!G460+'بيانات الموظفين'!H460)/30)*MIN(30,MAX(0,E460))+F460+G460)</f>
        <v/>
      </c>
      <c r="I460" s="8" t="str">
        <f>IF(A460="","",MIN(16700,MAX(2700,'بيانات الموظفين'!I460))*11%)</f>
        <v/>
      </c>
      <c r="J460" s="8" t="str">
        <f>IF(A460="","",MAX(0,ROUNDDOWN(H460*12-I460*12-20000,-1)))</f>
        <v/>
      </c>
      <c r="K460" s="8" t="str">
        <f>IF(A460="","",MAX(0,(IF(J460&lt;=40000,0,IF(J460&lt;=60000,(J460-40000)*10%,IF(J460&lt;=70000,2000+(J460-60000)*15%,IF(J460&lt;=200000,3500+(J460-70000)*20%,IF(J460&lt;=400000,29500+(J460-200000)*22.5%,IF(J460&lt;=1000000,74500+(J460-400000)*25%,224500+(J460-1000000)*27.5%)))))))/12))</f>
        <v/>
      </c>
      <c r="L460" s="8" t="str">
        <f>IF(A460="","",IF('كشف التوقيع والملخص'!$B$3="نعم",MAX(0,H460-10000)*0.003,0))</f>
        <v/>
      </c>
      <c r="M460" s="8" t="str">
        <f>IF(A460="","",I460+K460+L460)</f>
        <v/>
      </c>
      <c r="N460" s="8" t="str">
        <f>IF(A460="","",H460-M460)</f>
        <v/>
      </c>
    </row>
    <row r="461" spans="1:14" ht="14.25" x14ac:dyDescent="0.15">
      <c r="A461" s="5" t="str">
        <f>IF('بيانات الموظفين'!A461="","",'بيانات الموظفين'!A461)</f>
        <v/>
      </c>
      <c r="B461" s="5" t="str">
        <f>IF(A461="","",'بيانات الموظفين'!B461)</f>
        <v/>
      </c>
      <c r="C461" s="6" t="s">
        <v>25</v>
      </c>
      <c r="D461" s="6">
        <v>2026</v>
      </c>
      <c r="E461" s="6">
        <v>30</v>
      </c>
      <c r="F461" s="7"/>
      <c r="G461" s="7"/>
      <c r="H461" s="8" t="str">
        <f>IF(A461="","",(('بيانات الموظفين'!G461+'بيانات الموظفين'!H461)/30)*MIN(30,MAX(0,E461))+F461+G461)</f>
        <v/>
      </c>
      <c r="I461" s="8" t="str">
        <f>IF(A461="","",MIN(16700,MAX(2700,'بيانات الموظفين'!I461))*11%)</f>
        <v/>
      </c>
      <c r="J461" s="8" t="str">
        <f>IF(A461="","",MAX(0,ROUNDDOWN(H461*12-I461*12-20000,-1)))</f>
        <v/>
      </c>
      <c r="K461" s="8" t="str">
        <f>IF(A461="","",MAX(0,(IF(J461&lt;=40000,0,IF(J461&lt;=60000,(J461-40000)*10%,IF(J461&lt;=70000,2000+(J461-60000)*15%,IF(J461&lt;=200000,3500+(J461-70000)*20%,IF(J461&lt;=400000,29500+(J461-200000)*22.5%,IF(J461&lt;=1000000,74500+(J461-400000)*25%,224500+(J461-1000000)*27.5%)))))))/12))</f>
        <v/>
      </c>
      <c r="L461" s="8" t="str">
        <f>IF(A461="","",IF('كشف التوقيع والملخص'!$B$3="نعم",MAX(0,H461-10000)*0.003,0))</f>
        <v/>
      </c>
      <c r="M461" s="8" t="str">
        <f>IF(A461="","",I461+K461+L461)</f>
        <v/>
      </c>
      <c r="N461" s="8" t="str">
        <f>IF(A461="","",H461-M461)</f>
        <v/>
      </c>
    </row>
    <row r="462" spans="1:14" ht="14.25" x14ac:dyDescent="0.15">
      <c r="A462" s="5" t="str">
        <f>IF('بيانات الموظفين'!A462="","",'بيانات الموظفين'!A462)</f>
        <v/>
      </c>
      <c r="B462" s="5" t="str">
        <f>IF(A462="","",'بيانات الموظفين'!B462)</f>
        <v/>
      </c>
      <c r="C462" s="6" t="s">
        <v>25</v>
      </c>
      <c r="D462" s="6">
        <v>2026</v>
      </c>
      <c r="E462" s="6">
        <v>30</v>
      </c>
      <c r="F462" s="7"/>
      <c r="G462" s="7"/>
      <c r="H462" s="8" t="str">
        <f>IF(A462="","",(('بيانات الموظفين'!G462+'بيانات الموظفين'!H462)/30)*MIN(30,MAX(0,E462))+F462+G462)</f>
        <v/>
      </c>
      <c r="I462" s="8" t="str">
        <f>IF(A462="","",MIN(16700,MAX(2700,'بيانات الموظفين'!I462))*11%)</f>
        <v/>
      </c>
      <c r="J462" s="8" t="str">
        <f>IF(A462="","",MAX(0,ROUNDDOWN(H462*12-I462*12-20000,-1)))</f>
        <v/>
      </c>
      <c r="K462" s="8" t="str">
        <f>IF(A462="","",MAX(0,(IF(J462&lt;=40000,0,IF(J462&lt;=60000,(J462-40000)*10%,IF(J462&lt;=70000,2000+(J462-60000)*15%,IF(J462&lt;=200000,3500+(J462-70000)*20%,IF(J462&lt;=400000,29500+(J462-200000)*22.5%,IF(J462&lt;=1000000,74500+(J462-400000)*25%,224500+(J462-1000000)*27.5%)))))))/12))</f>
        <v/>
      </c>
      <c r="L462" s="8" t="str">
        <f>IF(A462="","",IF('كشف التوقيع والملخص'!$B$3="نعم",MAX(0,H462-10000)*0.003,0))</f>
        <v/>
      </c>
      <c r="M462" s="8" t="str">
        <f>IF(A462="","",I462+K462+L462)</f>
        <v/>
      </c>
      <c r="N462" s="8" t="str">
        <f>IF(A462="","",H462-M462)</f>
        <v/>
      </c>
    </row>
    <row r="463" spans="1:14" ht="14.25" x14ac:dyDescent="0.15">
      <c r="A463" s="5" t="str">
        <f>IF('بيانات الموظفين'!A463="","",'بيانات الموظفين'!A463)</f>
        <v/>
      </c>
      <c r="B463" s="5" t="str">
        <f>IF(A463="","",'بيانات الموظفين'!B463)</f>
        <v/>
      </c>
      <c r="C463" s="6" t="s">
        <v>25</v>
      </c>
      <c r="D463" s="6">
        <v>2026</v>
      </c>
      <c r="E463" s="6">
        <v>30</v>
      </c>
      <c r="F463" s="7"/>
      <c r="G463" s="7"/>
      <c r="H463" s="8" t="str">
        <f>IF(A463="","",(('بيانات الموظفين'!G463+'بيانات الموظفين'!H463)/30)*MIN(30,MAX(0,E463))+F463+G463)</f>
        <v/>
      </c>
      <c r="I463" s="8" t="str">
        <f>IF(A463="","",MIN(16700,MAX(2700,'بيانات الموظفين'!I463))*11%)</f>
        <v/>
      </c>
      <c r="J463" s="8" t="str">
        <f>IF(A463="","",MAX(0,ROUNDDOWN(H463*12-I463*12-20000,-1)))</f>
        <v/>
      </c>
      <c r="K463" s="8" t="str">
        <f>IF(A463="","",MAX(0,(IF(J463&lt;=40000,0,IF(J463&lt;=60000,(J463-40000)*10%,IF(J463&lt;=70000,2000+(J463-60000)*15%,IF(J463&lt;=200000,3500+(J463-70000)*20%,IF(J463&lt;=400000,29500+(J463-200000)*22.5%,IF(J463&lt;=1000000,74500+(J463-400000)*25%,224500+(J463-1000000)*27.5%)))))))/12))</f>
        <v/>
      </c>
      <c r="L463" s="8" t="str">
        <f>IF(A463="","",IF('كشف التوقيع والملخص'!$B$3="نعم",MAX(0,H463-10000)*0.003,0))</f>
        <v/>
      </c>
      <c r="M463" s="8" t="str">
        <f>IF(A463="","",I463+K463+L463)</f>
        <v/>
      </c>
      <c r="N463" s="8" t="str">
        <f>IF(A463="","",H463-M463)</f>
        <v/>
      </c>
    </row>
    <row r="464" spans="1:14" ht="14.25" x14ac:dyDescent="0.15">
      <c r="A464" s="5" t="str">
        <f>IF('بيانات الموظفين'!A464="","",'بيانات الموظفين'!A464)</f>
        <v/>
      </c>
      <c r="B464" s="5" t="str">
        <f>IF(A464="","",'بيانات الموظفين'!B464)</f>
        <v/>
      </c>
      <c r="C464" s="6" t="s">
        <v>25</v>
      </c>
      <c r="D464" s="6">
        <v>2026</v>
      </c>
      <c r="E464" s="6">
        <v>30</v>
      </c>
      <c r="F464" s="7"/>
      <c r="G464" s="7"/>
      <c r="H464" s="8" t="str">
        <f>IF(A464="","",(('بيانات الموظفين'!G464+'بيانات الموظفين'!H464)/30)*MIN(30,MAX(0,E464))+F464+G464)</f>
        <v/>
      </c>
      <c r="I464" s="8" t="str">
        <f>IF(A464="","",MIN(16700,MAX(2700,'بيانات الموظفين'!I464))*11%)</f>
        <v/>
      </c>
      <c r="J464" s="8" t="str">
        <f>IF(A464="","",MAX(0,ROUNDDOWN(H464*12-I464*12-20000,-1)))</f>
        <v/>
      </c>
      <c r="K464" s="8" t="str">
        <f>IF(A464="","",MAX(0,(IF(J464&lt;=40000,0,IF(J464&lt;=60000,(J464-40000)*10%,IF(J464&lt;=70000,2000+(J464-60000)*15%,IF(J464&lt;=200000,3500+(J464-70000)*20%,IF(J464&lt;=400000,29500+(J464-200000)*22.5%,IF(J464&lt;=1000000,74500+(J464-400000)*25%,224500+(J464-1000000)*27.5%)))))))/12))</f>
        <v/>
      </c>
      <c r="L464" s="8" t="str">
        <f>IF(A464="","",IF('كشف التوقيع والملخص'!$B$3="نعم",MAX(0,H464-10000)*0.003,0))</f>
        <v/>
      </c>
      <c r="M464" s="8" t="str">
        <f>IF(A464="","",I464+K464+L464)</f>
        <v/>
      </c>
      <c r="N464" s="8" t="str">
        <f>IF(A464="","",H464-M464)</f>
        <v/>
      </c>
    </row>
    <row r="465" spans="1:14" ht="14.25" x14ac:dyDescent="0.15">
      <c r="A465" s="5" t="str">
        <f>IF('بيانات الموظفين'!A465="","",'بيانات الموظفين'!A465)</f>
        <v/>
      </c>
      <c r="B465" s="5" t="str">
        <f>IF(A465="","",'بيانات الموظفين'!B465)</f>
        <v/>
      </c>
      <c r="C465" s="6" t="s">
        <v>25</v>
      </c>
      <c r="D465" s="6">
        <v>2026</v>
      </c>
      <c r="E465" s="6">
        <v>30</v>
      </c>
      <c r="F465" s="7"/>
      <c r="G465" s="7"/>
      <c r="H465" s="8" t="str">
        <f>IF(A465="","",(('بيانات الموظفين'!G465+'بيانات الموظفين'!H465)/30)*MIN(30,MAX(0,E465))+F465+G465)</f>
        <v/>
      </c>
      <c r="I465" s="8" t="str">
        <f>IF(A465="","",MIN(16700,MAX(2700,'بيانات الموظفين'!I465))*11%)</f>
        <v/>
      </c>
      <c r="J465" s="8" t="str">
        <f>IF(A465="","",MAX(0,ROUNDDOWN(H465*12-I465*12-20000,-1)))</f>
        <v/>
      </c>
      <c r="K465" s="8" t="str">
        <f>IF(A465="","",MAX(0,(IF(J465&lt;=40000,0,IF(J465&lt;=60000,(J465-40000)*10%,IF(J465&lt;=70000,2000+(J465-60000)*15%,IF(J465&lt;=200000,3500+(J465-70000)*20%,IF(J465&lt;=400000,29500+(J465-200000)*22.5%,IF(J465&lt;=1000000,74500+(J465-400000)*25%,224500+(J465-1000000)*27.5%)))))))/12))</f>
        <v/>
      </c>
      <c r="L465" s="8" t="str">
        <f>IF(A465="","",IF('كشف التوقيع والملخص'!$B$3="نعم",MAX(0,H465-10000)*0.003,0))</f>
        <v/>
      </c>
      <c r="M465" s="8" t="str">
        <f>IF(A465="","",I465+K465+L465)</f>
        <v/>
      </c>
      <c r="N465" s="8" t="str">
        <f>IF(A465="","",H465-M465)</f>
        <v/>
      </c>
    </row>
    <row r="466" spans="1:14" ht="14.25" x14ac:dyDescent="0.15">
      <c r="A466" s="5" t="str">
        <f>IF('بيانات الموظفين'!A466="","",'بيانات الموظفين'!A466)</f>
        <v/>
      </c>
      <c r="B466" s="5" t="str">
        <f>IF(A466="","",'بيانات الموظفين'!B466)</f>
        <v/>
      </c>
      <c r="C466" s="6" t="s">
        <v>25</v>
      </c>
      <c r="D466" s="6">
        <v>2026</v>
      </c>
      <c r="E466" s="6">
        <v>30</v>
      </c>
      <c r="F466" s="7"/>
      <c r="G466" s="7"/>
      <c r="H466" s="8" t="str">
        <f>IF(A466="","",(('بيانات الموظفين'!G466+'بيانات الموظفين'!H466)/30)*MIN(30,MAX(0,E466))+F466+G466)</f>
        <v/>
      </c>
      <c r="I466" s="8" t="str">
        <f>IF(A466="","",MIN(16700,MAX(2700,'بيانات الموظفين'!I466))*11%)</f>
        <v/>
      </c>
      <c r="J466" s="8" t="str">
        <f>IF(A466="","",MAX(0,ROUNDDOWN(H466*12-I466*12-20000,-1)))</f>
        <v/>
      </c>
      <c r="K466" s="8" t="str">
        <f>IF(A466="","",MAX(0,(IF(J466&lt;=40000,0,IF(J466&lt;=60000,(J466-40000)*10%,IF(J466&lt;=70000,2000+(J466-60000)*15%,IF(J466&lt;=200000,3500+(J466-70000)*20%,IF(J466&lt;=400000,29500+(J466-200000)*22.5%,IF(J466&lt;=1000000,74500+(J466-400000)*25%,224500+(J466-1000000)*27.5%)))))))/12))</f>
        <v/>
      </c>
      <c r="L466" s="8" t="str">
        <f>IF(A466="","",IF('كشف التوقيع والملخص'!$B$3="نعم",MAX(0,H466-10000)*0.003,0))</f>
        <v/>
      </c>
      <c r="M466" s="8" t="str">
        <f>IF(A466="","",I466+K466+L466)</f>
        <v/>
      </c>
      <c r="N466" s="8" t="str">
        <f>IF(A466="","",H466-M466)</f>
        <v/>
      </c>
    </row>
    <row r="467" spans="1:14" ht="14.25" x14ac:dyDescent="0.15">
      <c r="A467" s="5" t="str">
        <f>IF('بيانات الموظفين'!A467="","",'بيانات الموظفين'!A467)</f>
        <v/>
      </c>
      <c r="B467" s="5" t="str">
        <f>IF(A467="","",'بيانات الموظفين'!B467)</f>
        <v/>
      </c>
      <c r="C467" s="6" t="s">
        <v>25</v>
      </c>
      <c r="D467" s="6">
        <v>2026</v>
      </c>
      <c r="E467" s="6">
        <v>30</v>
      </c>
      <c r="F467" s="7"/>
      <c r="G467" s="7"/>
      <c r="H467" s="8" t="str">
        <f>IF(A467="","",(('بيانات الموظفين'!G467+'بيانات الموظفين'!H467)/30)*MIN(30,MAX(0,E467))+F467+G467)</f>
        <v/>
      </c>
      <c r="I467" s="8" t="str">
        <f>IF(A467="","",MIN(16700,MAX(2700,'بيانات الموظفين'!I467))*11%)</f>
        <v/>
      </c>
      <c r="J467" s="8" t="str">
        <f>IF(A467="","",MAX(0,ROUNDDOWN(H467*12-I467*12-20000,-1)))</f>
        <v/>
      </c>
      <c r="K467" s="8" t="str">
        <f>IF(A467="","",MAX(0,(IF(J467&lt;=40000,0,IF(J467&lt;=60000,(J467-40000)*10%,IF(J467&lt;=70000,2000+(J467-60000)*15%,IF(J467&lt;=200000,3500+(J467-70000)*20%,IF(J467&lt;=400000,29500+(J467-200000)*22.5%,IF(J467&lt;=1000000,74500+(J467-400000)*25%,224500+(J467-1000000)*27.5%)))))))/12))</f>
        <v/>
      </c>
      <c r="L467" s="8" t="str">
        <f>IF(A467="","",IF('كشف التوقيع والملخص'!$B$3="نعم",MAX(0,H467-10000)*0.003,0))</f>
        <v/>
      </c>
      <c r="M467" s="8" t="str">
        <f>IF(A467="","",I467+K467+L467)</f>
        <v/>
      </c>
      <c r="N467" s="8" t="str">
        <f>IF(A467="","",H467-M467)</f>
        <v/>
      </c>
    </row>
    <row r="468" spans="1:14" ht="14.25" x14ac:dyDescent="0.15">
      <c r="A468" s="5" t="str">
        <f>IF('بيانات الموظفين'!A468="","",'بيانات الموظفين'!A468)</f>
        <v/>
      </c>
      <c r="B468" s="5" t="str">
        <f>IF(A468="","",'بيانات الموظفين'!B468)</f>
        <v/>
      </c>
      <c r="C468" s="6" t="s">
        <v>25</v>
      </c>
      <c r="D468" s="6">
        <v>2026</v>
      </c>
      <c r="E468" s="6">
        <v>30</v>
      </c>
      <c r="F468" s="7"/>
      <c r="G468" s="7"/>
      <c r="H468" s="8" t="str">
        <f>IF(A468="","",(('بيانات الموظفين'!G468+'بيانات الموظفين'!H468)/30)*MIN(30,MAX(0,E468))+F468+G468)</f>
        <v/>
      </c>
      <c r="I468" s="8" t="str">
        <f>IF(A468="","",MIN(16700,MAX(2700,'بيانات الموظفين'!I468))*11%)</f>
        <v/>
      </c>
      <c r="J468" s="8" t="str">
        <f>IF(A468="","",MAX(0,ROUNDDOWN(H468*12-I468*12-20000,-1)))</f>
        <v/>
      </c>
      <c r="K468" s="8" t="str">
        <f>IF(A468="","",MAX(0,(IF(J468&lt;=40000,0,IF(J468&lt;=60000,(J468-40000)*10%,IF(J468&lt;=70000,2000+(J468-60000)*15%,IF(J468&lt;=200000,3500+(J468-70000)*20%,IF(J468&lt;=400000,29500+(J468-200000)*22.5%,IF(J468&lt;=1000000,74500+(J468-400000)*25%,224500+(J468-1000000)*27.5%)))))))/12))</f>
        <v/>
      </c>
      <c r="L468" s="8" t="str">
        <f>IF(A468="","",IF('كشف التوقيع والملخص'!$B$3="نعم",MAX(0,H468-10000)*0.003,0))</f>
        <v/>
      </c>
      <c r="M468" s="8" t="str">
        <f>IF(A468="","",I468+K468+L468)</f>
        <v/>
      </c>
      <c r="N468" s="8" t="str">
        <f>IF(A468="","",H468-M468)</f>
        <v/>
      </c>
    </row>
    <row r="469" spans="1:14" ht="14.25" x14ac:dyDescent="0.15">
      <c r="A469" s="5" t="str">
        <f>IF('بيانات الموظفين'!A469="","",'بيانات الموظفين'!A469)</f>
        <v/>
      </c>
      <c r="B469" s="5" t="str">
        <f>IF(A469="","",'بيانات الموظفين'!B469)</f>
        <v/>
      </c>
      <c r="C469" s="6" t="s">
        <v>25</v>
      </c>
      <c r="D469" s="6">
        <v>2026</v>
      </c>
      <c r="E469" s="6">
        <v>30</v>
      </c>
      <c r="F469" s="7"/>
      <c r="G469" s="7"/>
      <c r="H469" s="8" t="str">
        <f>IF(A469="","",(('بيانات الموظفين'!G469+'بيانات الموظفين'!H469)/30)*MIN(30,MAX(0,E469))+F469+G469)</f>
        <v/>
      </c>
      <c r="I469" s="8" t="str">
        <f>IF(A469="","",MIN(16700,MAX(2700,'بيانات الموظفين'!I469))*11%)</f>
        <v/>
      </c>
      <c r="J469" s="8" t="str">
        <f>IF(A469="","",MAX(0,ROUNDDOWN(H469*12-I469*12-20000,-1)))</f>
        <v/>
      </c>
      <c r="K469" s="8" t="str">
        <f>IF(A469="","",MAX(0,(IF(J469&lt;=40000,0,IF(J469&lt;=60000,(J469-40000)*10%,IF(J469&lt;=70000,2000+(J469-60000)*15%,IF(J469&lt;=200000,3500+(J469-70000)*20%,IF(J469&lt;=400000,29500+(J469-200000)*22.5%,IF(J469&lt;=1000000,74500+(J469-400000)*25%,224500+(J469-1000000)*27.5%)))))))/12))</f>
        <v/>
      </c>
      <c r="L469" s="8" t="str">
        <f>IF(A469="","",IF('كشف التوقيع والملخص'!$B$3="نعم",MAX(0,H469-10000)*0.003,0))</f>
        <v/>
      </c>
      <c r="M469" s="8" t="str">
        <f>IF(A469="","",I469+K469+L469)</f>
        <v/>
      </c>
      <c r="N469" s="8" t="str">
        <f>IF(A469="","",H469-M469)</f>
        <v/>
      </c>
    </row>
    <row r="470" spans="1:14" ht="14.25" x14ac:dyDescent="0.15">
      <c r="A470" s="5" t="str">
        <f>IF('بيانات الموظفين'!A470="","",'بيانات الموظفين'!A470)</f>
        <v/>
      </c>
      <c r="B470" s="5" t="str">
        <f>IF(A470="","",'بيانات الموظفين'!B470)</f>
        <v/>
      </c>
      <c r="C470" s="6" t="s">
        <v>25</v>
      </c>
      <c r="D470" s="6">
        <v>2026</v>
      </c>
      <c r="E470" s="6">
        <v>30</v>
      </c>
      <c r="F470" s="7"/>
      <c r="G470" s="7"/>
      <c r="H470" s="8" t="str">
        <f>IF(A470="","",(('بيانات الموظفين'!G470+'بيانات الموظفين'!H470)/30)*MIN(30,MAX(0,E470))+F470+G470)</f>
        <v/>
      </c>
      <c r="I470" s="8" t="str">
        <f>IF(A470="","",MIN(16700,MAX(2700,'بيانات الموظفين'!I470))*11%)</f>
        <v/>
      </c>
      <c r="J470" s="8" t="str">
        <f>IF(A470="","",MAX(0,ROUNDDOWN(H470*12-I470*12-20000,-1)))</f>
        <v/>
      </c>
      <c r="K470" s="8" t="str">
        <f>IF(A470="","",MAX(0,(IF(J470&lt;=40000,0,IF(J470&lt;=60000,(J470-40000)*10%,IF(J470&lt;=70000,2000+(J470-60000)*15%,IF(J470&lt;=200000,3500+(J470-70000)*20%,IF(J470&lt;=400000,29500+(J470-200000)*22.5%,IF(J470&lt;=1000000,74500+(J470-400000)*25%,224500+(J470-1000000)*27.5%)))))))/12))</f>
        <v/>
      </c>
      <c r="L470" s="8" t="str">
        <f>IF(A470="","",IF('كشف التوقيع والملخص'!$B$3="نعم",MAX(0,H470-10000)*0.003,0))</f>
        <v/>
      </c>
      <c r="M470" s="8" t="str">
        <f>IF(A470="","",I470+K470+L470)</f>
        <v/>
      </c>
      <c r="N470" s="8" t="str">
        <f>IF(A470="","",H470-M470)</f>
        <v/>
      </c>
    </row>
    <row r="471" spans="1:14" ht="14.25" x14ac:dyDescent="0.15">
      <c r="A471" s="5" t="str">
        <f>IF('بيانات الموظفين'!A471="","",'بيانات الموظفين'!A471)</f>
        <v/>
      </c>
      <c r="B471" s="5" t="str">
        <f>IF(A471="","",'بيانات الموظفين'!B471)</f>
        <v/>
      </c>
      <c r="C471" s="6" t="s">
        <v>25</v>
      </c>
      <c r="D471" s="6">
        <v>2026</v>
      </c>
      <c r="E471" s="6">
        <v>30</v>
      </c>
      <c r="F471" s="7"/>
      <c r="G471" s="7"/>
      <c r="H471" s="8" t="str">
        <f>IF(A471="","",(('بيانات الموظفين'!G471+'بيانات الموظفين'!H471)/30)*MIN(30,MAX(0,E471))+F471+G471)</f>
        <v/>
      </c>
      <c r="I471" s="8" t="str">
        <f>IF(A471="","",MIN(16700,MAX(2700,'بيانات الموظفين'!I471))*11%)</f>
        <v/>
      </c>
      <c r="J471" s="8" t="str">
        <f>IF(A471="","",MAX(0,ROUNDDOWN(H471*12-I471*12-20000,-1)))</f>
        <v/>
      </c>
      <c r="K471" s="8" t="str">
        <f>IF(A471="","",MAX(0,(IF(J471&lt;=40000,0,IF(J471&lt;=60000,(J471-40000)*10%,IF(J471&lt;=70000,2000+(J471-60000)*15%,IF(J471&lt;=200000,3500+(J471-70000)*20%,IF(J471&lt;=400000,29500+(J471-200000)*22.5%,IF(J471&lt;=1000000,74500+(J471-400000)*25%,224500+(J471-1000000)*27.5%)))))))/12))</f>
        <v/>
      </c>
      <c r="L471" s="8" t="str">
        <f>IF(A471="","",IF('كشف التوقيع والملخص'!$B$3="نعم",MAX(0,H471-10000)*0.003,0))</f>
        <v/>
      </c>
      <c r="M471" s="8" t="str">
        <f>IF(A471="","",I471+K471+L471)</f>
        <v/>
      </c>
      <c r="N471" s="8" t="str">
        <f>IF(A471="","",H471-M471)</f>
        <v/>
      </c>
    </row>
    <row r="472" spans="1:14" ht="14.25" x14ac:dyDescent="0.15">
      <c r="A472" s="5" t="str">
        <f>IF('بيانات الموظفين'!A472="","",'بيانات الموظفين'!A472)</f>
        <v/>
      </c>
      <c r="B472" s="5" t="str">
        <f>IF(A472="","",'بيانات الموظفين'!B472)</f>
        <v/>
      </c>
      <c r="C472" s="6" t="s">
        <v>25</v>
      </c>
      <c r="D472" s="6">
        <v>2026</v>
      </c>
      <c r="E472" s="6">
        <v>30</v>
      </c>
      <c r="F472" s="7"/>
      <c r="G472" s="7"/>
      <c r="H472" s="8" t="str">
        <f>IF(A472="","",(('بيانات الموظفين'!G472+'بيانات الموظفين'!H472)/30)*MIN(30,MAX(0,E472))+F472+G472)</f>
        <v/>
      </c>
      <c r="I472" s="8" t="str">
        <f>IF(A472="","",MIN(16700,MAX(2700,'بيانات الموظفين'!I472))*11%)</f>
        <v/>
      </c>
      <c r="J472" s="8" t="str">
        <f>IF(A472="","",MAX(0,ROUNDDOWN(H472*12-I472*12-20000,-1)))</f>
        <v/>
      </c>
      <c r="K472" s="8" t="str">
        <f>IF(A472="","",MAX(0,(IF(J472&lt;=40000,0,IF(J472&lt;=60000,(J472-40000)*10%,IF(J472&lt;=70000,2000+(J472-60000)*15%,IF(J472&lt;=200000,3500+(J472-70000)*20%,IF(J472&lt;=400000,29500+(J472-200000)*22.5%,IF(J472&lt;=1000000,74500+(J472-400000)*25%,224500+(J472-1000000)*27.5%)))))))/12))</f>
        <v/>
      </c>
      <c r="L472" s="8" t="str">
        <f>IF(A472="","",IF('كشف التوقيع والملخص'!$B$3="نعم",MAX(0,H472-10000)*0.003,0))</f>
        <v/>
      </c>
      <c r="M472" s="8" t="str">
        <f>IF(A472="","",I472+K472+L472)</f>
        <v/>
      </c>
      <c r="N472" s="8" t="str">
        <f>IF(A472="","",H472-M472)</f>
        <v/>
      </c>
    </row>
    <row r="473" spans="1:14" ht="14.25" x14ac:dyDescent="0.15">
      <c r="A473" s="5" t="str">
        <f>IF('بيانات الموظفين'!A473="","",'بيانات الموظفين'!A473)</f>
        <v/>
      </c>
      <c r="B473" s="5" t="str">
        <f>IF(A473="","",'بيانات الموظفين'!B473)</f>
        <v/>
      </c>
      <c r="C473" s="6" t="s">
        <v>25</v>
      </c>
      <c r="D473" s="6">
        <v>2026</v>
      </c>
      <c r="E473" s="6">
        <v>30</v>
      </c>
      <c r="F473" s="7"/>
      <c r="G473" s="7"/>
      <c r="H473" s="8" t="str">
        <f>IF(A473="","",(('بيانات الموظفين'!G473+'بيانات الموظفين'!H473)/30)*MIN(30,MAX(0,E473))+F473+G473)</f>
        <v/>
      </c>
      <c r="I473" s="8" t="str">
        <f>IF(A473="","",MIN(16700,MAX(2700,'بيانات الموظفين'!I473))*11%)</f>
        <v/>
      </c>
      <c r="J473" s="8" t="str">
        <f>IF(A473="","",MAX(0,ROUNDDOWN(H473*12-I473*12-20000,-1)))</f>
        <v/>
      </c>
      <c r="K473" s="8" t="str">
        <f>IF(A473="","",MAX(0,(IF(J473&lt;=40000,0,IF(J473&lt;=60000,(J473-40000)*10%,IF(J473&lt;=70000,2000+(J473-60000)*15%,IF(J473&lt;=200000,3500+(J473-70000)*20%,IF(J473&lt;=400000,29500+(J473-200000)*22.5%,IF(J473&lt;=1000000,74500+(J473-400000)*25%,224500+(J473-1000000)*27.5%)))))))/12))</f>
        <v/>
      </c>
      <c r="L473" s="8" t="str">
        <f>IF(A473="","",IF('كشف التوقيع والملخص'!$B$3="نعم",MAX(0,H473-10000)*0.003,0))</f>
        <v/>
      </c>
      <c r="M473" s="8" t="str">
        <f>IF(A473="","",I473+K473+L473)</f>
        <v/>
      </c>
      <c r="N473" s="8" t="str">
        <f>IF(A473="","",H473-M473)</f>
        <v/>
      </c>
    </row>
    <row r="474" spans="1:14" ht="14.25" x14ac:dyDescent="0.15">
      <c r="A474" s="5" t="str">
        <f>IF('بيانات الموظفين'!A474="","",'بيانات الموظفين'!A474)</f>
        <v/>
      </c>
      <c r="B474" s="5" t="str">
        <f>IF(A474="","",'بيانات الموظفين'!B474)</f>
        <v/>
      </c>
      <c r="C474" s="6" t="s">
        <v>25</v>
      </c>
      <c r="D474" s="6">
        <v>2026</v>
      </c>
      <c r="E474" s="6">
        <v>30</v>
      </c>
      <c r="F474" s="7"/>
      <c r="G474" s="7"/>
      <c r="H474" s="8" t="str">
        <f>IF(A474="","",(('بيانات الموظفين'!G474+'بيانات الموظفين'!H474)/30)*MIN(30,MAX(0,E474))+F474+G474)</f>
        <v/>
      </c>
      <c r="I474" s="8" t="str">
        <f>IF(A474="","",MIN(16700,MAX(2700,'بيانات الموظفين'!I474))*11%)</f>
        <v/>
      </c>
      <c r="J474" s="8" t="str">
        <f>IF(A474="","",MAX(0,ROUNDDOWN(H474*12-I474*12-20000,-1)))</f>
        <v/>
      </c>
      <c r="K474" s="8" t="str">
        <f>IF(A474="","",MAX(0,(IF(J474&lt;=40000,0,IF(J474&lt;=60000,(J474-40000)*10%,IF(J474&lt;=70000,2000+(J474-60000)*15%,IF(J474&lt;=200000,3500+(J474-70000)*20%,IF(J474&lt;=400000,29500+(J474-200000)*22.5%,IF(J474&lt;=1000000,74500+(J474-400000)*25%,224500+(J474-1000000)*27.5%)))))))/12))</f>
        <v/>
      </c>
      <c r="L474" s="8" t="str">
        <f>IF(A474="","",IF('كشف التوقيع والملخص'!$B$3="نعم",MAX(0,H474-10000)*0.003,0))</f>
        <v/>
      </c>
      <c r="M474" s="8" t="str">
        <f>IF(A474="","",I474+K474+L474)</f>
        <v/>
      </c>
      <c r="N474" s="8" t="str">
        <f>IF(A474="","",H474-M474)</f>
        <v/>
      </c>
    </row>
    <row r="475" spans="1:14" ht="14.25" x14ac:dyDescent="0.15">
      <c r="A475" s="5" t="str">
        <f>IF('بيانات الموظفين'!A475="","",'بيانات الموظفين'!A475)</f>
        <v/>
      </c>
      <c r="B475" s="5" t="str">
        <f>IF(A475="","",'بيانات الموظفين'!B475)</f>
        <v/>
      </c>
      <c r="C475" s="6" t="s">
        <v>25</v>
      </c>
      <c r="D475" s="6">
        <v>2026</v>
      </c>
      <c r="E475" s="6">
        <v>30</v>
      </c>
      <c r="F475" s="7"/>
      <c r="G475" s="7"/>
      <c r="H475" s="8" t="str">
        <f>IF(A475="","",(('بيانات الموظفين'!G475+'بيانات الموظفين'!H475)/30)*MIN(30,MAX(0,E475))+F475+G475)</f>
        <v/>
      </c>
      <c r="I475" s="8" t="str">
        <f>IF(A475="","",MIN(16700,MAX(2700,'بيانات الموظفين'!I475))*11%)</f>
        <v/>
      </c>
      <c r="J475" s="8" t="str">
        <f>IF(A475="","",MAX(0,ROUNDDOWN(H475*12-I475*12-20000,-1)))</f>
        <v/>
      </c>
      <c r="K475" s="8" t="str">
        <f>IF(A475="","",MAX(0,(IF(J475&lt;=40000,0,IF(J475&lt;=60000,(J475-40000)*10%,IF(J475&lt;=70000,2000+(J475-60000)*15%,IF(J475&lt;=200000,3500+(J475-70000)*20%,IF(J475&lt;=400000,29500+(J475-200000)*22.5%,IF(J475&lt;=1000000,74500+(J475-400000)*25%,224500+(J475-1000000)*27.5%)))))))/12))</f>
        <v/>
      </c>
      <c r="L475" s="8" t="str">
        <f>IF(A475="","",IF('كشف التوقيع والملخص'!$B$3="نعم",MAX(0,H475-10000)*0.003,0))</f>
        <v/>
      </c>
      <c r="M475" s="8" t="str">
        <f>IF(A475="","",I475+K475+L475)</f>
        <v/>
      </c>
      <c r="N475" s="8" t="str">
        <f>IF(A475="","",H475-M475)</f>
        <v/>
      </c>
    </row>
    <row r="476" spans="1:14" ht="14.25" x14ac:dyDescent="0.15">
      <c r="A476" s="5" t="str">
        <f>IF('بيانات الموظفين'!A476="","",'بيانات الموظفين'!A476)</f>
        <v/>
      </c>
      <c r="B476" s="5" t="str">
        <f>IF(A476="","",'بيانات الموظفين'!B476)</f>
        <v/>
      </c>
      <c r="C476" s="6" t="s">
        <v>25</v>
      </c>
      <c r="D476" s="6">
        <v>2026</v>
      </c>
      <c r="E476" s="6">
        <v>30</v>
      </c>
      <c r="F476" s="7"/>
      <c r="G476" s="7"/>
      <c r="H476" s="8" t="str">
        <f>IF(A476="","",(('بيانات الموظفين'!G476+'بيانات الموظفين'!H476)/30)*MIN(30,MAX(0,E476))+F476+G476)</f>
        <v/>
      </c>
      <c r="I476" s="8" t="str">
        <f>IF(A476="","",MIN(16700,MAX(2700,'بيانات الموظفين'!I476))*11%)</f>
        <v/>
      </c>
      <c r="J476" s="8" t="str">
        <f>IF(A476="","",MAX(0,ROUNDDOWN(H476*12-I476*12-20000,-1)))</f>
        <v/>
      </c>
      <c r="K476" s="8" t="str">
        <f>IF(A476="","",MAX(0,(IF(J476&lt;=40000,0,IF(J476&lt;=60000,(J476-40000)*10%,IF(J476&lt;=70000,2000+(J476-60000)*15%,IF(J476&lt;=200000,3500+(J476-70000)*20%,IF(J476&lt;=400000,29500+(J476-200000)*22.5%,IF(J476&lt;=1000000,74500+(J476-400000)*25%,224500+(J476-1000000)*27.5%)))))))/12))</f>
        <v/>
      </c>
      <c r="L476" s="8" t="str">
        <f>IF(A476="","",IF('كشف التوقيع والملخص'!$B$3="نعم",MAX(0,H476-10000)*0.003,0))</f>
        <v/>
      </c>
      <c r="M476" s="8" t="str">
        <f>IF(A476="","",I476+K476+L476)</f>
        <v/>
      </c>
      <c r="N476" s="8" t="str">
        <f>IF(A476="","",H476-M476)</f>
        <v/>
      </c>
    </row>
    <row r="477" spans="1:14" ht="14.25" x14ac:dyDescent="0.15">
      <c r="A477" s="5" t="str">
        <f>IF('بيانات الموظفين'!A477="","",'بيانات الموظفين'!A477)</f>
        <v/>
      </c>
      <c r="B477" s="5" t="str">
        <f>IF(A477="","",'بيانات الموظفين'!B477)</f>
        <v/>
      </c>
      <c r="C477" s="6" t="s">
        <v>25</v>
      </c>
      <c r="D477" s="6">
        <v>2026</v>
      </c>
      <c r="E477" s="6">
        <v>30</v>
      </c>
      <c r="F477" s="7"/>
      <c r="G477" s="7"/>
      <c r="H477" s="8" t="str">
        <f>IF(A477="","",(('بيانات الموظفين'!G477+'بيانات الموظفين'!H477)/30)*MIN(30,MAX(0,E477))+F477+G477)</f>
        <v/>
      </c>
      <c r="I477" s="8" t="str">
        <f>IF(A477="","",MIN(16700,MAX(2700,'بيانات الموظفين'!I477))*11%)</f>
        <v/>
      </c>
      <c r="J477" s="8" t="str">
        <f>IF(A477="","",MAX(0,ROUNDDOWN(H477*12-I477*12-20000,-1)))</f>
        <v/>
      </c>
      <c r="K477" s="8" t="str">
        <f>IF(A477="","",MAX(0,(IF(J477&lt;=40000,0,IF(J477&lt;=60000,(J477-40000)*10%,IF(J477&lt;=70000,2000+(J477-60000)*15%,IF(J477&lt;=200000,3500+(J477-70000)*20%,IF(J477&lt;=400000,29500+(J477-200000)*22.5%,IF(J477&lt;=1000000,74500+(J477-400000)*25%,224500+(J477-1000000)*27.5%)))))))/12))</f>
        <v/>
      </c>
      <c r="L477" s="8" t="str">
        <f>IF(A477="","",IF('كشف التوقيع والملخص'!$B$3="نعم",MAX(0,H477-10000)*0.003,0))</f>
        <v/>
      </c>
      <c r="M477" s="8" t="str">
        <f>IF(A477="","",I477+K477+L477)</f>
        <v/>
      </c>
      <c r="N477" s="8" t="str">
        <f>IF(A477="","",H477-M477)</f>
        <v/>
      </c>
    </row>
    <row r="478" spans="1:14" ht="14.25" x14ac:dyDescent="0.15">
      <c r="A478" s="5" t="str">
        <f>IF('بيانات الموظفين'!A478="","",'بيانات الموظفين'!A478)</f>
        <v/>
      </c>
      <c r="B478" s="5" t="str">
        <f>IF(A478="","",'بيانات الموظفين'!B478)</f>
        <v/>
      </c>
      <c r="C478" s="6" t="s">
        <v>25</v>
      </c>
      <c r="D478" s="6">
        <v>2026</v>
      </c>
      <c r="E478" s="6">
        <v>30</v>
      </c>
      <c r="F478" s="7"/>
      <c r="G478" s="7"/>
      <c r="H478" s="8" t="str">
        <f>IF(A478="","",(('بيانات الموظفين'!G478+'بيانات الموظفين'!H478)/30)*MIN(30,MAX(0,E478))+F478+G478)</f>
        <v/>
      </c>
      <c r="I478" s="8" t="str">
        <f>IF(A478="","",MIN(16700,MAX(2700,'بيانات الموظفين'!I478))*11%)</f>
        <v/>
      </c>
      <c r="J478" s="8" t="str">
        <f>IF(A478="","",MAX(0,ROUNDDOWN(H478*12-I478*12-20000,-1)))</f>
        <v/>
      </c>
      <c r="K478" s="8" t="str">
        <f>IF(A478="","",MAX(0,(IF(J478&lt;=40000,0,IF(J478&lt;=60000,(J478-40000)*10%,IF(J478&lt;=70000,2000+(J478-60000)*15%,IF(J478&lt;=200000,3500+(J478-70000)*20%,IF(J478&lt;=400000,29500+(J478-200000)*22.5%,IF(J478&lt;=1000000,74500+(J478-400000)*25%,224500+(J478-1000000)*27.5%)))))))/12))</f>
        <v/>
      </c>
      <c r="L478" s="8" t="str">
        <f>IF(A478="","",IF('كشف التوقيع والملخص'!$B$3="نعم",MAX(0,H478-10000)*0.003,0))</f>
        <v/>
      </c>
      <c r="M478" s="8" t="str">
        <f>IF(A478="","",I478+K478+L478)</f>
        <v/>
      </c>
      <c r="N478" s="8" t="str">
        <f>IF(A478="","",H478-M478)</f>
        <v/>
      </c>
    </row>
    <row r="479" spans="1:14" ht="14.25" x14ac:dyDescent="0.15">
      <c r="A479" s="5" t="str">
        <f>IF('بيانات الموظفين'!A479="","",'بيانات الموظفين'!A479)</f>
        <v/>
      </c>
      <c r="B479" s="5" t="str">
        <f>IF(A479="","",'بيانات الموظفين'!B479)</f>
        <v/>
      </c>
      <c r="C479" s="6" t="s">
        <v>25</v>
      </c>
      <c r="D479" s="6">
        <v>2026</v>
      </c>
      <c r="E479" s="6">
        <v>30</v>
      </c>
      <c r="F479" s="7"/>
      <c r="G479" s="7"/>
      <c r="H479" s="8" t="str">
        <f>IF(A479="","",(('بيانات الموظفين'!G479+'بيانات الموظفين'!H479)/30)*MIN(30,MAX(0,E479))+F479+G479)</f>
        <v/>
      </c>
      <c r="I479" s="8" t="str">
        <f>IF(A479="","",MIN(16700,MAX(2700,'بيانات الموظفين'!I479))*11%)</f>
        <v/>
      </c>
      <c r="J479" s="8" t="str">
        <f>IF(A479="","",MAX(0,ROUNDDOWN(H479*12-I479*12-20000,-1)))</f>
        <v/>
      </c>
      <c r="K479" s="8" t="str">
        <f>IF(A479="","",MAX(0,(IF(J479&lt;=40000,0,IF(J479&lt;=60000,(J479-40000)*10%,IF(J479&lt;=70000,2000+(J479-60000)*15%,IF(J479&lt;=200000,3500+(J479-70000)*20%,IF(J479&lt;=400000,29500+(J479-200000)*22.5%,IF(J479&lt;=1000000,74500+(J479-400000)*25%,224500+(J479-1000000)*27.5%)))))))/12))</f>
        <v/>
      </c>
      <c r="L479" s="8" t="str">
        <f>IF(A479="","",IF('كشف التوقيع والملخص'!$B$3="نعم",MAX(0,H479-10000)*0.003,0))</f>
        <v/>
      </c>
      <c r="M479" s="8" t="str">
        <f>IF(A479="","",I479+K479+L479)</f>
        <v/>
      </c>
      <c r="N479" s="8" t="str">
        <f>IF(A479="","",H479-M479)</f>
        <v/>
      </c>
    </row>
    <row r="480" spans="1:14" ht="14.25" x14ac:dyDescent="0.15">
      <c r="A480" s="5" t="str">
        <f>IF('بيانات الموظفين'!A480="","",'بيانات الموظفين'!A480)</f>
        <v/>
      </c>
      <c r="B480" s="5" t="str">
        <f>IF(A480="","",'بيانات الموظفين'!B480)</f>
        <v/>
      </c>
      <c r="C480" s="6" t="s">
        <v>25</v>
      </c>
      <c r="D480" s="6">
        <v>2026</v>
      </c>
      <c r="E480" s="6">
        <v>30</v>
      </c>
      <c r="F480" s="7"/>
      <c r="G480" s="7"/>
      <c r="H480" s="8" t="str">
        <f>IF(A480="","",(('بيانات الموظفين'!G480+'بيانات الموظفين'!H480)/30)*MIN(30,MAX(0,E480))+F480+G480)</f>
        <v/>
      </c>
      <c r="I480" s="8" t="str">
        <f>IF(A480="","",MIN(16700,MAX(2700,'بيانات الموظفين'!I480))*11%)</f>
        <v/>
      </c>
      <c r="J480" s="8" t="str">
        <f>IF(A480="","",MAX(0,ROUNDDOWN(H480*12-I480*12-20000,-1)))</f>
        <v/>
      </c>
      <c r="K480" s="8" t="str">
        <f>IF(A480="","",MAX(0,(IF(J480&lt;=40000,0,IF(J480&lt;=60000,(J480-40000)*10%,IF(J480&lt;=70000,2000+(J480-60000)*15%,IF(J480&lt;=200000,3500+(J480-70000)*20%,IF(J480&lt;=400000,29500+(J480-200000)*22.5%,IF(J480&lt;=1000000,74500+(J480-400000)*25%,224500+(J480-1000000)*27.5%)))))))/12))</f>
        <v/>
      </c>
      <c r="L480" s="8" t="str">
        <f>IF(A480="","",IF('كشف التوقيع والملخص'!$B$3="نعم",MAX(0,H480-10000)*0.003,0))</f>
        <v/>
      </c>
      <c r="M480" s="8" t="str">
        <f>IF(A480="","",I480+K480+L480)</f>
        <v/>
      </c>
      <c r="N480" s="8" t="str">
        <f>IF(A480="","",H480-M480)</f>
        <v/>
      </c>
    </row>
    <row r="481" spans="1:14" ht="14.25" x14ac:dyDescent="0.15">
      <c r="A481" s="5" t="str">
        <f>IF('بيانات الموظفين'!A481="","",'بيانات الموظفين'!A481)</f>
        <v/>
      </c>
      <c r="B481" s="5" t="str">
        <f>IF(A481="","",'بيانات الموظفين'!B481)</f>
        <v/>
      </c>
      <c r="C481" s="6" t="s">
        <v>25</v>
      </c>
      <c r="D481" s="6">
        <v>2026</v>
      </c>
      <c r="E481" s="6">
        <v>30</v>
      </c>
      <c r="F481" s="7"/>
      <c r="G481" s="7"/>
      <c r="H481" s="8" t="str">
        <f>IF(A481="","",(('بيانات الموظفين'!G481+'بيانات الموظفين'!H481)/30)*MIN(30,MAX(0,E481))+F481+G481)</f>
        <v/>
      </c>
      <c r="I481" s="8" t="str">
        <f>IF(A481="","",MIN(16700,MAX(2700,'بيانات الموظفين'!I481))*11%)</f>
        <v/>
      </c>
      <c r="J481" s="8" t="str">
        <f>IF(A481="","",MAX(0,ROUNDDOWN(H481*12-I481*12-20000,-1)))</f>
        <v/>
      </c>
      <c r="K481" s="8" t="str">
        <f>IF(A481="","",MAX(0,(IF(J481&lt;=40000,0,IF(J481&lt;=60000,(J481-40000)*10%,IF(J481&lt;=70000,2000+(J481-60000)*15%,IF(J481&lt;=200000,3500+(J481-70000)*20%,IF(J481&lt;=400000,29500+(J481-200000)*22.5%,IF(J481&lt;=1000000,74500+(J481-400000)*25%,224500+(J481-1000000)*27.5%)))))))/12))</f>
        <v/>
      </c>
      <c r="L481" s="8" t="str">
        <f>IF(A481="","",IF('كشف التوقيع والملخص'!$B$3="نعم",MAX(0,H481-10000)*0.003,0))</f>
        <v/>
      </c>
      <c r="M481" s="8" t="str">
        <f>IF(A481="","",I481+K481+L481)</f>
        <v/>
      </c>
      <c r="N481" s="8" t="str">
        <f>IF(A481="","",H481-M481)</f>
        <v/>
      </c>
    </row>
    <row r="482" spans="1:14" ht="14.25" x14ac:dyDescent="0.15">
      <c r="A482" s="5" t="str">
        <f>IF('بيانات الموظفين'!A482="","",'بيانات الموظفين'!A482)</f>
        <v/>
      </c>
      <c r="B482" s="5" t="str">
        <f>IF(A482="","",'بيانات الموظفين'!B482)</f>
        <v/>
      </c>
      <c r="C482" s="6" t="s">
        <v>25</v>
      </c>
      <c r="D482" s="6">
        <v>2026</v>
      </c>
      <c r="E482" s="6">
        <v>30</v>
      </c>
      <c r="F482" s="7"/>
      <c r="G482" s="7"/>
      <c r="H482" s="8" t="str">
        <f>IF(A482="","",(('بيانات الموظفين'!G482+'بيانات الموظفين'!H482)/30)*MIN(30,MAX(0,E482))+F482+G482)</f>
        <v/>
      </c>
      <c r="I482" s="8" t="str">
        <f>IF(A482="","",MIN(16700,MAX(2700,'بيانات الموظفين'!I482))*11%)</f>
        <v/>
      </c>
      <c r="J482" s="8" t="str">
        <f>IF(A482="","",MAX(0,ROUNDDOWN(H482*12-I482*12-20000,-1)))</f>
        <v/>
      </c>
      <c r="K482" s="8" t="str">
        <f>IF(A482="","",MAX(0,(IF(J482&lt;=40000,0,IF(J482&lt;=60000,(J482-40000)*10%,IF(J482&lt;=70000,2000+(J482-60000)*15%,IF(J482&lt;=200000,3500+(J482-70000)*20%,IF(J482&lt;=400000,29500+(J482-200000)*22.5%,IF(J482&lt;=1000000,74500+(J482-400000)*25%,224500+(J482-1000000)*27.5%)))))))/12))</f>
        <v/>
      </c>
      <c r="L482" s="8" t="str">
        <f>IF(A482="","",IF('كشف التوقيع والملخص'!$B$3="نعم",MAX(0,H482-10000)*0.003,0))</f>
        <v/>
      </c>
      <c r="M482" s="8" t="str">
        <f>IF(A482="","",I482+K482+L482)</f>
        <v/>
      </c>
      <c r="N482" s="8" t="str">
        <f>IF(A482="","",H482-M482)</f>
        <v/>
      </c>
    </row>
    <row r="483" spans="1:14" ht="14.25" x14ac:dyDescent="0.15">
      <c r="A483" s="5" t="str">
        <f>IF('بيانات الموظفين'!A483="","",'بيانات الموظفين'!A483)</f>
        <v/>
      </c>
      <c r="B483" s="5" t="str">
        <f>IF(A483="","",'بيانات الموظفين'!B483)</f>
        <v/>
      </c>
      <c r="C483" s="6" t="s">
        <v>25</v>
      </c>
      <c r="D483" s="6">
        <v>2026</v>
      </c>
      <c r="E483" s="6">
        <v>30</v>
      </c>
      <c r="F483" s="7"/>
      <c r="G483" s="7"/>
      <c r="H483" s="8" t="str">
        <f>IF(A483="","",(('بيانات الموظفين'!G483+'بيانات الموظفين'!H483)/30)*MIN(30,MAX(0,E483))+F483+G483)</f>
        <v/>
      </c>
      <c r="I483" s="8" t="str">
        <f>IF(A483="","",MIN(16700,MAX(2700,'بيانات الموظفين'!I483))*11%)</f>
        <v/>
      </c>
      <c r="J483" s="8" t="str">
        <f>IF(A483="","",MAX(0,ROUNDDOWN(H483*12-I483*12-20000,-1)))</f>
        <v/>
      </c>
      <c r="K483" s="8" t="str">
        <f>IF(A483="","",MAX(0,(IF(J483&lt;=40000,0,IF(J483&lt;=60000,(J483-40000)*10%,IF(J483&lt;=70000,2000+(J483-60000)*15%,IF(J483&lt;=200000,3500+(J483-70000)*20%,IF(J483&lt;=400000,29500+(J483-200000)*22.5%,IF(J483&lt;=1000000,74500+(J483-400000)*25%,224500+(J483-1000000)*27.5%)))))))/12))</f>
        <v/>
      </c>
      <c r="L483" s="8" t="str">
        <f>IF(A483="","",IF('كشف التوقيع والملخص'!$B$3="نعم",MAX(0,H483-10000)*0.003,0))</f>
        <v/>
      </c>
      <c r="M483" s="8" t="str">
        <f>IF(A483="","",I483+K483+L483)</f>
        <v/>
      </c>
      <c r="N483" s="8" t="str">
        <f>IF(A483="","",H483-M483)</f>
        <v/>
      </c>
    </row>
    <row r="484" spans="1:14" ht="14.25" x14ac:dyDescent="0.15">
      <c r="A484" s="5" t="str">
        <f>IF('بيانات الموظفين'!A484="","",'بيانات الموظفين'!A484)</f>
        <v/>
      </c>
      <c r="B484" s="5" t="str">
        <f>IF(A484="","",'بيانات الموظفين'!B484)</f>
        <v/>
      </c>
      <c r="C484" s="6" t="s">
        <v>25</v>
      </c>
      <c r="D484" s="6">
        <v>2026</v>
      </c>
      <c r="E484" s="6">
        <v>30</v>
      </c>
      <c r="F484" s="7"/>
      <c r="G484" s="7"/>
      <c r="H484" s="8" t="str">
        <f>IF(A484="","",(('بيانات الموظفين'!G484+'بيانات الموظفين'!H484)/30)*MIN(30,MAX(0,E484))+F484+G484)</f>
        <v/>
      </c>
      <c r="I484" s="8" t="str">
        <f>IF(A484="","",MIN(16700,MAX(2700,'بيانات الموظفين'!I484))*11%)</f>
        <v/>
      </c>
      <c r="J484" s="8" t="str">
        <f>IF(A484="","",MAX(0,ROUNDDOWN(H484*12-I484*12-20000,-1)))</f>
        <v/>
      </c>
      <c r="K484" s="8" t="str">
        <f>IF(A484="","",MAX(0,(IF(J484&lt;=40000,0,IF(J484&lt;=60000,(J484-40000)*10%,IF(J484&lt;=70000,2000+(J484-60000)*15%,IF(J484&lt;=200000,3500+(J484-70000)*20%,IF(J484&lt;=400000,29500+(J484-200000)*22.5%,IF(J484&lt;=1000000,74500+(J484-400000)*25%,224500+(J484-1000000)*27.5%)))))))/12))</f>
        <v/>
      </c>
      <c r="L484" s="8" t="str">
        <f>IF(A484="","",IF('كشف التوقيع والملخص'!$B$3="نعم",MAX(0,H484-10000)*0.003,0))</f>
        <v/>
      </c>
      <c r="M484" s="8" t="str">
        <f>IF(A484="","",I484+K484+L484)</f>
        <v/>
      </c>
      <c r="N484" s="8" t="str">
        <f>IF(A484="","",H484-M484)</f>
        <v/>
      </c>
    </row>
    <row r="485" spans="1:14" ht="14.25" x14ac:dyDescent="0.15">
      <c r="A485" s="5" t="str">
        <f>IF('بيانات الموظفين'!A485="","",'بيانات الموظفين'!A485)</f>
        <v/>
      </c>
      <c r="B485" s="5" t="str">
        <f>IF(A485="","",'بيانات الموظفين'!B485)</f>
        <v/>
      </c>
      <c r="C485" s="6" t="s">
        <v>25</v>
      </c>
      <c r="D485" s="6">
        <v>2026</v>
      </c>
      <c r="E485" s="6">
        <v>30</v>
      </c>
      <c r="F485" s="7"/>
      <c r="G485" s="7"/>
      <c r="H485" s="8" t="str">
        <f>IF(A485="","",(('بيانات الموظفين'!G485+'بيانات الموظفين'!H485)/30)*MIN(30,MAX(0,E485))+F485+G485)</f>
        <v/>
      </c>
      <c r="I485" s="8" t="str">
        <f>IF(A485="","",MIN(16700,MAX(2700,'بيانات الموظفين'!I485))*11%)</f>
        <v/>
      </c>
      <c r="J485" s="8" t="str">
        <f>IF(A485="","",MAX(0,ROUNDDOWN(H485*12-I485*12-20000,-1)))</f>
        <v/>
      </c>
      <c r="K485" s="8" t="str">
        <f>IF(A485="","",MAX(0,(IF(J485&lt;=40000,0,IF(J485&lt;=60000,(J485-40000)*10%,IF(J485&lt;=70000,2000+(J485-60000)*15%,IF(J485&lt;=200000,3500+(J485-70000)*20%,IF(J485&lt;=400000,29500+(J485-200000)*22.5%,IF(J485&lt;=1000000,74500+(J485-400000)*25%,224500+(J485-1000000)*27.5%)))))))/12))</f>
        <v/>
      </c>
      <c r="L485" s="8" t="str">
        <f>IF(A485="","",IF('كشف التوقيع والملخص'!$B$3="نعم",MAX(0,H485-10000)*0.003,0))</f>
        <v/>
      </c>
      <c r="M485" s="8" t="str">
        <f>IF(A485="","",I485+K485+L485)</f>
        <v/>
      </c>
      <c r="N485" s="8" t="str">
        <f>IF(A485="","",H485-M485)</f>
        <v/>
      </c>
    </row>
    <row r="486" spans="1:14" ht="14.25" x14ac:dyDescent="0.15">
      <c r="A486" s="5" t="str">
        <f>IF('بيانات الموظفين'!A486="","",'بيانات الموظفين'!A486)</f>
        <v/>
      </c>
      <c r="B486" s="5" t="str">
        <f>IF(A486="","",'بيانات الموظفين'!B486)</f>
        <v/>
      </c>
      <c r="C486" s="6" t="s">
        <v>25</v>
      </c>
      <c r="D486" s="6">
        <v>2026</v>
      </c>
      <c r="E486" s="6">
        <v>30</v>
      </c>
      <c r="F486" s="7"/>
      <c r="G486" s="7"/>
      <c r="H486" s="8" t="str">
        <f>IF(A486="","",(('بيانات الموظفين'!G486+'بيانات الموظفين'!H486)/30)*MIN(30,MAX(0,E486))+F486+G486)</f>
        <v/>
      </c>
      <c r="I486" s="8" t="str">
        <f>IF(A486="","",MIN(16700,MAX(2700,'بيانات الموظفين'!I486))*11%)</f>
        <v/>
      </c>
      <c r="J486" s="8" t="str">
        <f>IF(A486="","",MAX(0,ROUNDDOWN(H486*12-I486*12-20000,-1)))</f>
        <v/>
      </c>
      <c r="K486" s="8" t="str">
        <f>IF(A486="","",MAX(0,(IF(J486&lt;=40000,0,IF(J486&lt;=60000,(J486-40000)*10%,IF(J486&lt;=70000,2000+(J486-60000)*15%,IF(J486&lt;=200000,3500+(J486-70000)*20%,IF(J486&lt;=400000,29500+(J486-200000)*22.5%,IF(J486&lt;=1000000,74500+(J486-400000)*25%,224500+(J486-1000000)*27.5%)))))))/12))</f>
        <v/>
      </c>
      <c r="L486" s="8" t="str">
        <f>IF(A486="","",IF('كشف التوقيع والملخص'!$B$3="نعم",MAX(0,H486-10000)*0.003,0))</f>
        <v/>
      </c>
      <c r="M486" s="8" t="str">
        <f>IF(A486="","",I486+K486+L486)</f>
        <v/>
      </c>
      <c r="N486" s="8" t="str">
        <f>IF(A486="","",H486-M486)</f>
        <v/>
      </c>
    </row>
    <row r="487" spans="1:14" ht="14.25" x14ac:dyDescent="0.15">
      <c r="A487" s="5" t="str">
        <f>IF('بيانات الموظفين'!A487="","",'بيانات الموظفين'!A487)</f>
        <v/>
      </c>
      <c r="B487" s="5" t="str">
        <f>IF(A487="","",'بيانات الموظفين'!B487)</f>
        <v/>
      </c>
      <c r="C487" s="6" t="s">
        <v>25</v>
      </c>
      <c r="D487" s="6">
        <v>2026</v>
      </c>
      <c r="E487" s="6">
        <v>30</v>
      </c>
      <c r="F487" s="7"/>
      <c r="G487" s="7"/>
      <c r="H487" s="8" t="str">
        <f>IF(A487="","",(('بيانات الموظفين'!G487+'بيانات الموظفين'!H487)/30)*MIN(30,MAX(0,E487))+F487+G487)</f>
        <v/>
      </c>
      <c r="I487" s="8" t="str">
        <f>IF(A487="","",MIN(16700,MAX(2700,'بيانات الموظفين'!I487))*11%)</f>
        <v/>
      </c>
      <c r="J487" s="8" t="str">
        <f>IF(A487="","",MAX(0,ROUNDDOWN(H487*12-I487*12-20000,-1)))</f>
        <v/>
      </c>
      <c r="K487" s="8" t="str">
        <f>IF(A487="","",MAX(0,(IF(J487&lt;=40000,0,IF(J487&lt;=60000,(J487-40000)*10%,IF(J487&lt;=70000,2000+(J487-60000)*15%,IF(J487&lt;=200000,3500+(J487-70000)*20%,IF(J487&lt;=400000,29500+(J487-200000)*22.5%,IF(J487&lt;=1000000,74500+(J487-400000)*25%,224500+(J487-1000000)*27.5%)))))))/12))</f>
        <v/>
      </c>
      <c r="L487" s="8" t="str">
        <f>IF(A487="","",IF('كشف التوقيع والملخص'!$B$3="نعم",MAX(0,H487-10000)*0.003,0))</f>
        <v/>
      </c>
      <c r="M487" s="8" t="str">
        <f>IF(A487="","",I487+K487+L487)</f>
        <v/>
      </c>
      <c r="N487" s="8" t="str">
        <f>IF(A487="","",H487-M487)</f>
        <v/>
      </c>
    </row>
    <row r="488" spans="1:14" ht="14.25" x14ac:dyDescent="0.15">
      <c r="A488" s="5" t="str">
        <f>IF('بيانات الموظفين'!A488="","",'بيانات الموظفين'!A488)</f>
        <v/>
      </c>
      <c r="B488" s="5" t="str">
        <f>IF(A488="","",'بيانات الموظفين'!B488)</f>
        <v/>
      </c>
      <c r="C488" s="6" t="s">
        <v>25</v>
      </c>
      <c r="D488" s="6">
        <v>2026</v>
      </c>
      <c r="E488" s="6">
        <v>30</v>
      </c>
      <c r="F488" s="7"/>
      <c r="G488" s="7"/>
      <c r="H488" s="8" t="str">
        <f>IF(A488="","",(('بيانات الموظفين'!G488+'بيانات الموظفين'!H488)/30)*MIN(30,MAX(0,E488))+F488+G488)</f>
        <v/>
      </c>
      <c r="I488" s="8" t="str">
        <f>IF(A488="","",MIN(16700,MAX(2700,'بيانات الموظفين'!I488))*11%)</f>
        <v/>
      </c>
      <c r="J488" s="8" t="str">
        <f>IF(A488="","",MAX(0,ROUNDDOWN(H488*12-I488*12-20000,-1)))</f>
        <v/>
      </c>
      <c r="K488" s="8" t="str">
        <f>IF(A488="","",MAX(0,(IF(J488&lt;=40000,0,IF(J488&lt;=60000,(J488-40000)*10%,IF(J488&lt;=70000,2000+(J488-60000)*15%,IF(J488&lt;=200000,3500+(J488-70000)*20%,IF(J488&lt;=400000,29500+(J488-200000)*22.5%,IF(J488&lt;=1000000,74500+(J488-400000)*25%,224500+(J488-1000000)*27.5%)))))))/12))</f>
        <v/>
      </c>
      <c r="L488" s="8" t="str">
        <f>IF(A488="","",IF('كشف التوقيع والملخص'!$B$3="نعم",MAX(0,H488-10000)*0.003,0))</f>
        <v/>
      </c>
      <c r="M488" s="8" t="str">
        <f>IF(A488="","",I488+K488+L488)</f>
        <v/>
      </c>
      <c r="N488" s="8" t="str">
        <f>IF(A488="","",H488-M488)</f>
        <v/>
      </c>
    </row>
    <row r="489" spans="1:14" ht="14.25" x14ac:dyDescent="0.15">
      <c r="A489" s="5" t="str">
        <f>IF('بيانات الموظفين'!A489="","",'بيانات الموظفين'!A489)</f>
        <v/>
      </c>
      <c r="B489" s="5" t="str">
        <f>IF(A489="","",'بيانات الموظفين'!B489)</f>
        <v/>
      </c>
      <c r="C489" s="6" t="s">
        <v>25</v>
      </c>
      <c r="D489" s="6">
        <v>2026</v>
      </c>
      <c r="E489" s="6">
        <v>30</v>
      </c>
      <c r="F489" s="7"/>
      <c r="G489" s="7"/>
      <c r="H489" s="8" t="str">
        <f>IF(A489="","",(('بيانات الموظفين'!G489+'بيانات الموظفين'!H489)/30)*MIN(30,MAX(0,E489))+F489+G489)</f>
        <v/>
      </c>
      <c r="I489" s="8" t="str">
        <f>IF(A489="","",MIN(16700,MAX(2700,'بيانات الموظفين'!I489))*11%)</f>
        <v/>
      </c>
      <c r="J489" s="8" t="str">
        <f>IF(A489="","",MAX(0,ROUNDDOWN(H489*12-I489*12-20000,-1)))</f>
        <v/>
      </c>
      <c r="K489" s="8" t="str">
        <f>IF(A489="","",MAX(0,(IF(J489&lt;=40000,0,IF(J489&lt;=60000,(J489-40000)*10%,IF(J489&lt;=70000,2000+(J489-60000)*15%,IF(J489&lt;=200000,3500+(J489-70000)*20%,IF(J489&lt;=400000,29500+(J489-200000)*22.5%,IF(J489&lt;=1000000,74500+(J489-400000)*25%,224500+(J489-1000000)*27.5%)))))))/12))</f>
        <v/>
      </c>
      <c r="L489" s="8" t="str">
        <f>IF(A489="","",IF('كشف التوقيع والملخص'!$B$3="نعم",MAX(0,H489-10000)*0.003,0))</f>
        <v/>
      </c>
      <c r="M489" s="8" t="str">
        <f>IF(A489="","",I489+K489+L489)</f>
        <v/>
      </c>
      <c r="N489" s="8" t="str">
        <f>IF(A489="","",H489-M489)</f>
        <v/>
      </c>
    </row>
    <row r="490" spans="1:14" ht="14.25" x14ac:dyDescent="0.15">
      <c r="A490" s="5" t="str">
        <f>IF('بيانات الموظفين'!A490="","",'بيانات الموظفين'!A490)</f>
        <v/>
      </c>
      <c r="B490" s="5" t="str">
        <f>IF(A490="","",'بيانات الموظفين'!B490)</f>
        <v/>
      </c>
      <c r="C490" s="6" t="s">
        <v>25</v>
      </c>
      <c r="D490" s="6">
        <v>2026</v>
      </c>
      <c r="E490" s="6">
        <v>30</v>
      </c>
      <c r="F490" s="7"/>
      <c r="G490" s="7"/>
      <c r="H490" s="8" t="str">
        <f>IF(A490="","",(('بيانات الموظفين'!G490+'بيانات الموظفين'!H490)/30)*MIN(30,MAX(0,E490))+F490+G490)</f>
        <v/>
      </c>
      <c r="I490" s="8" t="str">
        <f>IF(A490="","",MIN(16700,MAX(2700,'بيانات الموظفين'!I490))*11%)</f>
        <v/>
      </c>
      <c r="J490" s="8" t="str">
        <f>IF(A490="","",MAX(0,ROUNDDOWN(H490*12-I490*12-20000,-1)))</f>
        <v/>
      </c>
      <c r="K490" s="8" t="str">
        <f>IF(A490="","",MAX(0,(IF(J490&lt;=40000,0,IF(J490&lt;=60000,(J490-40000)*10%,IF(J490&lt;=70000,2000+(J490-60000)*15%,IF(J490&lt;=200000,3500+(J490-70000)*20%,IF(J490&lt;=400000,29500+(J490-200000)*22.5%,IF(J490&lt;=1000000,74500+(J490-400000)*25%,224500+(J490-1000000)*27.5%)))))))/12))</f>
        <v/>
      </c>
      <c r="L490" s="8" t="str">
        <f>IF(A490="","",IF('كشف التوقيع والملخص'!$B$3="نعم",MAX(0,H490-10000)*0.003,0))</f>
        <v/>
      </c>
      <c r="M490" s="8" t="str">
        <f>IF(A490="","",I490+K490+L490)</f>
        <v/>
      </c>
      <c r="N490" s="8" t="str">
        <f>IF(A490="","",H490-M490)</f>
        <v/>
      </c>
    </row>
    <row r="491" spans="1:14" ht="14.25" x14ac:dyDescent="0.15">
      <c r="A491" s="5" t="str">
        <f>IF('بيانات الموظفين'!A491="","",'بيانات الموظفين'!A491)</f>
        <v/>
      </c>
      <c r="B491" s="5" t="str">
        <f>IF(A491="","",'بيانات الموظفين'!B491)</f>
        <v/>
      </c>
      <c r="C491" s="6" t="s">
        <v>25</v>
      </c>
      <c r="D491" s="6">
        <v>2026</v>
      </c>
      <c r="E491" s="6">
        <v>30</v>
      </c>
      <c r="F491" s="7"/>
      <c r="G491" s="7"/>
      <c r="H491" s="8" t="str">
        <f>IF(A491="","",(('بيانات الموظفين'!G491+'بيانات الموظفين'!H491)/30)*MIN(30,MAX(0,E491))+F491+G491)</f>
        <v/>
      </c>
      <c r="I491" s="8" t="str">
        <f>IF(A491="","",MIN(16700,MAX(2700,'بيانات الموظفين'!I491))*11%)</f>
        <v/>
      </c>
      <c r="J491" s="8" t="str">
        <f>IF(A491="","",MAX(0,ROUNDDOWN(H491*12-I491*12-20000,-1)))</f>
        <v/>
      </c>
      <c r="K491" s="8" t="str">
        <f>IF(A491="","",MAX(0,(IF(J491&lt;=40000,0,IF(J491&lt;=60000,(J491-40000)*10%,IF(J491&lt;=70000,2000+(J491-60000)*15%,IF(J491&lt;=200000,3500+(J491-70000)*20%,IF(J491&lt;=400000,29500+(J491-200000)*22.5%,IF(J491&lt;=1000000,74500+(J491-400000)*25%,224500+(J491-1000000)*27.5%)))))))/12))</f>
        <v/>
      </c>
      <c r="L491" s="8" t="str">
        <f>IF(A491="","",IF('كشف التوقيع والملخص'!$B$3="نعم",MAX(0,H491-10000)*0.003,0))</f>
        <v/>
      </c>
      <c r="M491" s="8" t="str">
        <f>IF(A491="","",I491+K491+L491)</f>
        <v/>
      </c>
      <c r="N491" s="8" t="str">
        <f>IF(A491="","",H491-M491)</f>
        <v/>
      </c>
    </row>
    <row r="492" spans="1:14" ht="14.25" x14ac:dyDescent="0.15">
      <c r="A492" s="5" t="str">
        <f>IF('بيانات الموظفين'!A492="","",'بيانات الموظفين'!A492)</f>
        <v/>
      </c>
      <c r="B492" s="5" t="str">
        <f>IF(A492="","",'بيانات الموظفين'!B492)</f>
        <v/>
      </c>
      <c r="C492" s="6" t="s">
        <v>25</v>
      </c>
      <c r="D492" s="6">
        <v>2026</v>
      </c>
      <c r="E492" s="6">
        <v>30</v>
      </c>
      <c r="F492" s="7"/>
      <c r="G492" s="7"/>
      <c r="H492" s="8" t="str">
        <f>IF(A492="","",(('بيانات الموظفين'!G492+'بيانات الموظفين'!H492)/30)*MIN(30,MAX(0,E492))+F492+G492)</f>
        <v/>
      </c>
      <c r="I492" s="8" t="str">
        <f>IF(A492="","",MIN(16700,MAX(2700,'بيانات الموظفين'!I492))*11%)</f>
        <v/>
      </c>
      <c r="J492" s="8" t="str">
        <f>IF(A492="","",MAX(0,ROUNDDOWN(H492*12-I492*12-20000,-1)))</f>
        <v/>
      </c>
      <c r="K492" s="8" t="str">
        <f>IF(A492="","",MAX(0,(IF(J492&lt;=40000,0,IF(J492&lt;=60000,(J492-40000)*10%,IF(J492&lt;=70000,2000+(J492-60000)*15%,IF(J492&lt;=200000,3500+(J492-70000)*20%,IF(J492&lt;=400000,29500+(J492-200000)*22.5%,IF(J492&lt;=1000000,74500+(J492-400000)*25%,224500+(J492-1000000)*27.5%)))))))/12))</f>
        <v/>
      </c>
      <c r="L492" s="8" t="str">
        <f>IF(A492="","",IF('كشف التوقيع والملخص'!$B$3="نعم",MAX(0,H492-10000)*0.003,0))</f>
        <v/>
      </c>
      <c r="M492" s="8" t="str">
        <f>IF(A492="","",I492+K492+L492)</f>
        <v/>
      </c>
      <c r="N492" s="8" t="str">
        <f>IF(A492="","",H492-M492)</f>
        <v/>
      </c>
    </row>
    <row r="493" spans="1:14" ht="14.25" x14ac:dyDescent="0.15">
      <c r="A493" s="5" t="str">
        <f>IF('بيانات الموظفين'!A493="","",'بيانات الموظفين'!A493)</f>
        <v/>
      </c>
      <c r="B493" s="5" t="str">
        <f>IF(A493="","",'بيانات الموظفين'!B493)</f>
        <v/>
      </c>
      <c r="C493" s="6" t="s">
        <v>25</v>
      </c>
      <c r="D493" s="6">
        <v>2026</v>
      </c>
      <c r="E493" s="6">
        <v>30</v>
      </c>
      <c r="F493" s="7"/>
      <c r="G493" s="7"/>
      <c r="H493" s="8" t="str">
        <f>IF(A493="","",(('بيانات الموظفين'!G493+'بيانات الموظفين'!H493)/30)*MIN(30,MAX(0,E493))+F493+G493)</f>
        <v/>
      </c>
      <c r="I493" s="8" t="str">
        <f>IF(A493="","",MIN(16700,MAX(2700,'بيانات الموظفين'!I493))*11%)</f>
        <v/>
      </c>
      <c r="J493" s="8" t="str">
        <f>IF(A493="","",MAX(0,ROUNDDOWN(H493*12-I493*12-20000,-1)))</f>
        <v/>
      </c>
      <c r="K493" s="8" t="str">
        <f>IF(A493="","",MAX(0,(IF(J493&lt;=40000,0,IF(J493&lt;=60000,(J493-40000)*10%,IF(J493&lt;=70000,2000+(J493-60000)*15%,IF(J493&lt;=200000,3500+(J493-70000)*20%,IF(J493&lt;=400000,29500+(J493-200000)*22.5%,IF(J493&lt;=1000000,74500+(J493-400000)*25%,224500+(J493-1000000)*27.5%)))))))/12))</f>
        <v/>
      </c>
      <c r="L493" s="8" t="str">
        <f>IF(A493="","",IF('كشف التوقيع والملخص'!$B$3="نعم",MAX(0,H493-10000)*0.003,0))</f>
        <v/>
      </c>
      <c r="M493" s="8" t="str">
        <f>IF(A493="","",I493+K493+L493)</f>
        <v/>
      </c>
      <c r="N493" s="8" t="str">
        <f>IF(A493="","",H493-M493)</f>
        <v/>
      </c>
    </row>
    <row r="494" spans="1:14" ht="14.25" x14ac:dyDescent="0.15">
      <c r="A494" s="5" t="str">
        <f>IF('بيانات الموظفين'!A494="","",'بيانات الموظفين'!A494)</f>
        <v/>
      </c>
      <c r="B494" s="5" t="str">
        <f>IF(A494="","",'بيانات الموظفين'!B494)</f>
        <v/>
      </c>
      <c r="C494" s="6" t="s">
        <v>25</v>
      </c>
      <c r="D494" s="6">
        <v>2026</v>
      </c>
      <c r="E494" s="6">
        <v>30</v>
      </c>
      <c r="F494" s="7"/>
      <c r="G494" s="7"/>
      <c r="H494" s="8" t="str">
        <f>IF(A494="","",(('بيانات الموظفين'!G494+'بيانات الموظفين'!H494)/30)*MIN(30,MAX(0,E494))+F494+G494)</f>
        <v/>
      </c>
      <c r="I494" s="8" t="str">
        <f>IF(A494="","",MIN(16700,MAX(2700,'بيانات الموظفين'!I494))*11%)</f>
        <v/>
      </c>
      <c r="J494" s="8" t="str">
        <f>IF(A494="","",MAX(0,ROUNDDOWN(H494*12-I494*12-20000,-1)))</f>
        <v/>
      </c>
      <c r="K494" s="8" t="str">
        <f>IF(A494="","",MAX(0,(IF(J494&lt;=40000,0,IF(J494&lt;=60000,(J494-40000)*10%,IF(J494&lt;=70000,2000+(J494-60000)*15%,IF(J494&lt;=200000,3500+(J494-70000)*20%,IF(J494&lt;=400000,29500+(J494-200000)*22.5%,IF(J494&lt;=1000000,74500+(J494-400000)*25%,224500+(J494-1000000)*27.5%)))))))/12))</f>
        <v/>
      </c>
      <c r="L494" s="8" t="str">
        <f>IF(A494="","",IF('كشف التوقيع والملخص'!$B$3="نعم",MAX(0,H494-10000)*0.003,0))</f>
        <v/>
      </c>
      <c r="M494" s="8" t="str">
        <f>IF(A494="","",I494+K494+L494)</f>
        <v/>
      </c>
      <c r="N494" s="8" t="str">
        <f>IF(A494="","",H494-M494)</f>
        <v/>
      </c>
    </row>
    <row r="495" spans="1:14" ht="14.25" x14ac:dyDescent="0.15">
      <c r="A495" s="5" t="str">
        <f>IF('بيانات الموظفين'!A495="","",'بيانات الموظفين'!A495)</f>
        <v/>
      </c>
      <c r="B495" s="5" t="str">
        <f>IF(A495="","",'بيانات الموظفين'!B495)</f>
        <v/>
      </c>
      <c r="C495" s="6" t="s">
        <v>25</v>
      </c>
      <c r="D495" s="6">
        <v>2026</v>
      </c>
      <c r="E495" s="6">
        <v>30</v>
      </c>
      <c r="F495" s="7"/>
      <c r="G495" s="7"/>
      <c r="H495" s="8" t="str">
        <f>IF(A495="","",(('بيانات الموظفين'!G495+'بيانات الموظفين'!H495)/30)*MIN(30,MAX(0,E495))+F495+G495)</f>
        <v/>
      </c>
      <c r="I495" s="8" t="str">
        <f>IF(A495="","",MIN(16700,MAX(2700,'بيانات الموظفين'!I495))*11%)</f>
        <v/>
      </c>
      <c r="J495" s="8" t="str">
        <f>IF(A495="","",MAX(0,ROUNDDOWN(H495*12-I495*12-20000,-1)))</f>
        <v/>
      </c>
      <c r="K495" s="8" t="str">
        <f>IF(A495="","",MAX(0,(IF(J495&lt;=40000,0,IF(J495&lt;=60000,(J495-40000)*10%,IF(J495&lt;=70000,2000+(J495-60000)*15%,IF(J495&lt;=200000,3500+(J495-70000)*20%,IF(J495&lt;=400000,29500+(J495-200000)*22.5%,IF(J495&lt;=1000000,74500+(J495-400000)*25%,224500+(J495-1000000)*27.5%)))))))/12))</f>
        <v/>
      </c>
      <c r="L495" s="8" t="str">
        <f>IF(A495="","",IF('كشف التوقيع والملخص'!$B$3="نعم",MAX(0,H495-10000)*0.003,0))</f>
        <v/>
      </c>
      <c r="M495" s="8" t="str">
        <f>IF(A495="","",I495+K495+L495)</f>
        <v/>
      </c>
      <c r="N495" s="8" t="str">
        <f>IF(A495="","",H495-M495)</f>
        <v/>
      </c>
    </row>
    <row r="496" spans="1:14" ht="14.25" x14ac:dyDescent="0.15">
      <c r="A496" s="5" t="str">
        <f>IF('بيانات الموظفين'!A496="","",'بيانات الموظفين'!A496)</f>
        <v/>
      </c>
      <c r="B496" s="5" t="str">
        <f>IF(A496="","",'بيانات الموظفين'!B496)</f>
        <v/>
      </c>
      <c r="C496" s="6" t="s">
        <v>25</v>
      </c>
      <c r="D496" s="6">
        <v>2026</v>
      </c>
      <c r="E496" s="6">
        <v>30</v>
      </c>
      <c r="F496" s="7"/>
      <c r="G496" s="7"/>
      <c r="H496" s="8" t="str">
        <f>IF(A496="","",(('بيانات الموظفين'!G496+'بيانات الموظفين'!H496)/30)*MIN(30,MAX(0,E496))+F496+G496)</f>
        <v/>
      </c>
      <c r="I496" s="8" t="str">
        <f>IF(A496="","",MIN(16700,MAX(2700,'بيانات الموظفين'!I496))*11%)</f>
        <v/>
      </c>
      <c r="J496" s="8" t="str">
        <f>IF(A496="","",MAX(0,ROUNDDOWN(H496*12-I496*12-20000,-1)))</f>
        <v/>
      </c>
      <c r="K496" s="8" t="str">
        <f>IF(A496="","",MAX(0,(IF(J496&lt;=40000,0,IF(J496&lt;=60000,(J496-40000)*10%,IF(J496&lt;=70000,2000+(J496-60000)*15%,IF(J496&lt;=200000,3500+(J496-70000)*20%,IF(J496&lt;=400000,29500+(J496-200000)*22.5%,IF(J496&lt;=1000000,74500+(J496-400000)*25%,224500+(J496-1000000)*27.5%)))))))/12))</f>
        <v/>
      </c>
      <c r="L496" s="8" t="str">
        <f>IF(A496="","",IF('كشف التوقيع والملخص'!$B$3="نعم",MAX(0,H496-10000)*0.003,0))</f>
        <v/>
      </c>
      <c r="M496" s="8" t="str">
        <f>IF(A496="","",I496+K496+L496)</f>
        <v/>
      </c>
      <c r="N496" s="8" t="str">
        <f>IF(A496="","",H496-M496)</f>
        <v/>
      </c>
    </row>
    <row r="497" spans="1:14" ht="14.25" x14ac:dyDescent="0.15">
      <c r="A497" s="5" t="str">
        <f>IF('بيانات الموظفين'!A497="","",'بيانات الموظفين'!A497)</f>
        <v/>
      </c>
      <c r="B497" s="5" t="str">
        <f>IF(A497="","",'بيانات الموظفين'!B497)</f>
        <v/>
      </c>
      <c r="C497" s="6" t="s">
        <v>25</v>
      </c>
      <c r="D497" s="6">
        <v>2026</v>
      </c>
      <c r="E497" s="6">
        <v>30</v>
      </c>
      <c r="F497" s="7"/>
      <c r="G497" s="7"/>
      <c r="H497" s="8" t="str">
        <f>IF(A497="","",(('بيانات الموظفين'!G497+'بيانات الموظفين'!H497)/30)*MIN(30,MAX(0,E497))+F497+G497)</f>
        <v/>
      </c>
      <c r="I497" s="8" t="str">
        <f>IF(A497="","",MIN(16700,MAX(2700,'بيانات الموظفين'!I497))*11%)</f>
        <v/>
      </c>
      <c r="J497" s="8" t="str">
        <f>IF(A497="","",MAX(0,ROUNDDOWN(H497*12-I497*12-20000,-1)))</f>
        <v/>
      </c>
      <c r="K497" s="8" t="str">
        <f>IF(A497="","",MAX(0,(IF(J497&lt;=40000,0,IF(J497&lt;=60000,(J497-40000)*10%,IF(J497&lt;=70000,2000+(J497-60000)*15%,IF(J497&lt;=200000,3500+(J497-70000)*20%,IF(J497&lt;=400000,29500+(J497-200000)*22.5%,IF(J497&lt;=1000000,74500+(J497-400000)*25%,224500+(J497-1000000)*27.5%)))))))/12))</f>
        <v/>
      </c>
      <c r="L497" s="8" t="str">
        <f>IF(A497="","",IF('كشف التوقيع والملخص'!$B$3="نعم",MAX(0,H497-10000)*0.003,0))</f>
        <v/>
      </c>
      <c r="M497" s="8" t="str">
        <f>IF(A497="","",I497+K497+L497)</f>
        <v/>
      </c>
      <c r="N497" s="8" t="str">
        <f>IF(A497="","",H497-M497)</f>
        <v/>
      </c>
    </row>
    <row r="498" spans="1:14" ht="14.25" x14ac:dyDescent="0.15">
      <c r="A498" s="5" t="str">
        <f>IF('بيانات الموظفين'!A498="","",'بيانات الموظفين'!A498)</f>
        <v/>
      </c>
      <c r="B498" s="5" t="str">
        <f>IF(A498="","",'بيانات الموظفين'!B498)</f>
        <v/>
      </c>
      <c r="C498" s="6" t="s">
        <v>25</v>
      </c>
      <c r="D498" s="6">
        <v>2026</v>
      </c>
      <c r="E498" s="6">
        <v>30</v>
      </c>
      <c r="F498" s="7"/>
      <c r="G498" s="7"/>
      <c r="H498" s="8" t="str">
        <f>IF(A498="","",(('بيانات الموظفين'!G498+'بيانات الموظفين'!H498)/30)*MIN(30,MAX(0,E498))+F498+G498)</f>
        <v/>
      </c>
      <c r="I498" s="8" t="str">
        <f>IF(A498="","",MIN(16700,MAX(2700,'بيانات الموظفين'!I498))*11%)</f>
        <v/>
      </c>
      <c r="J498" s="8" t="str">
        <f>IF(A498="","",MAX(0,ROUNDDOWN(H498*12-I498*12-20000,-1)))</f>
        <v/>
      </c>
      <c r="K498" s="8" t="str">
        <f>IF(A498="","",MAX(0,(IF(J498&lt;=40000,0,IF(J498&lt;=60000,(J498-40000)*10%,IF(J498&lt;=70000,2000+(J498-60000)*15%,IF(J498&lt;=200000,3500+(J498-70000)*20%,IF(J498&lt;=400000,29500+(J498-200000)*22.5%,IF(J498&lt;=1000000,74500+(J498-400000)*25%,224500+(J498-1000000)*27.5%)))))))/12))</f>
        <v/>
      </c>
      <c r="L498" s="8" t="str">
        <f>IF(A498="","",IF('كشف التوقيع والملخص'!$B$3="نعم",MAX(0,H498-10000)*0.003,0))</f>
        <v/>
      </c>
      <c r="M498" s="8" t="str">
        <f>IF(A498="","",I498+K498+L498)</f>
        <v/>
      </c>
      <c r="N498" s="8" t="str">
        <f>IF(A498="","",H498-M498)</f>
        <v/>
      </c>
    </row>
    <row r="499" spans="1:14" ht="14.25" x14ac:dyDescent="0.15">
      <c r="A499" s="5" t="str">
        <f>IF('بيانات الموظفين'!A499="","",'بيانات الموظفين'!A499)</f>
        <v/>
      </c>
      <c r="B499" s="5" t="str">
        <f>IF(A499="","",'بيانات الموظفين'!B499)</f>
        <v/>
      </c>
      <c r="C499" s="6" t="s">
        <v>25</v>
      </c>
      <c r="D499" s="6">
        <v>2026</v>
      </c>
      <c r="E499" s="6">
        <v>30</v>
      </c>
      <c r="F499" s="7"/>
      <c r="G499" s="7"/>
      <c r="H499" s="8" t="str">
        <f>IF(A499="","",(('بيانات الموظفين'!G499+'بيانات الموظفين'!H499)/30)*MIN(30,MAX(0,E499))+F499+G499)</f>
        <v/>
      </c>
      <c r="I499" s="8" t="str">
        <f>IF(A499="","",MIN(16700,MAX(2700,'بيانات الموظفين'!I499))*11%)</f>
        <v/>
      </c>
      <c r="J499" s="8" t="str">
        <f>IF(A499="","",MAX(0,ROUNDDOWN(H499*12-I499*12-20000,-1)))</f>
        <v/>
      </c>
      <c r="K499" s="8" t="str">
        <f>IF(A499="","",MAX(0,(IF(J499&lt;=40000,0,IF(J499&lt;=60000,(J499-40000)*10%,IF(J499&lt;=70000,2000+(J499-60000)*15%,IF(J499&lt;=200000,3500+(J499-70000)*20%,IF(J499&lt;=400000,29500+(J499-200000)*22.5%,IF(J499&lt;=1000000,74500+(J499-400000)*25%,224500+(J499-1000000)*27.5%)))))))/12))</f>
        <v/>
      </c>
      <c r="L499" s="8" t="str">
        <f>IF(A499="","",IF('كشف التوقيع والملخص'!$B$3="نعم",MAX(0,H499-10000)*0.003,0))</f>
        <v/>
      </c>
      <c r="M499" s="8" t="str">
        <f>IF(A499="","",I499+K499+L499)</f>
        <v/>
      </c>
      <c r="N499" s="8" t="str">
        <f>IF(A499="","",H499-M499)</f>
        <v/>
      </c>
    </row>
    <row r="500" spans="1:14" ht="14.25" x14ac:dyDescent="0.15">
      <c r="A500" s="5" t="str">
        <f>IF('بيانات الموظفين'!A500="","",'بيانات الموظفين'!A500)</f>
        <v/>
      </c>
      <c r="B500" s="5" t="str">
        <f>IF(A500="","",'بيانات الموظفين'!B500)</f>
        <v/>
      </c>
      <c r="C500" s="6" t="s">
        <v>25</v>
      </c>
      <c r="D500" s="6">
        <v>2026</v>
      </c>
      <c r="E500" s="6">
        <v>30</v>
      </c>
      <c r="F500" s="7"/>
      <c r="G500" s="7"/>
      <c r="H500" s="8" t="str">
        <f>IF(A500="","",(('بيانات الموظفين'!G500+'بيانات الموظفين'!H500)/30)*MIN(30,MAX(0,E500))+F500+G500)</f>
        <v/>
      </c>
      <c r="I500" s="8" t="str">
        <f>IF(A500="","",MIN(16700,MAX(2700,'بيانات الموظفين'!I500))*11%)</f>
        <v/>
      </c>
      <c r="J500" s="8" t="str">
        <f>IF(A500="","",MAX(0,ROUNDDOWN(H500*12-I500*12-20000,-1)))</f>
        <v/>
      </c>
      <c r="K500" s="8" t="str">
        <f>IF(A500="","",MAX(0,(IF(J500&lt;=40000,0,IF(J500&lt;=60000,(J500-40000)*10%,IF(J500&lt;=70000,2000+(J500-60000)*15%,IF(J500&lt;=200000,3500+(J500-70000)*20%,IF(J500&lt;=400000,29500+(J500-200000)*22.5%,IF(J500&lt;=1000000,74500+(J500-400000)*25%,224500+(J500-1000000)*27.5%)))))))/12))</f>
        <v/>
      </c>
      <c r="L500" s="8" t="str">
        <f>IF(A500="","",IF('كشف التوقيع والملخص'!$B$3="نعم",MAX(0,H500-10000)*0.003,0))</f>
        <v/>
      </c>
      <c r="M500" s="8" t="str">
        <f>IF(A500="","",I500+K500+L500)</f>
        <v/>
      </c>
      <c r="N500" s="8" t="str">
        <f>IF(A500="","",H500-M500)</f>
        <v/>
      </c>
    </row>
    <row r="501" spans="1:14" ht="14.25" x14ac:dyDescent="0.15">
      <c r="A501" s="5" t="str">
        <f>IF('بيانات الموظفين'!A501="","",'بيانات الموظفين'!A501)</f>
        <v/>
      </c>
      <c r="B501" s="5" t="str">
        <f>IF(A501="","",'بيانات الموظفين'!B501)</f>
        <v/>
      </c>
      <c r="C501" s="6" t="s">
        <v>25</v>
      </c>
      <c r="D501" s="6">
        <v>2026</v>
      </c>
      <c r="E501" s="6">
        <v>30</v>
      </c>
      <c r="F501" s="7"/>
      <c r="G501" s="7"/>
      <c r="H501" s="8" t="str">
        <f>IF(A501="","",(('بيانات الموظفين'!G501+'بيانات الموظفين'!H501)/30)*MIN(30,MAX(0,E501))+F501+G501)</f>
        <v/>
      </c>
      <c r="I501" s="8" t="str">
        <f>IF(A501="","",MIN(16700,MAX(2700,'بيانات الموظفين'!I501))*11%)</f>
        <v/>
      </c>
      <c r="J501" s="8" t="str">
        <f>IF(A501="","",MAX(0,ROUNDDOWN(H501*12-I501*12-20000,-1)))</f>
        <v/>
      </c>
      <c r="K501" s="8" t="str">
        <f>IF(A501="","",MAX(0,(IF(J501&lt;=40000,0,IF(J501&lt;=60000,(J501-40000)*10%,IF(J501&lt;=70000,2000+(J501-60000)*15%,IF(J501&lt;=200000,3500+(J501-70000)*20%,IF(J501&lt;=400000,29500+(J501-200000)*22.5%,IF(J501&lt;=1000000,74500+(J501-400000)*25%,224500+(J501-1000000)*27.5%)))))))/12))</f>
        <v/>
      </c>
      <c r="L501" s="8" t="str">
        <f>IF(A501="","",IF('كشف التوقيع والملخص'!$B$3="نعم",MAX(0,H501-10000)*0.003,0))</f>
        <v/>
      </c>
      <c r="M501" s="8" t="str">
        <f>IF(A501="","",I501+K501+L501)</f>
        <v/>
      </c>
      <c r="N501" s="8" t="str">
        <f>IF(A501="","",H501-M501)</f>
        <v/>
      </c>
    </row>
    <row r="502" spans="1:14" ht="14.25" x14ac:dyDescent="0.15">
      <c r="A502" s="5" t="str">
        <f>IF('بيانات الموظفين'!A502="","",'بيانات الموظفين'!A502)</f>
        <v/>
      </c>
      <c r="B502" s="5" t="str">
        <f>IF(A502="","",'بيانات الموظفين'!B502)</f>
        <v/>
      </c>
      <c r="C502" s="6" t="s">
        <v>25</v>
      </c>
      <c r="D502" s="6">
        <v>2026</v>
      </c>
      <c r="E502" s="6">
        <v>30</v>
      </c>
      <c r="F502" s="7"/>
      <c r="G502" s="7"/>
      <c r="H502" s="8" t="str">
        <f>IF(A502="","",(('بيانات الموظفين'!G502+'بيانات الموظفين'!H502)/30)*MIN(30,MAX(0,E502))+F502+G502)</f>
        <v/>
      </c>
      <c r="I502" s="8" t="str">
        <f>IF(A502="","",MIN(16700,MAX(2700,'بيانات الموظفين'!I502))*11%)</f>
        <v/>
      </c>
      <c r="J502" s="8" t="str">
        <f>IF(A502="","",MAX(0,ROUNDDOWN(H502*12-I502*12-20000,-1)))</f>
        <v/>
      </c>
      <c r="K502" s="8" t="str">
        <f>IF(A502="","",MAX(0,(IF(J502&lt;=40000,0,IF(J502&lt;=60000,(J502-40000)*10%,IF(J502&lt;=70000,2000+(J502-60000)*15%,IF(J502&lt;=200000,3500+(J502-70000)*20%,IF(J502&lt;=400000,29500+(J502-200000)*22.5%,IF(J502&lt;=1000000,74500+(J502-400000)*25%,224500+(J502-1000000)*27.5%)))))))/12))</f>
        <v/>
      </c>
      <c r="L502" s="8" t="str">
        <f>IF(A502="","",IF('كشف التوقيع والملخص'!$B$3="نعم",MAX(0,H502-10000)*0.003,0))</f>
        <v/>
      </c>
      <c r="M502" s="8" t="str">
        <f>IF(A502="","",I502+K502+L502)</f>
        <v/>
      </c>
      <c r="N502" s="8" t="str">
        <f>IF(A502="","",H502-M502)</f>
        <v/>
      </c>
    </row>
    <row r="503" spans="1:14" ht="14.25" x14ac:dyDescent="0.15">
      <c r="A503" s="5" t="str">
        <f>IF('بيانات الموظفين'!A503="","",'بيانات الموظفين'!A503)</f>
        <v/>
      </c>
      <c r="B503" s="5" t="str">
        <f>IF(A503="","",'بيانات الموظفين'!B503)</f>
        <v/>
      </c>
      <c r="C503" s="6" t="s">
        <v>25</v>
      </c>
      <c r="D503" s="6">
        <v>2026</v>
      </c>
      <c r="E503" s="6">
        <v>30</v>
      </c>
      <c r="F503" s="7"/>
      <c r="G503" s="7"/>
      <c r="H503" s="8" t="str">
        <f>IF(A503="","",(('بيانات الموظفين'!G503+'بيانات الموظفين'!H503)/30)*MIN(30,MAX(0,E503))+F503+G503)</f>
        <v/>
      </c>
      <c r="I503" s="8" t="str">
        <f>IF(A503="","",MIN(16700,MAX(2700,'بيانات الموظفين'!I503))*11%)</f>
        <v/>
      </c>
      <c r="J503" s="8" t="str">
        <f>IF(A503="","",MAX(0,ROUNDDOWN(H503*12-I503*12-20000,-1)))</f>
        <v/>
      </c>
      <c r="K503" s="8" t="str">
        <f>IF(A503="","",MAX(0,(IF(J503&lt;=40000,0,IF(J503&lt;=60000,(J503-40000)*10%,IF(J503&lt;=70000,2000+(J503-60000)*15%,IF(J503&lt;=200000,3500+(J503-70000)*20%,IF(J503&lt;=400000,29500+(J503-200000)*22.5%,IF(J503&lt;=1000000,74500+(J503-400000)*25%,224500+(J503-1000000)*27.5%)))))))/12))</f>
        <v/>
      </c>
      <c r="L503" s="8" t="str">
        <f>IF(A503="","",IF('كشف التوقيع والملخص'!$B$3="نعم",MAX(0,H503-10000)*0.003,0))</f>
        <v/>
      </c>
      <c r="M503" s="8" t="str">
        <f>IF(A503="","",I503+K503+L503)</f>
        <v/>
      </c>
      <c r="N503" s="8" t="str">
        <f>IF(A503="","",H503-M503)</f>
        <v/>
      </c>
    </row>
    <row r="504" spans="1:14" ht="14.25" x14ac:dyDescent="0.15">
      <c r="A504" s="5" t="str">
        <f>IF('بيانات الموظفين'!A504="","",'بيانات الموظفين'!A504)</f>
        <v/>
      </c>
      <c r="B504" s="5" t="str">
        <f>IF(A504="","",'بيانات الموظفين'!B504)</f>
        <v/>
      </c>
      <c r="C504" s="6" t="s">
        <v>25</v>
      </c>
      <c r="D504" s="6">
        <v>2026</v>
      </c>
      <c r="E504" s="6">
        <v>30</v>
      </c>
      <c r="F504" s="7"/>
      <c r="G504" s="7"/>
      <c r="H504" s="8" t="str">
        <f>IF(A504="","",(('بيانات الموظفين'!G504+'بيانات الموظفين'!H504)/30)*MIN(30,MAX(0,E504))+F504+G504)</f>
        <v/>
      </c>
      <c r="I504" s="8" t="str">
        <f>IF(A504="","",MIN(16700,MAX(2700,'بيانات الموظفين'!I504))*11%)</f>
        <v/>
      </c>
      <c r="J504" s="8" t="str">
        <f>IF(A504="","",MAX(0,ROUNDDOWN(H504*12-I504*12-20000,-1)))</f>
        <v/>
      </c>
      <c r="K504" s="8" t="str">
        <f>IF(A504="","",MAX(0,(IF(J504&lt;=40000,0,IF(J504&lt;=60000,(J504-40000)*10%,IF(J504&lt;=70000,2000+(J504-60000)*15%,IF(J504&lt;=200000,3500+(J504-70000)*20%,IF(J504&lt;=400000,29500+(J504-200000)*22.5%,IF(J504&lt;=1000000,74500+(J504-400000)*25%,224500+(J504-1000000)*27.5%)))))))/12))</f>
        <v/>
      </c>
      <c r="L504" s="8" t="str">
        <f>IF(A504="","",IF('كشف التوقيع والملخص'!$B$3="نعم",MAX(0,H504-10000)*0.003,0))</f>
        <v/>
      </c>
      <c r="M504" s="8" t="str">
        <f>IF(A504="","",I504+K504+L504)</f>
        <v/>
      </c>
      <c r="N504" s="8" t="str">
        <f>IF(A504="","",H504-M504)</f>
        <v/>
      </c>
    </row>
  </sheetData>
  <sheetProtection sheet="1" selectLockedCells="1" selectUnlockedCells="1"/>
  <autoFilter ref="A4:N504" xr:uid="{00000000-0009-0000-0000-000001000000}"/>
  <mergeCells count="2">
    <mergeCell ref="A2:N2"/>
    <mergeCell ref="A1:N1"/>
  </mergeCells>
  <pageMargins left="0.25" right="0.25" top="0.45" bottom="0.45" header="0.2" footer="0.2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10"/>
  <sheetViews>
    <sheetView showGridLines="0" rightToLeft="1" tabSelected="1" topLeftCell="B1" workbookViewId="0">
      <pane ySplit="6" topLeftCell="B7" activePane="bottomLeft" state="frozen"/>
      <selection activeCell="B1" sqref="B1"/>
      <selection pane="bottomLeft" activeCell="F25" sqref="F25"/>
    </sheetView>
  </sheetViews>
  <sheetFormatPr defaultRowHeight="13.5" x14ac:dyDescent="0.15"/>
  <cols>
    <col min="1" max="1" width="14.953125" customWidth="1"/>
    <col min="2" max="2" width="24.02734375" customWidth="1"/>
    <col min="3" max="3" width="18.01953125" customWidth="1"/>
    <col min="4" max="4" width="19.98046875" customWidth="1"/>
    <col min="5" max="5" width="4.04296875" customWidth="1"/>
    <col min="6" max="6" width="25.0078125" customWidth="1"/>
    <col min="7" max="7" width="19.98046875" customWidth="1"/>
  </cols>
  <sheetData>
    <row r="1" spans="1:7" ht="21" x14ac:dyDescent="0.3">
      <c r="A1" s="16" t="s">
        <v>0</v>
      </c>
      <c r="B1" s="17"/>
      <c r="C1" s="17"/>
      <c r="D1" s="17"/>
    </row>
    <row r="3" spans="1:7" ht="15" x14ac:dyDescent="0.2">
      <c r="A3" s="9" t="s">
        <v>26</v>
      </c>
      <c r="B3" s="10" t="s">
        <v>27</v>
      </c>
    </row>
    <row r="5" spans="1:7" ht="18" x14ac:dyDescent="0.25">
      <c r="A5" s="21" t="s">
        <v>28</v>
      </c>
      <c r="B5" s="17"/>
      <c r="C5" s="17"/>
      <c r="D5" s="17"/>
      <c r="F5" s="21" t="s">
        <v>29</v>
      </c>
      <c r="G5" s="17"/>
    </row>
    <row r="6" spans="1:7" ht="15" x14ac:dyDescent="0.2">
      <c r="A6" s="11" t="s">
        <v>30</v>
      </c>
      <c r="B6" s="11" t="s">
        <v>3</v>
      </c>
      <c r="C6" s="11" t="s">
        <v>24</v>
      </c>
      <c r="D6" s="11" t="s">
        <v>31</v>
      </c>
      <c r="F6" s="12" t="s">
        <v>32</v>
      </c>
      <c r="G6" s="13">
        <f>SUM('حساب المرتب الشهري'!H5:H504)</f>
        <v>0</v>
      </c>
    </row>
    <row r="7" spans="1:7" ht="15" x14ac:dyDescent="0.2">
      <c r="A7" s="14" t="str">
        <f>IF('حساب المرتب الشهري'!A5="","",'حساب المرتب الشهري'!A5)</f>
        <v/>
      </c>
      <c r="B7" s="14" t="str">
        <f>IF(A7="","",'حساب المرتب الشهري'!B5)</f>
        <v/>
      </c>
      <c r="C7" s="15" t="str">
        <f>IF(A7="","",'حساب المرتب الشهري'!N5)</f>
        <v/>
      </c>
      <c r="D7" s="14"/>
      <c r="F7" s="12" t="s">
        <v>33</v>
      </c>
      <c r="G7" s="13">
        <f>SUM('حساب المرتب الشهري'!I5:I504)</f>
        <v>0</v>
      </c>
    </row>
    <row r="8" spans="1:7" ht="15" x14ac:dyDescent="0.2">
      <c r="A8" s="14" t="str">
        <f>IF('حساب المرتب الشهري'!A6="","",'حساب المرتب الشهري'!A6)</f>
        <v/>
      </c>
      <c r="B8" s="14" t="str">
        <f>IF(A8="","",'حساب المرتب الشهري'!B6)</f>
        <v/>
      </c>
      <c r="C8" s="15" t="str">
        <f>IF(A8="","",'حساب المرتب الشهري'!N6)</f>
        <v/>
      </c>
      <c r="D8" s="14"/>
      <c r="F8" s="12" t="s">
        <v>34</v>
      </c>
      <c r="G8" s="13">
        <f>SUM('حساب المرتب الشهري'!K5:K504)</f>
        <v>0</v>
      </c>
    </row>
    <row r="9" spans="1:7" ht="15" x14ac:dyDescent="0.2">
      <c r="A9" s="14" t="str">
        <f>IF('حساب المرتب الشهري'!A7="","",'حساب المرتب الشهري'!A7)</f>
        <v/>
      </c>
      <c r="B9" s="14" t="str">
        <f>IF(A9="","",'حساب المرتب الشهري'!B7)</f>
        <v/>
      </c>
      <c r="C9" s="15" t="str">
        <f>IF(A9="","",'حساب المرتب الشهري'!N7)</f>
        <v/>
      </c>
      <c r="D9" s="14"/>
      <c r="F9" s="12" t="s">
        <v>35</v>
      </c>
      <c r="G9" s="13">
        <f>SUM('حساب المرتب الشهري'!I5:I504)*18.75%</f>
        <v>0</v>
      </c>
    </row>
    <row r="10" spans="1:7" ht="15" x14ac:dyDescent="0.2">
      <c r="A10" s="14" t="str">
        <f>IF('حساب المرتب الشهري'!A8="","",'حساب المرتب الشهري'!A8)</f>
        <v/>
      </c>
      <c r="B10" s="14" t="str">
        <f>IF(A10="","",'حساب المرتب الشهري'!B8)</f>
        <v/>
      </c>
      <c r="C10" s="15" t="str">
        <f>IF(A10="","",'حساب المرتب الشهري'!N8)</f>
        <v/>
      </c>
      <c r="D10" s="14"/>
      <c r="F10" s="12" t="s">
        <v>36</v>
      </c>
      <c r="G10" s="13">
        <f>SUM('حساب المرتب الشهري'!H5:H504)+G9</f>
        <v>0</v>
      </c>
    </row>
    <row r="11" spans="1:7" ht="14.25" x14ac:dyDescent="0.2">
      <c r="A11" s="14" t="str">
        <f>IF('حساب المرتب الشهري'!A9="","",'حساب المرتب الشهري'!A9)</f>
        <v/>
      </c>
      <c r="B11" s="14" t="str">
        <f>IF(A11="","",'حساب المرتب الشهري'!B9)</f>
        <v/>
      </c>
      <c r="C11" s="15" t="str">
        <f>IF(A11="","",'حساب المرتب الشهري'!N9)</f>
        <v/>
      </c>
      <c r="D11" s="14"/>
    </row>
    <row r="12" spans="1:7" ht="14.25" x14ac:dyDescent="0.2">
      <c r="A12" s="14" t="str">
        <f>IF('حساب المرتب الشهري'!A10="","",'حساب المرتب الشهري'!A10)</f>
        <v/>
      </c>
      <c r="B12" s="14" t="str">
        <f>IF(A12="","",'حساب المرتب الشهري'!B10)</f>
        <v/>
      </c>
      <c r="C12" s="15" t="str">
        <f>IF(A12="","",'حساب المرتب الشهري'!N10)</f>
        <v/>
      </c>
      <c r="D12" s="14"/>
    </row>
    <row r="13" spans="1:7" ht="14.25" x14ac:dyDescent="0.2">
      <c r="A13" s="14" t="str">
        <f>IF('حساب المرتب الشهري'!A11="","",'حساب المرتب الشهري'!A11)</f>
        <v/>
      </c>
      <c r="B13" s="14" t="str">
        <f>IF(A13="","",'حساب المرتب الشهري'!B11)</f>
        <v/>
      </c>
      <c r="C13" s="15" t="str">
        <f>IF(A13="","",'حساب المرتب الشهري'!N11)</f>
        <v/>
      </c>
      <c r="D13" s="14"/>
    </row>
    <row r="14" spans="1:7" ht="14.25" x14ac:dyDescent="0.2">
      <c r="A14" s="14" t="str">
        <f>IF('حساب المرتب الشهري'!A12="","",'حساب المرتب الشهري'!A12)</f>
        <v/>
      </c>
      <c r="B14" s="14" t="str">
        <f>IF(A14="","",'حساب المرتب الشهري'!B12)</f>
        <v/>
      </c>
      <c r="C14" s="15" t="str">
        <f>IF(A14="","",'حساب المرتب الشهري'!N12)</f>
        <v/>
      </c>
      <c r="D14" s="14"/>
    </row>
    <row r="15" spans="1:7" ht="14.25" x14ac:dyDescent="0.2">
      <c r="A15" s="14" t="str">
        <f>IF('حساب المرتب الشهري'!A13="","",'حساب المرتب الشهري'!A13)</f>
        <v/>
      </c>
      <c r="B15" s="14" t="str">
        <f>IF(A15="","",'حساب المرتب الشهري'!B13)</f>
        <v/>
      </c>
      <c r="C15" s="15" t="str">
        <f>IF(A15="","",'حساب المرتب الشهري'!N13)</f>
        <v/>
      </c>
      <c r="D15" s="14"/>
    </row>
    <row r="16" spans="1:7" ht="14.25" x14ac:dyDescent="0.2">
      <c r="A16" s="14" t="str">
        <f>IF('حساب المرتب الشهري'!A14="","",'حساب المرتب الشهري'!A14)</f>
        <v/>
      </c>
      <c r="B16" s="14" t="str">
        <f>IF(A16="","",'حساب المرتب الشهري'!B14)</f>
        <v/>
      </c>
      <c r="C16" s="15" t="str">
        <f>IF(A16="","",'حساب المرتب الشهري'!N14)</f>
        <v/>
      </c>
      <c r="D16" s="14"/>
    </row>
    <row r="17" spans="1:4" ht="14.25" x14ac:dyDescent="0.2">
      <c r="A17" s="14" t="str">
        <f>IF('حساب المرتب الشهري'!A15="","",'حساب المرتب الشهري'!A15)</f>
        <v/>
      </c>
      <c r="B17" s="14" t="str">
        <f>IF(A17="","",'حساب المرتب الشهري'!B15)</f>
        <v/>
      </c>
      <c r="C17" s="15" t="str">
        <f>IF(A17="","",'حساب المرتب الشهري'!N15)</f>
        <v/>
      </c>
      <c r="D17" s="14"/>
    </row>
    <row r="18" spans="1:4" ht="14.25" x14ac:dyDescent="0.2">
      <c r="A18" s="14" t="str">
        <f>IF('حساب المرتب الشهري'!A16="","",'حساب المرتب الشهري'!A16)</f>
        <v/>
      </c>
      <c r="B18" s="14" t="str">
        <f>IF(A18="","",'حساب المرتب الشهري'!B16)</f>
        <v/>
      </c>
      <c r="C18" s="15" t="str">
        <f>IF(A18="","",'حساب المرتب الشهري'!N16)</f>
        <v/>
      </c>
      <c r="D18" s="14"/>
    </row>
    <row r="19" spans="1:4" ht="14.25" x14ac:dyDescent="0.2">
      <c r="A19" s="14" t="str">
        <f>IF('حساب المرتب الشهري'!A17="","",'حساب المرتب الشهري'!A17)</f>
        <v/>
      </c>
      <c r="B19" s="14" t="str">
        <f>IF(A19="","",'حساب المرتب الشهري'!B17)</f>
        <v/>
      </c>
      <c r="C19" s="15" t="str">
        <f>IF(A19="","",'حساب المرتب الشهري'!N17)</f>
        <v/>
      </c>
      <c r="D19" s="14"/>
    </row>
    <row r="20" spans="1:4" ht="14.25" x14ac:dyDescent="0.2">
      <c r="A20" s="14" t="str">
        <f>IF('حساب المرتب الشهري'!A18="","",'حساب المرتب الشهري'!A18)</f>
        <v/>
      </c>
      <c r="B20" s="14" t="str">
        <f>IF(A20="","",'حساب المرتب الشهري'!B18)</f>
        <v/>
      </c>
      <c r="C20" s="15" t="str">
        <f>IF(A20="","",'حساب المرتب الشهري'!N18)</f>
        <v/>
      </c>
      <c r="D20" s="14"/>
    </row>
    <row r="21" spans="1:4" ht="14.25" x14ac:dyDescent="0.2">
      <c r="A21" s="14" t="str">
        <f>IF('حساب المرتب الشهري'!A19="","",'حساب المرتب الشهري'!A19)</f>
        <v/>
      </c>
      <c r="B21" s="14" t="str">
        <f>IF(A21="","",'حساب المرتب الشهري'!B19)</f>
        <v/>
      </c>
      <c r="C21" s="15" t="str">
        <f>IF(A21="","",'حساب المرتب الشهري'!N19)</f>
        <v/>
      </c>
      <c r="D21" s="14"/>
    </row>
    <row r="22" spans="1:4" ht="14.25" x14ac:dyDescent="0.2">
      <c r="A22" s="14" t="str">
        <f>IF('حساب المرتب الشهري'!A20="","",'حساب المرتب الشهري'!A20)</f>
        <v/>
      </c>
      <c r="B22" s="14" t="str">
        <f>IF(A22="","",'حساب المرتب الشهري'!B20)</f>
        <v/>
      </c>
      <c r="C22" s="15" t="str">
        <f>IF(A22="","",'حساب المرتب الشهري'!N20)</f>
        <v/>
      </c>
      <c r="D22" s="14"/>
    </row>
    <row r="23" spans="1:4" ht="14.25" x14ac:dyDescent="0.2">
      <c r="A23" s="14" t="str">
        <f>IF('حساب المرتب الشهري'!A21="","",'حساب المرتب الشهري'!A21)</f>
        <v/>
      </c>
      <c r="B23" s="14" t="str">
        <f>IF(A23="","",'حساب المرتب الشهري'!B21)</f>
        <v/>
      </c>
      <c r="C23" s="15" t="str">
        <f>IF(A23="","",'حساب المرتب الشهري'!N21)</f>
        <v/>
      </c>
      <c r="D23" s="14"/>
    </row>
    <row r="24" spans="1:4" ht="14.25" x14ac:dyDescent="0.2">
      <c r="A24" s="14" t="str">
        <f>IF('حساب المرتب الشهري'!A22="","",'حساب المرتب الشهري'!A22)</f>
        <v/>
      </c>
      <c r="B24" s="14" t="str">
        <f>IF(A24="","",'حساب المرتب الشهري'!B22)</f>
        <v/>
      </c>
      <c r="C24" s="15" t="str">
        <f>IF(A24="","",'حساب المرتب الشهري'!N22)</f>
        <v/>
      </c>
      <c r="D24" s="14"/>
    </row>
    <row r="25" spans="1:4" ht="14.25" x14ac:dyDescent="0.2">
      <c r="A25" s="14" t="str">
        <f>IF('حساب المرتب الشهري'!A23="","",'حساب المرتب الشهري'!A23)</f>
        <v/>
      </c>
      <c r="B25" s="14" t="str">
        <f>IF(A25="","",'حساب المرتب الشهري'!B23)</f>
        <v/>
      </c>
      <c r="C25" s="15" t="str">
        <f>IF(A25="","",'حساب المرتب الشهري'!N23)</f>
        <v/>
      </c>
      <c r="D25" s="14"/>
    </row>
    <row r="26" spans="1:4" ht="14.25" x14ac:dyDescent="0.2">
      <c r="A26" s="14" t="str">
        <f>IF('حساب المرتب الشهري'!A24="","",'حساب المرتب الشهري'!A24)</f>
        <v/>
      </c>
      <c r="B26" s="14" t="str">
        <f>IF(A26="","",'حساب المرتب الشهري'!B24)</f>
        <v/>
      </c>
      <c r="C26" s="15" t="str">
        <f>IF(A26="","",'حساب المرتب الشهري'!N24)</f>
        <v/>
      </c>
      <c r="D26" s="14"/>
    </row>
    <row r="27" spans="1:4" ht="14.25" x14ac:dyDescent="0.2">
      <c r="A27" s="14" t="str">
        <f>IF('حساب المرتب الشهري'!A25="","",'حساب المرتب الشهري'!A25)</f>
        <v/>
      </c>
      <c r="B27" s="14" t="str">
        <f>IF(A27="","",'حساب المرتب الشهري'!B25)</f>
        <v/>
      </c>
      <c r="C27" s="15" t="str">
        <f>IF(A27="","",'حساب المرتب الشهري'!N25)</f>
        <v/>
      </c>
      <c r="D27" s="14"/>
    </row>
    <row r="28" spans="1:4" ht="14.25" x14ac:dyDescent="0.2">
      <c r="A28" s="14" t="str">
        <f>IF('حساب المرتب الشهري'!A26="","",'حساب المرتب الشهري'!A26)</f>
        <v/>
      </c>
      <c r="B28" s="14" t="str">
        <f>IF(A28="","",'حساب المرتب الشهري'!B26)</f>
        <v/>
      </c>
      <c r="C28" s="15" t="str">
        <f>IF(A28="","",'حساب المرتب الشهري'!N26)</f>
        <v/>
      </c>
      <c r="D28" s="14"/>
    </row>
    <row r="29" spans="1:4" ht="14.25" x14ac:dyDescent="0.2">
      <c r="A29" s="14" t="str">
        <f>IF('حساب المرتب الشهري'!A27="","",'حساب المرتب الشهري'!A27)</f>
        <v/>
      </c>
      <c r="B29" s="14" t="str">
        <f>IF(A29="","",'حساب المرتب الشهري'!B27)</f>
        <v/>
      </c>
      <c r="C29" s="15" t="str">
        <f>IF(A29="","",'حساب المرتب الشهري'!N27)</f>
        <v/>
      </c>
      <c r="D29" s="14"/>
    </row>
    <row r="30" spans="1:4" ht="14.25" x14ac:dyDescent="0.2">
      <c r="A30" s="14" t="str">
        <f>IF('حساب المرتب الشهري'!A28="","",'حساب المرتب الشهري'!A28)</f>
        <v/>
      </c>
      <c r="B30" s="14" t="str">
        <f>IF(A30="","",'حساب المرتب الشهري'!B28)</f>
        <v/>
      </c>
      <c r="C30" s="15" t="str">
        <f>IF(A30="","",'حساب المرتب الشهري'!N28)</f>
        <v/>
      </c>
      <c r="D30" s="14"/>
    </row>
    <row r="31" spans="1:4" ht="14.25" x14ac:dyDescent="0.2">
      <c r="A31" s="14" t="str">
        <f>IF('حساب المرتب الشهري'!A29="","",'حساب المرتب الشهري'!A29)</f>
        <v/>
      </c>
      <c r="B31" s="14" t="str">
        <f>IF(A31="","",'حساب المرتب الشهري'!B29)</f>
        <v/>
      </c>
      <c r="C31" s="15" t="str">
        <f>IF(A31="","",'حساب المرتب الشهري'!N29)</f>
        <v/>
      </c>
      <c r="D31" s="14"/>
    </row>
    <row r="32" spans="1:4" ht="14.25" x14ac:dyDescent="0.2">
      <c r="A32" s="14" t="str">
        <f>IF('حساب المرتب الشهري'!A30="","",'حساب المرتب الشهري'!A30)</f>
        <v/>
      </c>
      <c r="B32" s="14" t="str">
        <f>IF(A32="","",'حساب المرتب الشهري'!B30)</f>
        <v/>
      </c>
      <c r="C32" s="15" t="str">
        <f>IF(A32="","",'حساب المرتب الشهري'!N30)</f>
        <v/>
      </c>
      <c r="D32" s="14"/>
    </row>
    <row r="33" spans="1:4" ht="14.25" x14ac:dyDescent="0.2">
      <c r="A33" s="14" t="str">
        <f>IF('حساب المرتب الشهري'!A31="","",'حساب المرتب الشهري'!A31)</f>
        <v/>
      </c>
      <c r="B33" s="14" t="str">
        <f>IF(A33="","",'حساب المرتب الشهري'!B31)</f>
        <v/>
      </c>
      <c r="C33" s="15" t="str">
        <f>IF(A33="","",'حساب المرتب الشهري'!N31)</f>
        <v/>
      </c>
      <c r="D33" s="14"/>
    </row>
    <row r="34" spans="1:4" ht="14.25" x14ac:dyDescent="0.2">
      <c r="A34" s="14" t="str">
        <f>IF('حساب المرتب الشهري'!A32="","",'حساب المرتب الشهري'!A32)</f>
        <v/>
      </c>
      <c r="B34" s="14" t="str">
        <f>IF(A34="","",'حساب المرتب الشهري'!B32)</f>
        <v/>
      </c>
      <c r="C34" s="15" t="str">
        <f>IF(A34="","",'حساب المرتب الشهري'!N32)</f>
        <v/>
      </c>
      <c r="D34" s="14"/>
    </row>
    <row r="35" spans="1:4" ht="14.25" x14ac:dyDescent="0.2">
      <c r="A35" s="14" t="str">
        <f>IF('حساب المرتب الشهري'!A33="","",'حساب المرتب الشهري'!A33)</f>
        <v/>
      </c>
      <c r="B35" s="14" t="str">
        <f>IF(A35="","",'حساب المرتب الشهري'!B33)</f>
        <v/>
      </c>
      <c r="C35" s="15" t="str">
        <f>IF(A35="","",'حساب المرتب الشهري'!N33)</f>
        <v/>
      </c>
      <c r="D35" s="14"/>
    </row>
    <row r="36" spans="1:4" ht="14.25" x14ac:dyDescent="0.2">
      <c r="A36" s="14" t="str">
        <f>IF('حساب المرتب الشهري'!A34="","",'حساب المرتب الشهري'!A34)</f>
        <v/>
      </c>
      <c r="B36" s="14" t="str">
        <f>IF(A36="","",'حساب المرتب الشهري'!B34)</f>
        <v/>
      </c>
      <c r="C36" s="15" t="str">
        <f>IF(A36="","",'حساب المرتب الشهري'!N34)</f>
        <v/>
      </c>
      <c r="D36" s="14"/>
    </row>
    <row r="37" spans="1:4" ht="14.25" x14ac:dyDescent="0.2">
      <c r="A37" s="14" t="str">
        <f>IF('حساب المرتب الشهري'!A35="","",'حساب المرتب الشهري'!A35)</f>
        <v/>
      </c>
      <c r="B37" s="14" t="str">
        <f>IF(A37="","",'حساب المرتب الشهري'!B35)</f>
        <v/>
      </c>
      <c r="C37" s="15" t="str">
        <f>IF(A37="","",'حساب المرتب الشهري'!N35)</f>
        <v/>
      </c>
      <c r="D37" s="14"/>
    </row>
    <row r="38" spans="1:4" ht="14.25" x14ac:dyDescent="0.2">
      <c r="A38" s="14" t="str">
        <f>IF('حساب المرتب الشهري'!A36="","",'حساب المرتب الشهري'!A36)</f>
        <v/>
      </c>
      <c r="B38" s="14" t="str">
        <f>IF(A38="","",'حساب المرتب الشهري'!B36)</f>
        <v/>
      </c>
      <c r="C38" s="15" t="str">
        <f>IF(A38="","",'حساب المرتب الشهري'!N36)</f>
        <v/>
      </c>
      <c r="D38" s="14"/>
    </row>
    <row r="39" spans="1:4" ht="14.25" x14ac:dyDescent="0.2">
      <c r="A39" s="14" t="str">
        <f>IF('حساب المرتب الشهري'!A37="","",'حساب المرتب الشهري'!A37)</f>
        <v/>
      </c>
      <c r="B39" s="14" t="str">
        <f>IF(A39="","",'حساب المرتب الشهري'!B37)</f>
        <v/>
      </c>
      <c r="C39" s="15" t="str">
        <f>IF(A39="","",'حساب المرتب الشهري'!N37)</f>
        <v/>
      </c>
      <c r="D39" s="14"/>
    </row>
    <row r="40" spans="1:4" ht="14.25" x14ac:dyDescent="0.2">
      <c r="A40" s="14" t="str">
        <f>IF('حساب المرتب الشهري'!A38="","",'حساب المرتب الشهري'!A38)</f>
        <v/>
      </c>
      <c r="B40" s="14" t="str">
        <f>IF(A40="","",'حساب المرتب الشهري'!B38)</f>
        <v/>
      </c>
      <c r="C40" s="15" t="str">
        <f>IF(A40="","",'حساب المرتب الشهري'!N38)</f>
        <v/>
      </c>
      <c r="D40" s="14"/>
    </row>
    <row r="41" spans="1:4" ht="14.25" x14ac:dyDescent="0.2">
      <c r="A41" s="14" t="str">
        <f>IF('حساب المرتب الشهري'!A39="","",'حساب المرتب الشهري'!A39)</f>
        <v/>
      </c>
      <c r="B41" s="14" t="str">
        <f>IF(A41="","",'حساب المرتب الشهري'!B39)</f>
        <v/>
      </c>
      <c r="C41" s="15" t="str">
        <f>IF(A41="","",'حساب المرتب الشهري'!N39)</f>
        <v/>
      </c>
      <c r="D41" s="14"/>
    </row>
    <row r="42" spans="1:4" ht="14.25" x14ac:dyDescent="0.2">
      <c r="A42" s="14" t="str">
        <f>IF('حساب المرتب الشهري'!A40="","",'حساب المرتب الشهري'!A40)</f>
        <v/>
      </c>
      <c r="B42" s="14" t="str">
        <f>IF(A42="","",'حساب المرتب الشهري'!B40)</f>
        <v/>
      </c>
      <c r="C42" s="15" t="str">
        <f>IF(A42="","",'حساب المرتب الشهري'!N40)</f>
        <v/>
      </c>
      <c r="D42" s="14"/>
    </row>
    <row r="43" spans="1:4" ht="14.25" x14ac:dyDescent="0.2">
      <c r="A43" s="14" t="str">
        <f>IF('حساب المرتب الشهري'!A41="","",'حساب المرتب الشهري'!A41)</f>
        <v/>
      </c>
      <c r="B43" s="14" t="str">
        <f>IF(A43="","",'حساب المرتب الشهري'!B41)</f>
        <v/>
      </c>
      <c r="C43" s="15" t="str">
        <f>IF(A43="","",'حساب المرتب الشهري'!N41)</f>
        <v/>
      </c>
      <c r="D43" s="14"/>
    </row>
    <row r="44" spans="1:4" ht="14.25" x14ac:dyDescent="0.2">
      <c r="A44" s="14" t="str">
        <f>IF('حساب المرتب الشهري'!A42="","",'حساب المرتب الشهري'!A42)</f>
        <v/>
      </c>
      <c r="B44" s="14" t="str">
        <f>IF(A44="","",'حساب المرتب الشهري'!B42)</f>
        <v/>
      </c>
      <c r="C44" s="15" t="str">
        <f>IF(A44="","",'حساب المرتب الشهري'!N42)</f>
        <v/>
      </c>
      <c r="D44" s="14"/>
    </row>
    <row r="45" spans="1:4" ht="14.25" x14ac:dyDescent="0.2">
      <c r="A45" s="14" t="str">
        <f>IF('حساب المرتب الشهري'!A43="","",'حساب المرتب الشهري'!A43)</f>
        <v/>
      </c>
      <c r="B45" s="14" t="str">
        <f>IF(A45="","",'حساب المرتب الشهري'!B43)</f>
        <v/>
      </c>
      <c r="C45" s="15" t="str">
        <f>IF(A45="","",'حساب المرتب الشهري'!N43)</f>
        <v/>
      </c>
      <c r="D45" s="14"/>
    </row>
    <row r="46" spans="1:4" ht="14.25" x14ac:dyDescent="0.2">
      <c r="A46" s="14" t="str">
        <f>IF('حساب المرتب الشهري'!A44="","",'حساب المرتب الشهري'!A44)</f>
        <v/>
      </c>
      <c r="B46" s="14" t="str">
        <f>IF(A46="","",'حساب المرتب الشهري'!B44)</f>
        <v/>
      </c>
      <c r="C46" s="15" t="str">
        <f>IF(A46="","",'حساب المرتب الشهري'!N44)</f>
        <v/>
      </c>
      <c r="D46" s="14"/>
    </row>
    <row r="47" spans="1:4" ht="14.25" x14ac:dyDescent="0.2">
      <c r="A47" s="14" t="str">
        <f>IF('حساب المرتب الشهري'!A45="","",'حساب المرتب الشهري'!A45)</f>
        <v/>
      </c>
      <c r="B47" s="14" t="str">
        <f>IF(A47="","",'حساب المرتب الشهري'!B45)</f>
        <v/>
      </c>
      <c r="C47" s="15" t="str">
        <f>IF(A47="","",'حساب المرتب الشهري'!N45)</f>
        <v/>
      </c>
      <c r="D47" s="14"/>
    </row>
    <row r="48" spans="1:4" ht="14.25" x14ac:dyDescent="0.2">
      <c r="A48" s="14" t="str">
        <f>IF('حساب المرتب الشهري'!A46="","",'حساب المرتب الشهري'!A46)</f>
        <v/>
      </c>
      <c r="B48" s="14" t="str">
        <f>IF(A48="","",'حساب المرتب الشهري'!B46)</f>
        <v/>
      </c>
      <c r="C48" s="15" t="str">
        <f>IF(A48="","",'حساب المرتب الشهري'!N46)</f>
        <v/>
      </c>
      <c r="D48" s="14"/>
    </row>
    <row r="49" spans="1:4" ht="14.25" x14ac:dyDescent="0.2">
      <c r="A49" s="14" t="str">
        <f>IF('حساب المرتب الشهري'!A47="","",'حساب المرتب الشهري'!A47)</f>
        <v/>
      </c>
      <c r="B49" s="14" t="str">
        <f>IF(A49="","",'حساب المرتب الشهري'!B47)</f>
        <v/>
      </c>
      <c r="C49" s="15" t="str">
        <f>IF(A49="","",'حساب المرتب الشهري'!N47)</f>
        <v/>
      </c>
      <c r="D49" s="14"/>
    </row>
    <row r="50" spans="1:4" ht="14.25" x14ac:dyDescent="0.2">
      <c r="A50" s="14" t="str">
        <f>IF('حساب المرتب الشهري'!A48="","",'حساب المرتب الشهري'!A48)</f>
        <v/>
      </c>
      <c r="B50" s="14" t="str">
        <f>IF(A50="","",'حساب المرتب الشهري'!B48)</f>
        <v/>
      </c>
      <c r="C50" s="15" t="str">
        <f>IF(A50="","",'حساب المرتب الشهري'!N48)</f>
        <v/>
      </c>
      <c r="D50" s="14"/>
    </row>
    <row r="51" spans="1:4" ht="14.25" x14ac:dyDescent="0.2">
      <c r="A51" s="14" t="str">
        <f>IF('حساب المرتب الشهري'!A49="","",'حساب المرتب الشهري'!A49)</f>
        <v/>
      </c>
      <c r="B51" s="14" t="str">
        <f>IF(A51="","",'حساب المرتب الشهري'!B49)</f>
        <v/>
      </c>
      <c r="C51" s="15" t="str">
        <f>IF(A51="","",'حساب المرتب الشهري'!N49)</f>
        <v/>
      </c>
      <c r="D51" s="14"/>
    </row>
    <row r="52" spans="1:4" ht="14.25" x14ac:dyDescent="0.2">
      <c r="A52" s="14" t="str">
        <f>IF('حساب المرتب الشهري'!A50="","",'حساب المرتب الشهري'!A50)</f>
        <v/>
      </c>
      <c r="B52" s="14" t="str">
        <f>IF(A52="","",'حساب المرتب الشهري'!B50)</f>
        <v/>
      </c>
      <c r="C52" s="15" t="str">
        <f>IF(A52="","",'حساب المرتب الشهري'!N50)</f>
        <v/>
      </c>
      <c r="D52" s="14"/>
    </row>
    <row r="53" spans="1:4" ht="14.25" x14ac:dyDescent="0.2">
      <c r="A53" s="14" t="str">
        <f>IF('حساب المرتب الشهري'!A51="","",'حساب المرتب الشهري'!A51)</f>
        <v/>
      </c>
      <c r="B53" s="14" t="str">
        <f>IF(A53="","",'حساب المرتب الشهري'!B51)</f>
        <v/>
      </c>
      <c r="C53" s="15" t="str">
        <f>IF(A53="","",'حساب المرتب الشهري'!N51)</f>
        <v/>
      </c>
      <c r="D53" s="14"/>
    </row>
    <row r="54" spans="1:4" ht="14.25" x14ac:dyDescent="0.2">
      <c r="A54" s="14" t="str">
        <f>IF('حساب المرتب الشهري'!A52="","",'حساب المرتب الشهري'!A52)</f>
        <v/>
      </c>
      <c r="B54" s="14" t="str">
        <f>IF(A54="","",'حساب المرتب الشهري'!B52)</f>
        <v/>
      </c>
      <c r="C54" s="15" t="str">
        <f>IF(A54="","",'حساب المرتب الشهري'!N52)</f>
        <v/>
      </c>
      <c r="D54" s="14"/>
    </row>
    <row r="55" spans="1:4" ht="14.25" x14ac:dyDescent="0.2">
      <c r="A55" s="14" t="str">
        <f>IF('حساب المرتب الشهري'!A53="","",'حساب المرتب الشهري'!A53)</f>
        <v/>
      </c>
      <c r="B55" s="14" t="str">
        <f>IF(A55="","",'حساب المرتب الشهري'!B53)</f>
        <v/>
      </c>
      <c r="C55" s="15" t="str">
        <f>IF(A55="","",'حساب المرتب الشهري'!N53)</f>
        <v/>
      </c>
      <c r="D55" s="14"/>
    </row>
    <row r="56" spans="1:4" ht="14.25" x14ac:dyDescent="0.2">
      <c r="A56" s="14" t="str">
        <f>IF('حساب المرتب الشهري'!A54="","",'حساب المرتب الشهري'!A54)</f>
        <v/>
      </c>
      <c r="B56" s="14" t="str">
        <f>IF(A56="","",'حساب المرتب الشهري'!B54)</f>
        <v/>
      </c>
      <c r="C56" s="15" t="str">
        <f>IF(A56="","",'حساب المرتب الشهري'!N54)</f>
        <v/>
      </c>
      <c r="D56" s="14"/>
    </row>
    <row r="57" spans="1:4" ht="14.25" x14ac:dyDescent="0.2">
      <c r="A57" s="14" t="str">
        <f>IF('حساب المرتب الشهري'!A55="","",'حساب المرتب الشهري'!A55)</f>
        <v/>
      </c>
      <c r="B57" s="14" t="str">
        <f>IF(A57="","",'حساب المرتب الشهري'!B55)</f>
        <v/>
      </c>
      <c r="C57" s="15" t="str">
        <f>IF(A57="","",'حساب المرتب الشهري'!N55)</f>
        <v/>
      </c>
      <c r="D57" s="14"/>
    </row>
    <row r="58" spans="1:4" ht="14.25" x14ac:dyDescent="0.2">
      <c r="A58" s="14" t="str">
        <f>IF('حساب المرتب الشهري'!A56="","",'حساب المرتب الشهري'!A56)</f>
        <v/>
      </c>
      <c r="B58" s="14" t="str">
        <f>IF(A58="","",'حساب المرتب الشهري'!B56)</f>
        <v/>
      </c>
      <c r="C58" s="15" t="str">
        <f>IF(A58="","",'حساب المرتب الشهري'!N56)</f>
        <v/>
      </c>
      <c r="D58" s="14"/>
    </row>
    <row r="59" spans="1:4" ht="14.25" x14ac:dyDescent="0.2">
      <c r="A59" s="14" t="str">
        <f>IF('حساب المرتب الشهري'!A57="","",'حساب المرتب الشهري'!A57)</f>
        <v/>
      </c>
      <c r="B59" s="14" t="str">
        <f>IF(A59="","",'حساب المرتب الشهري'!B57)</f>
        <v/>
      </c>
      <c r="C59" s="15" t="str">
        <f>IF(A59="","",'حساب المرتب الشهري'!N57)</f>
        <v/>
      </c>
      <c r="D59" s="14"/>
    </row>
    <row r="60" spans="1:4" ht="14.25" x14ac:dyDescent="0.2">
      <c r="A60" s="14" t="str">
        <f>IF('حساب المرتب الشهري'!A58="","",'حساب المرتب الشهري'!A58)</f>
        <v/>
      </c>
      <c r="B60" s="14" t="str">
        <f>IF(A60="","",'حساب المرتب الشهري'!B58)</f>
        <v/>
      </c>
      <c r="C60" s="15" t="str">
        <f>IF(A60="","",'حساب المرتب الشهري'!N58)</f>
        <v/>
      </c>
      <c r="D60" s="14"/>
    </row>
    <row r="61" spans="1:4" ht="14.25" x14ac:dyDescent="0.2">
      <c r="A61" s="14" t="str">
        <f>IF('حساب المرتب الشهري'!A59="","",'حساب المرتب الشهري'!A59)</f>
        <v/>
      </c>
      <c r="B61" s="14" t="str">
        <f>IF(A61="","",'حساب المرتب الشهري'!B59)</f>
        <v/>
      </c>
      <c r="C61" s="15" t="str">
        <f>IF(A61="","",'حساب المرتب الشهري'!N59)</f>
        <v/>
      </c>
      <c r="D61" s="14"/>
    </row>
    <row r="62" spans="1:4" ht="14.25" x14ac:dyDescent="0.2">
      <c r="A62" s="14" t="str">
        <f>IF('حساب المرتب الشهري'!A60="","",'حساب المرتب الشهري'!A60)</f>
        <v/>
      </c>
      <c r="B62" s="14" t="str">
        <f>IF(A62="","",'حساب المرتب الشهري'!B60)</f>
        <v/>
      </c>
      <c r="C62" s="15" t="str">
        <f>IF(A62="","",'حساب المرتب الشهري'!N60)</f>
        <v/>
      </c>
      <c r="D62" s="14"/>
    </row>
    <row r="63" spans="1:4" ht="14.25" x14ac:dyDescent="0.2">
      <c r="A63" s="14" t="str">
        <f>IF('حساب المرتب الشهري'!A61="","",'حساب المرتب الشهري'!A61)</f>
        <v/>
      </c>
      <c r="B63" s="14" t="str">
        <f>IF(A63="","",'حساب المرتب الشهري'!B61)</f>
        <v/>
      </c>
      <c r="C63" s="15" t="str">
        <f>IF(A63="","",'حساب المرتب الشهري'!N61)</f>
        <v/>
      </c>
      <c r="D63" s="14"/>
    </row>
    <row r="64" spans="1:4" ht="14.25" x14ac:dyDescent="0.2">
      <c r="A64" s="14" t="str">
        <f>IF('حساب المرتب الشهري'!A62="","",'حساب المرتب الشهري'!A62)</f>
        <v/>
      </c>
      <c r="B64" s="14" t="str">
        <f>IF(A64="","",'حساب المرتب الشهري'!B62)</f>
        <v/>
      </c>
      <c r="C64" s="15" t="str">
        <f>IF(A64="","",'حساب المرتب الشهري'!N62)</f>
        <v/>
      </c>
      <c r="D64" s="14"/>
    </row>
    <row r="65" spans="1:4" ht="14.25" x14ac:dyDescent="0.2">
      <c r="A65" s="14" t="str">
        <f>IF('حساب المرتب الشهري'!A63="","",'حساب المرتب الشهري'!A63)</f>
        <v/>
      </c>
      <c r="B65" s="14" t="str">
        <f>IF(A65="","",'حساب المرتب الشهري'!B63)</f>
        <v/>
      </c>
      <c r="C65" s="15" t="str">
        <f>IF(A65="","",'حساب المرتب الشهري'!N63)</f>
        <v/>
      </c>
      <c r="D65" s="14"/>
    </row>
    <row r="66" spans="1:4" ht="14.25" x14ac:dyDescent="0.2">
      <c r="A66" s="14" t="str">
        <f>IF('حساب المرتب الشهري'!A64="","",'حساب المرتب الشهري'!A64)</f>
        <v/>
      </c>
      <c r="B66" s="14" t="str">
        <f>IF(A66="","",'حساب المرتب الشهري'!B64)</f>
        <v/>
      </c>
      <c r="C66" s="15" t="str">
        <f>IF(A66="","",'حساب المرتب الشهري'!N64)</f>
        <v/>
      </c>
      <c r="D66" s="14"/>
    </row>
    <row r="67" spans="1:4" ht="14.25" x14ac:dyDescent="0.2">
      <c r="A67" s="14" t="str">
        <f>IF('حساب المرتب الشهري'!A65="","",'حساب المرتب الشهري'!A65)</f>
        <v/>
      </c>
      <c r="B67" s="14" t="str">
        <f>IF(A67="","",'حساب المرتب الشهري'!B65)</f>
        <v/>
      </c>
      <c r="C67" s="15" t="str">
        <f>IF(A67="","",'حساب المرتب الشهري'!N65)</f>
        <v/>
      </c>
      <c r="D67" s="14"/>
    </row>
    <row r="68" spans="1:4" ht="14.25" x14ac:dyDescent="0.2">
      <c r="A68" s="14" t="str">
        <f>IF('حساب المرتب الشهري'!A66="","",'حساب المرتب الشهري'!A66)</f>
        <v/>
      </c>
      <c r="B68" s="14" t="str">
        <f>IF(A68="","",'حساب المرتب الشهري'!B66)</f>
        <v/>
      </c>
      <c r="C68" s="15" t="str">
        <f>IF(A68="","",'حساب المرتب الشهري'!N66)</f>
        <v/>
      </c>
      <c r="D68" s="14"/>
    </row>
    <row r="69" spans="1:4" ht="14.25" x14ac:dyDescent="0.2">
      <c r="A69" s="14" t="str">
        <f>IF('حساب المرتب الشهري'!A67="","",'حساب المرتب الشهري'!A67)</f>
        <v/>
      </c>
      <c r="B69" s="14" t="str">
        <f>IF(A69="","",'حساب المرتب الشهري'!B67)</f>
        <v/>
      </c>
      <c r="C69" s="15" t="str">
        <f>IF(A69="","",'حساب المرتب الشهري'!N67)</f>
        <v/>
      </c>
      <c r="D69" s="14"/>
    </row>
    <row r="70" spans="1:4" ht="14.25" x14ac:dyDescent="0.2">
      <c r="A70" s="14" t="str">
        <f>IF('حساب المرتب الشهري'!A68="","",'حساب المرتب الشهري'!A68)</f>
        <v/>
      </c>
      <c r="B70" s="14" t="str">
        <f>IF(A70="","",'حساب المرتب الشهري'!B68)</f>
        <v/>
      </c>
      <c r="C70" s="15" t="str">
        <f>IF(A70="","",'حساب المرتب الشهري'!N68)</f>
        <v/>
      </c>
      <c r="D70" s="14"/>
    </row>
    <row r="71" spans="1:4" ht="14.25" x14ac:dyDescent="0.2">
      <c r="A71" s="14" t="str">
        <f>IF('حساب المرتب الشهري'!A69="","",'حساب المرتب الشهري'!A69)</f>
        <v/>
      </c>
      <c r="B71" s="14" t="str">
        <f>IF(A71="","",'حساب المرتب الشهري'!B69)</f>
        <v/>
      </c>
      <c r="C71" s="15" t="str">
        <f>IF(A71="","",'حساب المرتب الشهري'!N69)</f>
        <v/>
      </c>
      <c r="D71" s="14"/>
    </row>
    <row r="72" spans="1:4" ht="14.25" x14ac:dyDescent="0.2">
      <c r="A72" s="14" t="str">
        <f>IF('حساب المرتب الشهري'!A70="","",'حساب المرتب الشهري'!A70)</f>
        <v/>
      </c>
      <c r="B72" s="14" t="str">
        <f>IF(A72="","",'حساب المرتب الشهري'!B70)</f>
        <v/>
      </c>
      <c r="C72" s="15" t="str">
        <f>IF(A72="","",'حساب المرتب الشهري'!N70)</f>
        <v/>
      </c>
      <c r="D72" s="14"/>
    </row>
    <row r="73" spans="1:4" ht="14.25" x14ac:dyDescent="0.2">
      <c r="A73" s="14" t="str">
        <f>IF('حساب المرتب الشهري'!A71="","",'حساب المرتب الشهري'!A71)</f>
        <v/>
      </c>
      <c r="B73" s="14" t="str">
        <f>IF(A73="","",'حساب المرتب الشهري'!B71)</f>
        <v/>
      </c>
      <c r="C73" s="15" t="str">
        <f>IF(A73="","",'حساب المرتب الشهري'!N71)</f>
        <v/>
      </c>
      <c r="D73" s="14"/>
    </row>
    <row r="74" spans="1:4" ht="14.25" x14ac:dyDescent="0.2">
      <c r="A74" s="14" t="str">
        <f>IF('حساب المرتب الشهري'!A72="","",'حساب المرتب الشهري'!A72)</f>
        <v/>
      </c>
      <c r="B74" s="14" t="str">
        <f>IF(A74="","",'حساب المرتب الشهري'!B72)</f>
        <v/>
      </c>
      <c r="C74" s="15" t="str">
        <f>IF(A74="","",'حساب المرتب الشهري'!N72)</f>
        <v/>
      </c>
      <c r="D74" s="14"/>
    </row>
    <row r="75" spans="1:4" ht="14.25" x14ac:dyDescent="0.2">
      <c r="A75" s="14" t="str">
        <f>IF('حساب المرتب الشهري'!A73="","",'حساب المرتب الشهري'!A73)</f>
        <v/>
      </c>
      <c r="B75" s="14" t="str">
        <f>IF(A75="","",'حساب المرتب الشهري'!B73)</f>
        <v/>
      </c>
      <c r="C75" s="15" t="str">
        <f>IF(A75="","",'حساب المرتب الشهري'!N73)</f>
        <v/>
      </c>
      <c r="D75" s="14"/>
    </row>
    <row r="76" spans="1:4" ht="14.25" x14ac:dyDescent="0.2">
      <c r="A76" s="14" t="str">
        <f>IF('حساب المرتب الشهري'!A74="","",'حساب المرتب الشهري'!A74)</f>
        <v/>
      </c>
      <c r="B76" s="14" t="str">
        <f>IF(A76="","",'حساب المرتب الشهري'!B74)</f>
        <v/>
      </c>
      <c r="C76" s="15" t="str">
        <f>IF(A76="","",'حساب المرتب الشهري'!N74)</f>
        <v/>
      </c>
      <c r="D76" s="14"/>
    </row>
    <row r="77" spans="1:4" ht="14.25" x14ac:dyDescent="0.2">
      <c r="A77" s="14" t="str">
        <f>IF('حساب المرتب الشهري'!A75="","",'حساب المرتب الشهري'!A75)</f>
        <v/>
      </c>
      <c r="B77" s="14" t="str">
        <f>IF(A77="","",'حساب المرتب الشهري'!B75)</f>
        <v/>
      </c>
      <c r="C77" s="15" t="str">
        <f>IF(A77="","",'حساب المرتب الشهري'!N75)</f>
        <v/>
      </c>
      <c r="D77" s="14"/>
    </row>
    <row r="78" spans="1:4" ht="14.25" x14ac:dyDescent="0.2">
      <c r="A78" s="14" t="str">
        <f>IF('حساب المرتب الشهري'!A76="","",'حساب المرتب الشهري'!A76)</f>
        <v/>
      </c>
      <c r="B78" s="14" t="str">
        <f>IF(A78="","",'حساب المرتب الشهري'!B76)</f>
        <v/>
      </c>
      <c r="C78" s="15" t="str">
        <f>IF(A78="","",'حساب المرتب الشهري'!N76)</f>
        <v/>
      </c>
      <c r="D78" s="14"/>
    </row>
    <row r="79" spans="1:4" ht="14.25" x14ac:dyDescent="0.2">
      <c r="A79" s="14" t="str">
        <f>IF('حساب المرتب الشهري'!A77="","",'حساب المرتب الشهري'!A77)</f>
        <v/>
      </c>
      <c r="B79" s="14" t="str">
        <f>IF(A79="","",'حساب المرتب الشهري'!B77)</f>
        <v/>
      </c>
      <c r="C79" s="15" t="str">
        <f>IF(A79="","",'حساب المرتب الشهري'!N77)</f>
        <v/>
      </c>
      <c r="D79" s="14"/>
    </row>
    <row r="80" spans="1:4" ht="14.25" x14ac:dyDescent="0.2">
      <c r="A80" s="14" t="str">
        <f>IF('حساب المرتب الشهري'!A78="","",'حساب المرتب الشهري'!A78)</f>
        <v/>
      </c>
      <c r="B80" s="14" t="str">
        <f>IF(A80="","",'حساب المرتب الشهري'!B78)</f>
        <v/>
      </c>
      <c r="C80" s="15" t="str">
        <f>IF(A80="","",'حساب المرتب الشهري'!N78)</f>
        <v/>
      </c>
      <c r="D80" s="14"/>
    </row>
    <row r="81" spans="1:4" ht="14.25" x14ac:dyDescent="0.2">
      <c r="A81" s="14" t="str">
        <f>IF('حساب المرتب الشهري'!A79="","",'حساب المرتب الشهري'!A79)</f>
        <v/>
      </c>
      <c r="B81" s="14" t="str">
        <f>IF(A81="","",'حساب المرتب الشهري'!B79)</f>
        <v/>
      </c>
      <c r="C81" s="15" t="str">
        <f>IF(A81="","",'حساب المرتب الشهري'!N79)</f>
        <v/>
      </c>
      <c r="D81" s="14"/>
    </row>
    <row r="82" spans="1:4" ht="14.25" x14ac:dyDescent="0.2">
      <c r="A82" s="14" t="str">
        <f>IF('حساب المرتب الشهري'!A80="","",'حساب المرتب الشهري'!A80)</f>
        <v/>
      </c>
      <c r="B82" s="14" t="str">
        <f>IF(A82="","",'حساب المرتب الشهري'!B80)</f>
        <v/>
      </c>
      <c r="C82" s="15" t="str">
        <f>IF(A82="","",'حساب المرتب الشهري'!N80)</f>
        <v/>
      </c>
      <c r="D82" s="14"/>
    </row>
    <row r="83" spans="1:4" ht="14.25" x14ac:dyDescent="0.2">
      <c r="A83" s="14" t="str">
        <f>IF('حساب المرتب الشهري'!A81="","",'حساب المرتب الشهري'!A81)</f>
        <v/>
      </c>
      <c r="B83" s="14" t="str">
        <f>IF(A83="","",'حساب المرتب الشهري'!B81)</f>
        <v/>
      </c>
      <c r="C83" s="15" t="str">
        <f>IF(A83="","",'حساب المرتب الشهري'!N81)</f>
        <v/>
      </c>
      <c r="D83" s="14"/>
    </row>
    <row r="84" spans="1:4" ht="14.25" x14ac:dyDescent="0.2">
      <c r="A84" s="14" t="str">
        <f>IF('حساب المرتب الشهري'!A82="","",'حساب المرتب الشهري'!A82)</f>
        <v/>
      </c>
      <c r="B84" s="14" t="str">
        <f>IF(A84="","",'حساب المرتب الشهري'!B82)</f>
        <v/>
      </c>
      <c r="C84" s="15" t="str">
        <f>IF(A84="","",'حساب المرتب الشهري'!N82)</f>
        <v/>
      </c>
      <c r="D84" s="14"/>
    </row>
    <row r="85" spans="1:4" ht="14.25" x14ac:dyDescent="0.2">
      <c r="A85" s="14" t="str">
        <f>IF('حساب المرتب الشهري'!A83="","",'حساب المرتب الشهري'!A83)</f>
        <v/>
      </c>
      <c r="B85" s="14" t="str">
        <f>IF(A85="","",'حساب المرتب الشهري'!B83)</f>
        <v/>
      </c>
      <c r="C85" s="15" t="str">
        <f>IF(A85="","",'حساب المرتب الشهري'!N83)</f>
        <v/>
      </c>
      <c r="D85" s="14"/>
    </row>
    <row r="86" spans="1:4" ht="14.25" x14ac:dyDescent="0.2">
      <c r="A86" s="14" t="str">
        <f>IF('حساب المرتب الشهري'!A84="","",'حساب المرتب الشهري'!A84)</f>
        <v/>
      </c>
      <c r="B86" s="14" t="str">
        <f>IF(A86="","",'حساب المرتب الشهري'!B84)</f>
        <v/>
      </c>
      <c r="C86" s="15" t="str">
        <f>IF(A86="","",'حساب المرتب الشهري'!N84)</f>
        <v/>
      </c>
      <c r="D86" s="14"/>
    </row>
    <row r="87" spans="1:4" ht="14.25" x14ac:dyDescent="0.2">
      <c r="A87" s="14" t="str">
        <f>IF('حساب المرتب الشهري'!A85="","",'حساب المرتب الشهري'!A85)</f>
        <v/>
      </c>
      <c r="B87" s="14" t="str">
        <f>IF(A87="","",'حساب المرتب الشهري'!B85)</f>
        <v/>
      </c>
      <c r="C87" s="15" t="str">
        <f>IF(A87="","",'حساب المرتب الشهري'!N85)</f>
        <v/>
      </c>
      <c r="D87" s="14"/>
    </row>
    <row r="88" spans="1:4" ht="14.25" x14ac:dyDescent="0.2">
      <c r="A88" s="14" t="str">
        <f>IF('حساب المرتب الشهري'!A86="","",'حساب المرتب الشهري'!A86)</f>
        <v/>
      </c>
      <c r="B88" s="14" t="str">
        <f>IF(A88="","",'حساب المرتب الشهري'!B86)</f>
        <v/>
      </c>
      <c r="C88" s="15" t="str">
        <f>IF(A88="","",'حساب المرتب الشهري'!N86)</f>
        <v/>
      </c>
      <c r="D88" s="14"/>
    </row>
    <row r="89" spans="1:4" ht="14.25" x14ac:dyDescent="0.2">
      <c r="A89" s="14" t="str">
        <f>IF('حساب المرتب الشهري'!A87="","",'حساب المرتب الشهري'!A87)</f>
        <v/>
      </c>
      <c r="B89" s="14" t="str">
        <f>IF(A89="","",'حساب المرتب الشهري'!B87)</f>
        <v/>
      </c>
      <c r="C89" s="15" t="str">
        <f>IF(A89="","",'حساب المرتب الشهري'!N87)</f>
        <v/>
      </c>
      <c r="D89" s="14"/>
    </row>
    <row r="90" spans="1:4" ht="14.25" x14ac:dyDescent="0.2">
      <c r="A90" s="14" t="str">
        <f>IF('حساب المرتب الشهري'!A88="","",'حساب المرتب الشهري'!A88)</f>
        <v/>
      </c>
      <c r="B90" s="14" t="str">
        <f>IF(A90="","",'حساب المرتب الشهري'!B88)</f>
        <v/>
      </c>
      <c r="C90" s="15" t="str">
        <f>IF(A90="","",'حساب المرتب الشهري'!N88)</f>
        <v/>
      </c>
      <c r="D90" s="14"/>
    </row>
    <row r="91" spans="1:4" ht="14.25" x14ac:dyDescent="0.2">
      <c r="A91" s="14" t="str">
        <f>IF('حساب المرتب الشهري'!A89="","",'حساب المرتب الشهري'!A89)</f>
        <v/>
      </c>
      <c r="B91" s="14" t="str">
        <f>IF(A91="","",'حساب المرتب الشهري'!B89)</f>
        <v/>
      </c>
      <c r="C91" s="15" t="str">
        <f>IF(A91="","",'حساب المرتب الشهري'!N89)</f>
        <v/>
      </c>
      <c r="D91" s="14"/>
    </row>
    <row r="92" spans="1:4" ht="14.25" x14ac:dyDescent="0.2">
      <c r="A92" s="14" t="str">
        <f>IF('حساب المرتب الشهري'!A90="","",'حساب المرتب الشهري'!A90)</f>
        <v/>
      </c>
      <c r="B92" s="14" t="str">
        <f>IF(A92="","",'حساب المرتب الشهري'!B90)</f>
        <v/>
      </c>
      <c r="C92" s="15" t="str">
        <f>IF(A92="","",'حساب المرتب الشهري'!N90)</f>
        <v/>
      </c>
      <c r="D92" s="14"/>
    </row>
    <row r="93" spans="1:4" ht="14.25" x14ac:dyDescent="0.2">
      <c r="A93" s="14" t="str">
        <f>IF('حساب المرتب الشهري'!A91="","",'حساب المرتب الشهري'!A91)</f>
        <v/>
      </c>
      <c r="B93" s="14" t="str">
        <f>IF(A93="","",'حساب المرتب الشهري'!B91)</f>
        <v/>
      </c>
      <c r="C93" s="15" t="str">
        <f>IF(A93="","",'حساب المرتب الشهري'!N91)</f>
        <v/>
      </c>
      <c r="D93" s="14"/>
    </row>
    <row r="94" spans="1:4" ht="14.25" x14ac:dyDescent="0.2">
      <c r="A94" s="14" t="str">
        <f>IF('حساب المرتب الشهري'!A92="","",'حساب المرتب الشهري'!A92)</f>
        <v/>
      </c>
      <c r="B94" s="14" t="str">
        <f>IF(A94="","",'حساب المرتب الشهري'!B92)</f>
        <v/>
      </c>
      <c r="C94" s="15" t="str">
        <f>IF(A94="","",'حساب المرتب الشهري'!N92)</f>
        <v/>
      </c>
      <c r="D94" s="14"/>
    </row>
    <row r="95" spans="1:4" ht="14.25" x14ac:dyDescent="0.2">
      <c r="A95" s="14" t="str">
        <f>IF('حساب المرتب الشهري'!A93="","",'حساب المرتب الشهري'!A93)</f>
        <v/>
      </c>
      <c r="B95" s="14" t="str">
        <f>IF(A95="","",'حساب المرتب الشهري'!B93)</f>
        <v/>
      </c>
      <c r="C95" s="15" t="str">
        <f>IF(A95="","",'حساب المرتب الشهري'!N93)</f>
        <v/>
      </c>
      <c r="D95" s="14"/>
    </row>
    <row r="96" spans="1:4" ht="14.25" x14ac:dyDescent="0.2">
      <c r="A96" s="14" t="str">
        <f>IF('حساب المرتب الشهري'!A94="","",'حساب المرتب الشهري'!A94)</f>
        <v/>
      </c>
      <c r="B96" s="14" t="str">
        <f>IF(A96="","",'حساب المرتب الشهري'!B94)</f>
        <v/>
      </c>
      <c r="C96" s="15" t="str">
        <f>IF(A96="","",'حساب المرتب الشهري'!N94)</f>
        <v/>
      </c>
      <c r="D96" s="14"/>
    </row>
    <row r="97" spans="1:4" ht="14.25" x14ac:dyDescent="0.2">
      <c r="A97" s="14" t="str">
        <f>IF('حساب المرتب الشهري'!A95="","",'حساب المرتب الشهري'!A95)</f>
        <v/>
      </c>
      <c r="B97" s="14" t="str">
        <f>IF(A97="","",'حساب المرتب الشهري'!B95)</f>
        <v/>
      </c>
      <c r="C97" s="15" t="str">
        <f>IF(A97="","",'حساب المرتب الشهري'!N95)</f>
        <v/>
      </c>
      <c r="D97" s="14"/>
    </row>
    <row r="98" spans="1:4" ht="14.25" x14ac:dyDescent="0.2">
      <c r="A98" s="14" t="str">
        <f>IF('حساب المرتب الشهري'!A96="","",'حساب المرتب الشهري'!A96)</f>
        <v/>
      </c>
      <c r="B98" s="14" t="str">
        <f>IF(A98="","",'حساب المرتب الشهري'!B96)</f>
        <v/>
      </c>
      <c r="C98" s="15" t="str">
        <f>IF(A98="","",'حساب المرتب الشهري'!N96)</f>
        <v/>
      </c>
      <c r="D98" s="14"/>
    </row>
    <row r="99" spans="1:4" ht="14.25" x14ac:dyDescent="0.2">
      <c r="A99" s="14" t="str">
        <f>IF('حساب المرتب الشهري'!A97="","",'حساب المرتب الشهري'!A97)</f>
        <v/>
      </c>
      <c r="B99" s="14" t="str">
        <f>IF(A99="","",'حساب المرتب الشهري'!B97)</f>
        <v/>
      </c>
      <c r="C99" s="15" t="str">
        <f>IF(A99="","",'حساب المرتب الشهري'!N97)</f>
        <v/>
      </c>
      <c r="D99" s="14"/>
    </row>
    <row r="100" spans="1:4" ht="14.25" x14ac:dyDescent="0.2">
      <c r="A100" s="14" t="str">
        <f>IF('حساب المرتب الشهري'!A98="","",'حساب المرتب الشهري'!A98)</f>
        <v/>
      </c>
      <c r="B100" s="14" t="str">
        <f>IF(A100="","",'حساب المرتب الشهري'!B98)</f>
        <v/>
      </c>
      <c r="C100" s="15" t="str">
        <f>IF(A100="","",'حساب المرتب الشهري'!N98)</f>
        <v/>
      </c>
      <c r="D100" s="14"/>
    </row>
    <row r="101" spans="1:4" ht="14.25" x14ac:dyDescent="0.2">
      <c r="A101" s="14" t="str">
        <f>IF('حساب المرتب الشهري'!A99="","",'حساب المرتب الشهري'!A99)</f>
        <v/>
      </c>
      <c r="B101" s="14" t="str">
        <f>IF(A101="","",'حساب المرتب الشهري'!B99)</f>
        <v/>
      </c>
      <c r="C101" s="15" t="str">
        <f>IF(A101="","",'حساب المرتب الشهري'!N99)</f>
        <v/>
      </c>
      <c r="D101" s="14"/>
    </row>
    <row r="102" spans="1:4" ht="14.25" x14ac:dyDescent="0.2">
      <c r="A102" s="14" t="str">
        <f>IF('حساب المرتب الشهري'!A100="","",'حساب المرتب الشهري'!A100)</f>
        <v/>
      </c>
      <c r="B102" s="14" t="str">
        <f>IF(A102="","",'حساب المرتب الشهري'!B100)</f>
        <v/>
      </c>
      <c r="C102" s="15" t="str">
        <f>IF(A102="","",'حساب المرتب الشهري'!N100)</f>
        <v/>
      </c>
      <c r="D102" s="14"/>
    </row>
    <row r="103" spans="1:4" ht="14.25" x14ac:dyDescent="0.2">
      <c r="A103" s="14" t="str">
        <f>IF('حساب المرتب الشهري'!A101="","",'حساب المرتب الشهري'!A101)</f>
        <v/>
      </c>
      <c r="B103" s="14" t="str">
        <f>IF(A103="","",'حساب المرتب الشهري'!B101)</f>
        <v/>
      </c>
      <c r="C103" s="15" t="str">
        <f>IF(A103="","",'حساب المرتب الشهري'!N101)</f>
        <v/>
      </c>
      <c r="D103" s="14"/>
    </row>
    <row r="104" spans="1:4" ht="14.25" x14ac:dyDescent="0.2">
      <c r="A104" s="14" t="str">
        <f>IF('حساب المرتب الشهري'!A102="","",'حساب المرتب الشهري'!A102)</f>
        <v/>
      </c>
      <c r="B104" s="14" t="str">
        <f>IF(A104="","",'حساب المرتب الشهري'!B102)</f>
        <v/>
      </c>
      <c r="C104" s="15" t="str">
        <f>IF(A104="","",'حساب المرتب الشهري'!N102)</f>
        <v/>
      </c>
      <c r="D104" s="14"/>
    </row>
    <row r="105" spans="1:4" ht="14.25" x14ac:dyDescent="0.2">
      <c r="A105" s="14" t="str">
        <f>IF('حساب المرتب الشهري'!A103="","",'حساب المرتب الشهري'!A103)</f>
        <v/>
      </c>
      <c r="B105" s="14" t="str">
        <f>IF(A105="","",'حساب المرتب الشهري'!B103)</f>
        <v/>
      </c>
      <c r="C105" s="15" t="str">
        <f>IF(A105="","",'حساب المرتب الشهري'!N103)</f>
        <v/>
      </c>
      <c r="D105" s="14"/>
    </row>
    <row r="106" spans="1:4" ht="14.25" x14ac:dyDescent="0.2">
      <c r="A106" s="14" t="str">
        <f>IF('حساب المرتب الشهري'!A104="","",'حساب المرتب الشهري'!A104)</f>
        <v/>
      </c>
      <c r="B106" s="14" t="str">
        <f>IF(A106="","",'حساب المرتب الشهري'!B104)</f>
        <v/>
      </c>
      <c r="C106" s="15" t="str">
        <f>IF(A106="","",'حساب المرتب الشهري'!N104)</f>
        <v/>
      </c>
      <c r="D106" s="14"/>
    </row>
    <row r="107" spans="1:4" ht="14.25" x14ac:dyDescent="0.2">
      <c r="A107" s="14" t="str">
        <f>IF('حساب المرتب الشهري'!A105="","",'حساب المرتب الشهري'!A105)</f>
        <v/>
      </c>
      <c r="B107" s="14" t="str">
        <f>IF(A107="","",'حساب المرتب الشهري'!B105)</f>
        <v/>
      </c>
      <c r="C107" s="15" t="str">
        <f>IF(A107="","",'حساب المرتب الشهري'!N105)</f>
        <v/>
      </c>
      <c r="D107" s="14"/>
    </row>
    <row r="108" spans="1:4" ht="14.25" x14ac:dyDescent="0.2">
      <c r="A108" s="14" t="str">
        <f>IF('حساب المرتب الشهري'!A106="","",'حساب المرتب الشهري'!A106)</f>
        <v/>
      </c>
      <c r="B108" s="14" t="str">
        <f>IF(A108="","",'حساب المرتب الشهري'!B106)</f>
        <v/>
      </c>
      <c r="C108" s="15" t="str">
        <f>IF(A108="","",'حساب المرتب الشهري'!N106)</f>
        <v/>
      </c>
      <c r="D108" s="14"/>
    </row>
    <row r="109" spans="1:4" ht="14.25" x14ac:dyDescent="0.2">
      <c r="A109" s="14" t="str">
        <f>IF('حساب المرتب الشهري'!A107="","",'حساب المرتب الشهري'!A107)</f>
        <v/>
      </c>
      <c r="B109" s="14" t="str">
        <f>IF(A109="","",'حساب المرتب الشهري'!B107)</f>
        <v/>
      </c>
      <c r="C109" s="15" t="str">
        <f>IF(A109="","",'حساب المرتب الشهري'!N107)</f>
        <v/>
      </c>
      <c r="D109" s="14"/>
    </row>
    <row r="110" spans="1:4" ht="14.25" x14ac:dyDescent="0.2">
      <c r="A110" s="14" t="str">
        <f>IF('حساب المرتب الشهري'!A108="","",'حساب المرتب الشهري'!A108)</f>
        <v/>
      </c>
      <c r="B110" s="14" t="str">
        <f>IF(A110="","",'حساب المرتب الشهري'!B108)</f>
        <v/>
      </c>
      <c r="C110" s="15" t="str">
        <f>IF(A110="","",'حساب المرتب الشهري'!N108)</f>
        <v/>
      </c>
      <c r="D110" s="14"/>
    </row>
    <row r="111" spans="1:4" ht="14.25" x14ac:dyDescent="0.2">
      <c r="A111" s="14" t="str">
        <f>IF('حساب المرتب الشهري'!A109="","",'حساب المرتب الشهري'!A109)</f>
        <v/>
      </c>
      <c r="B111" s="14" t="str">
        <f>IF(A111="","",'حساب المرتب الشهري'!B109)</f>
        <v/>
      </c>
      <c r="C111" s="15" t="str">
        <f>IF(A111="","",'حساب المرتب الشهري'!N109)</f>
        <v/>
      </c>
      <c r="D111" s="14"/>
    </row>
    <row r="112" spans="1:4" ht="14.25" x14ac:dyDescent="0.2">
      <c r="A112" s="14" t="str">
        <f>IF('حساب المرتب الشهري'!A110="","",'حساب المرتب الشهري'!A110)</f>
        <v/>
      </c>
      <c r="B112" s="14" t="str">
        <f>IF(A112="","",'حساب المرتب الشهري'!B110)</f>
        <v/>
      </c>
      <c r="C112" s="15" t="str">
        <f>IF(A112="","",'حساب المرتب الشهري'!N110)</f>
        <v/>
      </c>
      <c r="D112" s="14"/>
    </row>
    <row r="113" spans="1:4" ht="14.25" x14ac:dyDescent="0.2">
      <c r="A113" s="14" t="str">
        <f>IF('حساب المرتب الشهري'!A111="","",'حساب المرتب الشهري'!A111)</f>
        <v/>
      </c>
      <c r="B113" s="14" t="str">
        <f>IF(A113="","",'حساب المرتب الشهري'!B111)</f>
        <v/>
      </c>
      <c r="C113" s="15" t="str">
        <f>IF(A113="","",'حساب المرتب الشهري'!N111)</f>
        <v/>
      </c>
      <c r="D113" s="14"/>
    </row>
    <row r="114" spans="1:4" ht="14.25" x14ac:dyDescent="0.2">
      <c r="A114" s="14" t="str">
        <f>IF('حساب المرتب الشهري'!A112="","",'حساب المرتب الشهري'!A112)</f>
        <v/>
      </c>
      <c r="B114" s="14" t="str">
        <f>IF(A114="","",'حساب المرتب الشهري'!B112)</f>
        <v/>
      </c>
      <c r="C114" s="15" t="str">
        <f>IF(A114="","",'حساب المرتب الشهري'!N112)</f>
        <v/>
      </c>
      <c r="D114" s="14"/>
    </row>
    <row r="115" spans="1:4" ht="14.25" x14ac:dyDescent="0.2">
      <c r="A115" s="14" t="str">
        <f>IF('حساب المرتب الشهري'!A113="","",'حساب المرتب الشهري'!A113)</f>
        <v/>
      </c>
      <c r="B115" s="14" t="str">
        <f>IF(A115="","",'حساب المرتب الشهري'!B113)</f>
        <v/>
      </c>
      <c r="C115" s="15" t="str">
        <f>IF(A115="","",'حساب المرتب الشهري'!N113)</f>
        <v/>
      </c>
      <c r="D115" s="14"/>
    </row>
    <row r="116" spans="1:4" ht="14.25" x14ac:dyDescent="0.2">
      <c r="A116" s="14" t="str">
        <f>IF('حساب المرتب الشهري'!A114="","",'حساب المرتب الشهري'!A114)</f>
        <v/>
      </c>
      <c r="B116" s="14" t="str">
        <f>IF(A116="","",'حساب المرتب الشهري'!B114)</f>
        <v/>
      </c>
      <c r="C116" s="15" t="str">
        <f>IF(A116="","",'حساب المرتب الشهري'!N114)</f>
        <v/>
      </c>
      <c r="D116" s="14"/>
    </row>
    <row r="117" spans="1:4" ht="14.25" x14ac:dyDescent="0.2">
      <c r="A117" s="14" t="str">
        <f>IF('حساب المرتب الشهري'!A115="","",'حساب المرتب الشهري'!A115)</f>
        <v/>
      </c>
      <c r="B117" s="14" t="str">
        <f>IF(A117="","",'حساب المرتب الشهري'!B115)</f>
        <v/>
      </c>
      <c r="C117" s="15" t="str">
        <f>IF(A117="","",'حساب المرتب الشهري'!N115)</f>
        <v/>
      </c>
      <c r="D117" s="14"/>
    </row>
    <row r="118" spans="1:4" ht="14.25" x14ac:dyDescent="0.2">
      <c r="A118" s="14" t="str">
        <f>IF('حساب المرتب الشهري'!A116="","",'حساب المرتب الشهري'!A116)</f>
        <v/>
      </c>
      <c r="B118" s="14" t="str">
        <f>IF(A118="","",'حساب المرتب الشهري'!B116)</f>
        <v/>
      </c>
      <c r="C118" s="15" t="str">
        <f>IF(A118="","",'حساب المرتب الشهري'!N116)</f>
        <v/>
      </c>
      <c r="D118" s="14"/>
    </row>
    <row r="119" spans="1:4" ht="14.25" x14ac:dyDescent="0.2">
      <c r="A119" s="14" t="str">
        <f>IF('حساب المرتب الشهري'!A117="","",'حساب المرتب الشهري'!A117)</f>
        <v/>
      </c>
      <c r="B119" s="14" t="str">
        <f>IF(A119="","",'حساب المرتب الشهري'!B117)</f>
        <v/>
      </c>
      <c r="C119" s="15" t="str">
        <f>IF(A119="","",'حساب المرتب الشهري'!N117)</f>
        <v/>
      </c>
      <c r="D119" s="14"/>
    </row>
    <row r="120" spans="1:4" ht="14.25" x14ac:dyDescent="0.2">
      <c r="A120" s="14" t="str">
        <f>IF('حساب المرتب الشهري'!A118="","",'حساب المرتب الشهري'!A118)</f>
        <v/>
      </c>
      <c r="B120" s="14" t="str">
        <f>IF(A120="","",'حساب المرتب الشهري'!B118)</f>
        <v/>
      </c>
      <c r="C120" s="15" t="str">
        <f>IF(A120="","",'حساب المرتب الشهري'!N118)</f>
        <v/>
      </c>
      <c r="D120" s="14"/>
    </row>
    <row r="121" spans="1:4" ht="14.25" x14ac:dyDescent="0.2">
      <c r="A121" s="14" t="str">
        <f>IF('حساب المرتب الشهري'!A119="","",'حساب المرتب الشهري'!A119)</f>
        <v/>
      </c>
      <c r="B121" s="14" t="str">
        <f>IF(A121="","",'حساب المرتب الشهري'!B119)</f>
        <v/>
      </c>
      <c r="C121" s="15" t="str">
        <f>IF(A121="","",'حساب المرتب الشهري'!N119)</f>
        <v/>
      </c>
      <c r="D121" s="14"/>
    </row>
    <row r="122" spans="1:4" ht="14.25" x14ac:dyDescent="0.2">
      <c r="A122" s="14" t="str">
        <f>IF('حساب المرتب الشهري'!A120="","",'حساب المرتب الشهري'!A120)</f>
        <v/>
      </c>
      <c r="B122" s="14" t="str">
        <f>IF(A122="","",'حساب المرتب الشهري'!B120)</f>
        <v/>
      </c>
      <c r="C122" s="15" t="str">
        <f>IF(A122="","",'حساب المرتب الشهري'!N120)</f>
        <v/>
      </c>
      <c r="D122" s="14"/>
    </row>
    <row r="123" spans="1:4" ht="14.25" x14ac:dyDescent="0.2">
      <c r="A123" s="14" t="str">
        <f>IF('حساب المرتب الشهري'!A121="","",'حساب المرتب الشهري'!A121)</f>
        <v/>
      </c>
      <c r="B123" s="14" t="str">
        <f>IF(A123="","",'حساب المرتب الشهري'!B121)</f>
        <v/>
      </c>
      <c r="C123" s="15" t="str">
        <f>IF(A123="","",'حساب المرتب الشهري'!N121)</f>
        <v/>
      </c>
      <c r="D123" s="14"/>
    </row>
    <row r="124" spans="1:4" ht="14.25" x14ac:dyDescent="0.2">
      <c r="A124" s="14" t="str">
        <f>IF('حساب المرتب الشهري'!A122="","",'حساب المرتب الشهري'!A122)</f>
        <v/>
      </c>
      <c r="B124" s="14" t="str">
        <f>IF(A124="","",'حساب المرتب الشهري'!B122)</f>
        <v/>
      </c>
      <c r="C124" s="15" t="str">
        <f>IF(A124="","",'حساب المرتب الشهري'!N122)</f>
        <v/>
      </c>
      <c r="D124" s="14"/>
    </row>
    <row r="125" spans="1:4" ht="14.25" x14ac:dyDescent="0.2">
      <c r="A125" s="14" t="str">
        <f>IF('حساب المرتب الشهري'!A123="","",'حساب المرتب الشهري'!A123)</f>
        <v/>
      </c>
      <c r="B125" s="14" t="str">
        <f>IF(A125="","",'حساب المرتب الشهري'!B123)</f>
        <v/>
      </c>
      <c r="C125" s="15" t="str">
        <f>IF(A125="","",'حساب المرتب الشهري'!N123)</f>
        <v/>
      </c>
      <c r="D125" s="14"/>
    </row>
    <row r="126" spans="1:4" ht="14.25" x14ac:dyDescent="0.2">
      <c r="A126" s="14" t="str">
        <f>IF('حساب المرتب الشهري'!A124="","",'حساب المرتب الشهري'!A124)</f>
        <v/>
      </c>
      <c r="B126" s="14" t="str">
        <f>IF(A126="","",'حساب المرتب الشهري'!B124)</f>
        <v/>
      </c>
      <c r="C126" s="15" t="str">
        <f>IF(A126="","",'حساب المرتب الشهري'!N124)</f>
        <v/>
      </c>
      <c r="D126" s="14"/>
    </row>
    <row r="127" spans="1:4" ht="14.25" x14ac:dyDescent="0.2">
      <c r="A127" s="14" t="str">
        <f>IF('حساب المرتب الشهري'!A125="","",'حساب المرتب الشهري'!A125)</f>
        <v/>
      </c>
      <c r="B127" s="14" t="str">
        <f>IF(A127="","",'حساب المرتب الشهري'!B125)</f>
        <v/>
      </c>
      <c r="C127" s="15" t="str">
        <f>IF(A127="","",'حساب المرتب الشهري'!N125)</f>
        <v/>
      </c>
      <c r="D127" s="14"/>
    </row>
    <row r="128" spans="1:4" ht="14.25" x14ac:dyDescent="0.2">
      <c r="A128" s="14" t="str">
        <f>IF('حساب المرتب الشهري'!A126="","",'حساب المرتب الشهري'!A126)</f>
        <v/>
      </c>
      <c r="B128" s="14" t="str">
        <f>IF(A128="","",'حساب المرتب الشهري'!B126)</f>
        <v/>
      </c>
      <c r="C128" s="15" t="str">
        <f>IF(A128="","",'حساب المرتب الشهري'!N126)</f>
        <v/>
      </c>
      <c r="D128" s="14"/>
    </row>
    <row r="129" spans="1:4" ht="14.25" x14ac:dyDescent="0.2">
      <c r="A129" s="14" t="str">
        <f>IF('حساب المرتب الشهري'!A127="","",'حساب المرتب الشهري'!A127)</f>
        <v/>
      </c>
      <c r="B129" s="14" t="str">
        <f>IF(A129="","",'حساب المرتب الشهري'!B127)</f>
        <v/>
      </c>
      <c r="C129" s="15" t="str">
        <f>IF(A129="","",'حساب المرتب الشهري'!N127)</f>
        <v/>
      </c>
      <c r="D129" s="14"/>
    </row>
    <row r="130" spans="1:4" ht="14.25" x14ac:dyDescent="0.2">
      <c r="A130" s="14" t="str">
        <f>IF('حساب المرتب الشهري'!A128="","",'حساب المرتب الشهري'!A128)</f>
        <v/>
      </c>
      <c r="B130" s="14" t="str">
        <f>IF(A130="","",'حساب المرتب الشهري'!B128)</f>
        <v/>
      </c>
      <c r="C130" s="15" t="str">
        <f>IF(A130="","",'حساب المرتب الشهري'!N128)</f>
        <v/>
      </c>
      <c r="D130" s="14"/>
    </row>
    <row r="131" spans="1:4" ht="14.25" x14ac:dyDescent="0.2">
      <c r="A131" s="14" t="str">
        <f>IF('حساب المرتب الشهري'!A129="","",'حساب المرتب الشهري'!A129)</f>
        <v/>
      </c>
      <c r="B131" s="14" t="str">
        <f>IF(A131="","",'حساب المرتب الشهري'!B129)</f>
        <v/>
      </c>
      <c r="C131" s="15" t="str">
        <f>IF(A131="","",'حساب المرتب الشهري'!N129)</f>
        <v/>
      </c>
      <c r="D131" s="14"/>
    </row>
    <row r="132" spans="1:4" ht="14.25" x14ac:dyDescent="0.2">
      <c r="A132" s="14" t="str">
        <f>IF('حساب المرتب الشهري'!A130="","",'حساب المرتب الشهري'!A130)</f>
        <v/>
      </c>
      <c r="B132" s="14" t="str">
        <f>IF(A132="","",'حساب المرتب الشهري'!B130)</f>
        <v/>
      </c>
      <c r="C132" s="15" t="str">
        <f>IF(A132="","",'حساب المرتب الشهري'!N130)</f>
        <v/>
      </c>
      <c r="D132" s="14"/>
    </row>
    <row r="133" spans="1:4" ht="14.25" x14ac:dyDescent="0.2">
      <c r="A133" s="14" t="str">
        <f>IF('حساب المرتب الشهري'!A131="","",'حساب المرتب الشهري'!A131)</f>
        <v/>
      </c>
      <c r="B133" s="14" t="str">
        <f>IF(A133="","",'حساب المرتب الشهري'!B131)</f>
        <v/>
      </c>
      <c r="C133" s="15" t="str">
        <f>IF(A133="","",'حساب المرتب الشهري'!N131)</f>
        <v/>
      </c>
      <c r="D133" s="14"/>
    </row>
    <row r="134" spans="1:4" ht="14.25" x14ac:dyDescent="0.2">
      <c r="A134" s="14" t="str">
        <f>IF('حساب المرتب الشهري'!A132="","",'حساب المرتب الشهري'!A132)</f>
        <v/>
      </c>
      <c r="B134" s="14" t="str">
        <f>IF(A134="","",'حساب المرتب الشهري'!B132)</f>
        <v/>
      </c>
      <c r="C134" s="15" t="str">
        <f>IF(A134="","",'حساب المرتب الشهري'!N132)</f>
        <v/>
      </c>
      <c r="D134" s="14"/>
    </row>
    <row r="135" spans="1:4" ht="14.25" x14ac:dyDescent="0.2">
      <c r="A135" s="14" t="str">
        <f>IF('حساب المرتب الشهري'!A133="","",'حساب المرتب الشهري'!A133)</f>
        <v/>
      </c>
      <c r="B135" s="14" t="str">
        <f>IF(A135="","",'حساب المرتب الشهري'!B133)</f>
        <v/>
      </c>
      <c r="C135" s="15" t="str">
        <f>IF(A135="","",'حساب المرتب الشهري'!N133)</f>
        <v/>
      </c>
      <c r="D135" s="14"/>
    </row>
    <row r="136" spans="1:4" ht="14.25" x14ac:dyDescent="0.2">
      <c r="A136" s="14" t="str">
        <f>IF('حساب المرتب الشهري'!A134="","",'حساب المرتب الشهري'!A134)</f>
        <v/>
      </c>
      <c r="B136" s="14" t="str">
        <f>IF(A136="","",'حساب المرتب الشهري'!B134)</f>
        <v/>
      </c>
      <c r="C136" s="15" t="str">
        <f>IF(A136="","",'حساب المرتب الشهري'!N134)</f>
        <v/>
      </c>
      <c r="D136" s="14"/>
    </row>
    <row r="137" spans="1:4" ht="14.25" x14ac:dyDescent="0.2">
      <c r="A137" s="14" t="str">
        <f>IF('حساب المرتب الشهري'!A135="","",'حساب المرتب الشهري'!A135)</f>
        <v/>
      </c>
      <c r="B137" s="14" t="str">
        <f>IF(A137="","",'حساب المرتب الشهري'!B135)</f>
        <v/>
      </c>
      <c r="C137" s="15" t="str">
        <f>IF(A137="","",'حساب المرتب الشهري'!N135)</f>
        <v/>
      </c>
      <c r="D137" s="14"/>
    </row>
    <row r="138" spans="1:4" ht="14.25" x14ac:dyDescent="0.2">
      <c r="A138" s="14" t="str">
        <f>IF('حساب المرتب الشهري'!A136="","",'حساب المرتب الشهري'!A136)</f>
        <v/>
      </c>
      <c r="B138" s="14" t="str">
        <f>IF(A138="","",'حساب المرتب الشهري'!B136)</f>
        <v/>
      </c>
      <c r="C138" s="15" t="str">
        <f>IF(A138="","",'حساب المرتب الشهري'!N136)</f>
        <v/>
      </c>
      <c r="D138" s="14"/>
    </row>
    <row r="139" spans="1:4" ht="14.25" x14ac:dyDescent="0.2">
      <c r="A139" s="14" t="str">
        <f>IF('حساب المرتب الشهري'!A137="","",'حساب المرتب الشهري'!A137)</f>
        <v/>
      </c>
      <c r="B139" s="14" t="str">
        <f>IF(A139="","",'حساب المرتب الشهري'!B137)</f>
        <v/>
      </c>
      <c r="C139" s="15" t="str">
        <f>IF(A139="","",'حساب المرتب الشهري'!N137)</f>
        <v/>
      </c>
      <c r="D139" s="14"/>
    </row>
    <row r="140" spans="1:4" ht="14.25" x14ac:dyDescent="0.2">
      <c r="A140" s="14" t="str">
        <f>IF('حساب المرتب الشهري'!A138="","",'حساب المرتب الشهري'!A138)</f>
        <v/>
      </c>
      <c r="B140" s="14" t="str">
        <f>IF(A140="","",'حساب المرتب الشهري'!B138)</f>
        <v/>
      </c>
      <c r="C140" s="15" t="str">
        <f>IF(A140="","",'حساب المرتب الشهري'!N138)</f>
        <v/>
      </c>
      <c r="D140" s="14"/>
    </row>
    <row r="141" spans="1:4" ht="14.25" x14ac:dyDescent="0.2">
      <c r="A141" s="14" t="str">
        <f>IF('حساب المرتب الشهري'!A139="","",'حساب المرتب الشهري'!A139)</f>
        <v/>
      </c>
      <c r="B141" s="14" t="str">
        <f>IF(A141="","",'حساب المرتب الشهري'!B139)</f>
        <v/>
      </c>
      <c r="C141" s="15" t="str">
        <f>IF(A141="","",'حساب المرتب الشهري'!N139)</f>
        <v/>
      </c>
      <c r="D141" s="14"/>
    </row>
    <row r="142" spans="1:4" ht="14.25" x14ac:dyDescent="0.2">
      <c r="A142" s="14" t="str">
        <f>IF('حساب المرتب الشهري'!A140="","",'حساب المرتب الشهري'!A140)</f>
        <v/>
      </c>
      <c r="B142" s="14" t="str">
        <f>IF(A142="","",'حساب المرتب الشهري'!B140)</f>
        <v/>
      </c>
      <c r="C142" s="15" t="str">
        <f>IF(A142="","",'حساب المرتب الشهري'!N140)</f>
        <v/>
      </c>
      <c r="D142" s="14"/>
    </row>
    <row r="143" spans="1:4" ht="14.25" x14ac:dyDescent="0.2">
      <c r="A143" s="14" t="str">
        <f>IF('حساب المرتب الشهري'!A141="","",'حساب المرتب الشهري'!A141)</f>
        <v/>
      </c>
      <c r="B143" s="14" t="str">
        <f>IF(A143="","",'حساب المرتب الشهري'!B141)</f>
        <v/>
      </c>
      <c r="C143" s="15" t="str">
        <f>IF(A143="","",'حساب المرتب الشهري'!N141)</f>
        <v/>
      </c>
      <c r="D143" s="14"/>
    </row>
    <row r="144" spans="1:4" ht="14.25" x14ac:dyDescent="0.2">
      <c r="A144" s="14" t="str">
        <f>IF('حساب المرتب الشهري'!A142="","",'حساب المرتب الشهري'!A142)</f>
        <v/>
      </c>
      <c r="B144" s="14" t="str">
        <f>IF(A144="","",'حساب المرتب الشهري'!B142)</f>
        <v/>
      </c>
      <c r="C144" s="15" t="str">
        <f>IF(A144="","",'حساب المرتب الشهري'!N142)</f>
        <v/>
      </c>
      <c r="D144" s="14"/>
    </row>
    <row r="145" spans="1:4" ht="14.25" x14ac:dyDescent="0.2">
      <c r="A145" s="14" t="str">
        <f>IF('حساب المرتب الشهري'!A143="","",'حساب المرتب الشهري'!A143)</f>
        <v/>
      </c>
      <c r="B145" s="14" t="str">
        <f>IF(A145="","",'حساب المرتب الشهري'!B143)</f>
        <v/>
      </c>
      <c r="C145" s="15" t="str">
        <f>IF(A145="","",'حساب المرتب الشهري'!N143)</f>
        <v/>
      </c>
      <c r="D145" s="14"/>
    </row>
    <row r="146" spans="1:4" ht="14.25" x14ac:dyDescent="0.2">
      <c r="A146" s="14" t="str">
        <f>IF('حساب المرتب الشهري'!A144="","",'حساب المرتب الشهري'!A144)</f>
        <v/>
      </c>
      <c r="B146" s="14" t="str">
        <f>IF(A146="","",'حساب المرتب الشهري'!B144)</f>
        <v/>
      </c>
      <c r="C146" s="15" t="str">
        <f>IF(A146="","",'حساب المرتب الشهري'!N144)</f>
        <v/>
      </c>
      <c r="D146" s="14"/>
    </row>
    <row r="147" spans="1:4" ht="14.25" x14ac:dyDescent="0.2">
      <c r="A147" s="14" t="str">
        <f>IF('حساب المرتب الشهري'!A145="","",'حساب المرتب الشهري'!A145)</f>
        <v/>
      </c>
      <c r="B147" s="14" t="str">
        <f>IF(A147="","",'حساب المرتب الشهري'!B145)</f>
        <v/>
      </c>
      <c r="C147" s="15" t="str">
        <f>IF(A147="","",'حساب المرتب الشهري'!N145)</f>
        <v/>
      </c>
      <c r="D147" s="14"/>
    </row>
    <row r="148" spans="1:4" ht="14.25" x14ac:dyDescent="0.2">
      <c r="A148" s="14" t="str">
        <f>IF('حساب المرتب الشهري'!A146="","",'حساب المرتب الشهري'!A146)</f>
        <v/>
      </c>
      <c r="B148" s="14" t="str">
        <f>IF(A148="","",'حساب المرتب الشهري'!B146)</f>
        <v/>
      </c>
      <c r="C148" s="15" t="str">
        <f>IF(A148="","",'حساب المرتب الشهري'!N146)</f>
        <v/>
      </c>
      <c r="D148" s="14"/>
    </row>
    <row r="149" spans="1:4" ht="14.25" x14ac:dyDescent="0.2">
      <c r="A149" s="14" t="str">
        <f>IF('حساب المرتب الشهري'!A147="","",'حساب المرتب الشهري'!A147)</f>
        <v/>
      </c>
      <c r="B149" s="14" t="str">
        <f>IF(A149="","",'حساب المرتب الشهري'!B147)</f>
        <v/>
      </c>
      <c r="C149" s="15" t="str">
        <f>IF(A149="","",'حساب المرتب الشهري'!N147)</f>
        <v/>
      </c>
      <c r="D149" s="14"/>
    </row>
    <row r="150" spans="1:4" ht="14.25" x14ac:dyDescent="0.2">
      <c r="A150" s="14" t="str">
        <f>IF('حساب المرتب الشهري'!A148="","",'حساب المرتب الشهري'!A148)</f>
        <v/>
      </c>
      <c r="B150" s="14" t="str">
        <f>IF(A150="","",'حساب المرتب الشهري'!B148)</f>
        <v/>
      </c>
      <c r="C150" s="15" t="str">
        <f>IF(A150="","",'حساب المرتب الشهري'!N148)</f>
        <v/>
      </c>
      <c r="D150" s="14"/>
    </row>
    <row r="151" spans="1:4" ht="14.25" x14ac:dyDescent="0.2">
      <c r="A151" s="14" t="str">
        <f>IF('حساب المرتب الشهري'!A149="","",'حساب المرتب الشهري'!A149)</f>
        <v/>
      </c>
      <c r="B151" s="14" t="str">
        <f>IF(A151="","",'حساب المرتب الشهري'!B149)</f>
        <v/>
      </c>
      <c r="C151" s="15" t="str">
        <f>IF(A151="","",'حساب المرتب الشهري'!N149)</f>
        <v/>
      </c>
      <c r="D151" s="14"/>
    </row>
    <row r="152" spans="1:4" ht="14.25" x14ac:dyDescent="0.2">
      <c r="A152" s="14" t="str">
        <f>IF('حساب المرتب الشهري'!A150="","",'حساب المرتب الشهري'!A150)</f>
        <v/>
      </c>
      <c r="B152" s="14" t="str">
        <f>IF(A152="","",'حساب المرتب الشهري'!B150)</f>
        <v/>
      </c>
      <c r="C152" s="15" t="str">
        <f>IF(A152="","",'حساب المرتب الشهري'!N150)</f>
        <v/>
      </c>
      <c r="D152" s="14"/>
    </row>
    <row r="153" spans="1:4" ht="14.25" x14ac:dyDescent="0.2">
      <c r="A153" s="14" t="str">
        <f>IF('حساب المرتب الشهري'!A151="","",'حساب المرتب الشهري'!A151)</f>
        <v/>
      </c>
      <c r="B153" s="14" t="str">
        <f>IF(A153="","",'حساب المرتب الشهري'!B151)</f>
        <v/>
      </c>
      <c r="C153" s="15" t="str">
        <f>IF(A153="","",'حساب المرتب الشهري'!N151)</f>
        <v/>
      </c>
      <c r="D153" s="14"/>
    </row>
    <row r="154" spans="1:4" ht="14.25" x14ac:dyDescent="0.2">
      <c r="A154" s="14" t="str">
        <f>IF('حساب المرتب الشهري'!A152="","",'حساب المرتب الشهري'!A152)</f>
        <v/>
      </c>
      <c r="B154" s="14" t="str">
        <f>IF(A154="","",'حساب المرتب الشهري'!B152)</f>
        <v/>
      </c>
      <c r="C154" s="15" t="str">
        <f>IF(A154="","",'حساب المرتب الشهري'!N152)</f>
        <v/>
      </c>
      <c r="D154" s="14"/>
    </row>
    <row r="155" spans="1:4" ht="14.25" x14ac:dyDescent="0.2">
      <c r="A155" s="14" t="str">
        <f>IF('حساب المرتب الشهري'!A153="","",'حساب المرتب الشهري'!A153)</f>
        <v/>
      </c>
      <c r="B155" s="14" t="str">
        <f>IF(A155="","",'حساب المرتب الشهري'!B153)</f>
        <v/>
      </c>
      <c r="C155" s="15" t="str">
        <f>IF(A155="","",'حساب المرتب الشهري'!N153)</f>
        <v/>
      </c>
      <c r="D155" s="14"/>
    </row>
    <row r="156" spans="1:4" ht="14.25" x14ac:dyDescent="0.2">
      <c r="A156" s="14" t="str">
        <f>IF('حساب المرتب الشهري'!A154="","",'حساب المرتب الشهري'!A154)</f>
        <v/>
      </c>
      <c r="B156" s="14" t="str">
        <f>IF(A156="","",'حساب المرتب الشهري'!B154)</f>
        <v/>
      </c>
      <c r="C156" s="15" t="str">
        <f>IF(A156="","",'حساب المرتب الشهري'!N154)</f>
        <v/>
      </c>
      <c r="D156" s="14"/>
    </row>
    <row r="157" spans="1:4" ht="14.25" x14ac:dyDescent="0.2">
      <c r="A157" s="14" t="str">
        <f>IF('حساب المرتب الشهري'!A155="","",'حساب المرتب الشهري'!A155)</f>
        <v/>
      </c>
      <c r="B157" s="14" t="str">
        <f>IF(A157="","",'حساب المرتب الشهري'!B155)</f>
        <v/>
      </c>
      <c r="C157" s="15" t="str">
        <f>IF(A157="","",'حساب المرتب الشهري'!N155)</f>
        <v/>
      </c>
      <c r="D157" s="14"/>
    </row>
    <row r="158" spans="1:4" ht="14.25" x14ac:dyDescent="0.2">
      <c r="A158" s="14" t="str">
        <f>IF('حساب المرتب الشهري'!A156="","",'حساب المرتب الشهري'!A156)</f>
        <v/>
      </c>
      <c r="B158" s="14" t="str">
        <f>IF(A158="","",'حساب المرتب الشهري'!B156)</f>
        <v/>
      </c>
      <c r="C158" s="15" t="str">
        <f>IF(A158="","",'حساب المرتب الشهري'!N156)</f>
        <v/>
      </c>
      <c r="D158" s="14"/>
    </row>
    <row r="159" spans="1:4" ht="14.25" x14ac:dyDescent="0.2">
      <c r="A159" s="14" t="str">
        <f>IF('حساب المرتب الشهري'!A157="","",'حساب المرتب الشهري'!A157)</f>
        <v/>
      </c>
      <c r="B159" s="14" t="str">
        <f>IF(A159="","",'حساب المرتب الشهري'!B157)</f>
        <v/>
      </c>
      <c r="C159" s="15" t="str">
        <f>IF(A159="","",'حساب المرتب الشهري'!N157)</f>
        <v/>
      </c>
      <c r="D159" s="14"/>
    </row>
    <row r="160" spans="1:4" ht="14.25" x14ac:dyDescent="0.2">
      <c r="A160" s="14" t="str">
        <f>IF('حساب المرتب الشهري'!A158="","",'حساب المرتب الشهري'!A158)</f>
        <v/>
      </c>
      <c r="B160" s="14" t="str">
        <f>IF(A160="","",'حساب المرتب الشهري'!B158)</f>
        <v/>
      </c>
      <c r="C160" s="15" t="str">
        <f>IF(A160="","",'حساب المرتب الشهري'!N158)</f>
        <v/>
      </c>
      <c r="D160" s="14"/>
    </row>
    <row r="161" spans="1:4" ht="14.25" x14ac:dyDescent="0.2">
      <c r="A161" s="14" t="str">
        <f>IF('حساب المرتب الشهري'!A159="","",'حساب المرتب الشهري'!A159)</f>
        <v/>
      </c>
      <c r="B161" s="14" t="str">
        <f>IF(A161="","",'حساب المرتب الشهري'!B159)</f>
        <v/>
      </c>
      <c r="C161" s="15" t="str">
        <f>IF(A161="","",'حساب المرتب الشهري'!N159)</f>
        <v/>
      </c>
      <c r="D161" s="14"/>
    </row>
    <row r="162" spans="1:4" ht="14.25" x14ac:dyDescent="0.2">
      <c r="A162" s="14" t="str">
        <f>IF('حساب المرتب الشهري'!A160="","",'حساب المرتب الشهري'!A160)</f>
        <v/>
      </c>
      <c r="B162" s="14" t="str">
        <f>IF(A162="","",'حساب المرتب الشهري'!B160)</f>
        <v/>
      </c>
      <c r="C162" s="15" t="str">
        <f>IF(A162="","",'حساب المرتب الشهري'!N160)</f>
        <v/>
      </c>
      <c r="D162" s="14"/>
    </row>
    <row r="163" spans="1:4" ht="14.25" x14ac:dyDescent="0.2">
      <c r="A163" s="14" t="str">
        <f>IF('حساب المرتب الشهري'!A161="","",'حساب المرتب الشهري'!A161)</f>
        <v/>
      </c>
      <c r="B163" s="14" t="str">
        <f>IF(A163="","",'حساب المرتب الشهري'!B161)</f>
        <v/>
      </c>
      <c r="C163" s="15" t="str">
        <f>IF(A163="","",'حساب المرتب الشهري'!N161)</f>
        <v/>
      </c>
      <c r="D163" s="14"/>
    </row>
    <row r="164" spans="1:4" ht="14.25" x14ac:dyDescent="0.2">
      <c r="A164" s="14" t="str">
        <f>IF('حساب المرتب الشهري'!A162="","",'حساب المرتب الشهري'!A162)</f>
        <v/>
      </c>
      <c r="B164" s="14" t="str">
        <f>IF(A164="","",'حساب المرتب الشهري'!B162)</f>
        <v/>
      </c>
      <c r="C164" s="15" t="str">
        <f>IF(A164="","",'حساب المرتب الشهري'!N162)</f>
        <v/>
      </c>
      <c r="D164" s="14"/>
    </row>
    <row r="165" spans="1:4" ht="14.25" x14ac:dyDescent="0.2">
      <c r="A165" s="14" t="str">
        <f>IF('حساب المرتب الشهري'!A163="","",'حساب المرتب الشهري'!A163)</f>
        <v/>
      </c>
      <c r="B165" s="14" t="str">
        <f>IF(A165="","",'حساب المرتب الشهري'!B163)</f>
        <v/>
      </c>
      <c r="C165" s="15" t="str">
        <f>IF(A165="","",'حساب المرتب الشهري'!N163)</f>
        <v/>
      </c>
      <c r="D165" s="14"/>
    </row>
    <row r="166" spans="1:4" ht="14.25" x14ac:dyDescent="0.2">
      <c r="A166" s="14" t="str">
        <f>IF('حساب المرتب الشهري'!A164="","",'حساب المرتب الشهري'!A164)</f>
        <v/>
      </c>
      <c r="B166" s="14" t="str">
        <f>IF(A166="","",'حساب المرتب الشهري'!B164)</f>
        <v/>
      </c>
      <c r="C166" s="15" t="str">
        <f>IF(A166="","",'حساب المرتب الشهري'!N164)</f>
        <v/>
      </c>
      <c r="D166" s="14"/>
    </row>
    <row r="167" spans="1:4" ht="14.25" x14ac:dyDescent="0.2">
      <c r="A167" s="14" t="str">
        <f>IF('حساب المرتب الشهري'!A165="","",'حساب المرتب الشهري'!A165)</f>
        <v/>
      </c>
      <c r="B167" s="14" t="str">
        <f>IF(A167="","",'حساب المرتب الشهري'!B165)</f>
        <v/>
      </c>
      <c r="C167" s="15" t="str">
        <f>IF(A167="","",'حساب المرتب الشهري'!N165)</f>
        <v/>
      </c>
      <c r="D167" s="14"/>
    </row>
    <row r="168" spans="1:4" ht="14.25" x14ac:dyDescent="0.2">
      <c r="A168" s="14" t="str">
        <f>IF('حساب المرتب الشهري'!A166="","",'حساب المرتب الشهري'!A166)</f>
        <v/>
      </c>
      <c r="B168" s="14" t="str">
        <f>IF(A168="","",'حساب المرتب الشهري'!B166)</f>
        <v/>
      </c>
      <c r="C168" s="15" t="str">
        <f>IF(A168="","",'حساب المرتب الشهري'!N166)</f>
        <v/>
      </c>
      <c r="D168" s="14"/>
    </row>
    <row r="169" spans="1:4" ht="14.25" x14ac:dyDescent="0.2">
      <c r="A169" s="14" t="str">
        <f>IF('حساب المرتب الشهري'!A167="","",'حساب المرتب الشهري'!A167)</f>
        <v/>
      </c>
      <c r="B169" s="14" t="str">
        <f>IF(A169="","",'حساب المرتب الشهري'!B167)</f>
        <v/>
      </c>
      <c r="C169" s="15" t="str">
        <f>IF(A169="","",'حساب المرتب الشهري'!N167)</f>
        <v/>
      </c>
      <c r="D169" s="14"/>
    </row>
    <row r="170" spans="1:4" ht="14.25" x14ac:dyDescent="0.2">
      <c r="A170" s="14" t="str">
        <f>IF('حساب المرتب الشهري'!A168="","",'حساب المرتب الشهري'!A168)</f>
        <v/>
      </c>
      <c r="B170" s="14" t="str">
        <f>IF(A170="","",'حساب المرتب الشهري'!B168)</f>
        <v/>
      </c>
      <c r="C170" s="15" t="str">
        <f>IF(A170="","",'حساب المرتب الشهري'!N168)</f>
        <v/>
      </c>
      <c r="D170" s="14"/>
    </row>
    <row r="171" spans="1:4" ht="14.25" x14ac:dyDescent="0.2">
      <c r="A171" s="14" t="str">
        <f>IF('حساب المرتب الشهري'!A169="","",'حساب المرتب الشهري'!A169)</f>
        <v/>
      </c>
      <c r="B171" s="14" t="str">
        <f>IF(A171="","",'حساب المرتب الشهري'!B169)</f>
        <v/>
      </c>
      <c r="C171" s="15" t="str">
        <f>IF(A171="","",'حساب المرتب الشهري'!N169)</f>
        <v/>
      </c>
      <c r="D171" s="14"/>
    </row>
    <row r="172" spans="1:4" ht="14.25" x14ac:dyDescent="0.2">
      <c r="A172" s="14" t="str">
        <f>IF('حساب المرتب الشهري'!A170="","",'حساب المرتب الشهري'!A170)</f>
        <v/>
      </c>
      <c r="B172" s="14" t="str">
        <f>IF(A172="","",'حساب المرتب الشهري'!B170)</f>
        <v/>
      </c>
      <c r="C172" s="15" t="str">
        <f>IF(A172="","",'حساب المرتب الشهري'!N170)</f>
        <v/>
      </c>
      <c r="D172" s="14"/>
    </row>
    <row r="173" spans="1:4" ht="14.25" x14ac:dyDescent="0.2">
      <c r="A173" s="14" t="str">
        <f>IF('حساب المرتب الشهري'!A171="","",'حساب المرتب الشهري'!A171)</f>
        <v/>
      </c>
      <c r="B173" s="14" t="str">
        <f>IF(A173="","",'حساب المرتب الشهري'!B171)</f>
        <v/>
      </c>
      <c r="C173" s="15" t="str">
        <f>IF(A173="","",'حساب المرتب الشهري'!N171)</f>
        <v/>
      </c>
      <c r="D173" s="14"/>
    </row>
    <row r="174" spans="1:4" ht="14.25" x14ac:dyDescent="0.2">
      <c r="A174" s="14" t="str">
        <f>IF('حساب المرتب الشهري'!A172="","",'حساب المرتب الشهري'!A172)</f>
        <v/>
      </c>
      <c r="B174" s="14" t="str">
        <f>IF(A174="","",'حساب المرتب الشهري'!B172)</f>
        <v/>
      </c>
      <c r="C174" s="15" t="str">
        <f>IF(A174="","",'حساب المرتب الشهري'!N172)</f>
        <v/>
      </c>
      <c r="D174" s="14"/>
    </row>
    <row r="175" spans="1:4" ht="14.25" x14ac:dyDescent="0.2">
      <c r="A175" s="14" t="str">
        <f>IF('حساب المرتب الشهري'!A173="","",'حساب المرتب الشهري'!A173)</f>
        <v/>
      </c>
      <c r="B175" s="14" t="str">
        <f>IF(A175="","",'حساب المرتب الشهري'!B173)</f>
        <v/>
      </c>
      <c r="C175" s="15" t="str">
        <f>IF(A175="","",'حساب المرتب الشهري'!N173)</f>
        <v/>
      </c>
      <c r="D175" s="14"/>
    </row>
    <row r="176" spans="1:4" ht="14.25" x14ac:dyDescent="0.2">
      <c r="A176" s="14" t="str">
        <f>IF('حساب المرتب الشهري'!A174="","",'حساب المرتب الشهري'!A174)</f>
        <v/>
      </c>
      <c r="B176" s="14" t="str">
        <f>IF(A176="","",'حساب المرتب الشهري'!B174)</f>
        <v/>
      </c>
      <c r="C176" s="15" t="str">
        <f>IF(A176="","",'حساب المرتب الشهري'!N174)</f>
        <v/>
      </c>
      <c r="D176" s="14"/>
    </row>
    <row r="177" spans="1:4" ht="14.25" x14ac:dyDescent="0.2">
      <c r="A177" s="14" t="str">
        <f>IF('حساب المرتب الشهري'!A175="","",'حساب المرتب الشهري'!A175)</f>
        <v/>
      </c>
      <c r="B177" s="14" t="str">
        <f>IF(A177="","",'حساب المرتب الشهري'!B175)</f>
        <v/>
      </c>
      <c r="C177" s="15" t="str">
        <f>IF(A177="","",'حساب المرتب الشهري'!N175)</f>
        <v/>
      </c>
      <c r="D177" s="14"/>
    </row>
    <row r="178" spans="1:4" ht="14.25" x14ac:dyDescent="0.2">
      <c r="A178" s="14" t="str">
        <f>IF('حساب المرتب الشهري'!A176="","",'حساب المرتب الشهري'!A176)</f>
        <v/>
      </c>
      <c r="B178" s="14" t="str">
        <f>IF(A178="","",'حساب المرتب الشهري'!B176)</f>
        <v/>
      </c>
      <c r="C178" s="15" t="str">
        <f>IF(A178="","",'حساب المرتب الشهري'!N176)</f>
        <v/>
      </c>
      <c r="D178" s="14"/>
    </row>
    <row r="179" spans="1:4" ht="14.25" x14ac:dyDescent="0.2">
      <c r="A179" s="14" t="str">
        <f>IF('حساب المرتب الشهري'!A177="","",'حساب المرتب الشهري'!A177)</f>
        <v/>
      </c>
      <c r="B179" s="14" t="str">
        <f>IF(A179="","",'حساب المرتب الشهري'!B177)</f>
        <v/>
      </c>
      <c r="C179" s="15" t="str">
        <f>IF(A179="","",'حساب المرتب الشهري'!N177)</f>
        <v/>
      </c>
      <c r="D179" s="14"/>
    </row>
    <row r="180" spans="1:4" ht="14.25" x14ac:dyDescent="0.2">
      <c r="A180" s="14" t="str">
        <f>IF('حساب المرتب الشهري'!A178="","",'حساب المرتب الشهري'!A178)</f>
        <v/>
      </c>
      <c r="B180" s="14" t="str">
        <f>IF(A180="","",'حساب المرتب الشهري'!B178)</f>
        <v/>
      </c>
      <c r="C180" s="15" t="str">
        <f>IF(A180="","",'حساب المرتب الشهري'!N178)</f>
        <v/>
      </c>
      <c r="D180" s="14"/>
    </row>
    <row r="181" spans="1:4" ht="14.25" x14ac:dyDescent="0.2">
      <c r="A181" s="14" t="str">
        <f>IF('حساب المرتب الشهري'!A179="","",'حساب المرتب الشهري'!A179)</f>
        <v/>
      </c>
      <c r="B181" s="14" t="str">
        <f>IF(A181="","",'حساب المرتب الشهري'!B179)</f>
        <v/>
      </c>
      <c r="C181" s="15" t="str">
        <f>IF(A181="","",'حساب المرتب الشهري'!N179)</f>
        <v/>
      </c>
      <c r="D181" s="14"/>
    </row>
    <row r="182" spans="1:4" ht="14.25" x14ac:dyDescent="0.2">
      <c r="A182" s="14" t="str">
        <f>IF('حساب المرتب الشهري'!A180="","",'حساب المرتب الشهري'!A180)</f>
        <v/>
      </c>
      <c r="B182" s="14" t="str">
        <f>IF(A182="","",'حساب المرتب الشهري'!B180)</f>
        <v/>
      </c>
      <c r="C182" s="15" t="str">
        <f>IF(A182="","",'حساب المرتب الشهري'!N180)</f>
        <v/>
      </c>
      <c r="D182" s="14"/>
    </row>
    <row r="183" spans="1:4" ht="14.25" x14ac:dyDescent="0.2">
      <c r="A183" s="14" t="str">
        <f>IF('حساب المرتب الشهري'!A181="","",'حساب المرتب الشهري'!A181)</f>
        <v/>
      </c>
      <c r="B183" s="14" t="str">
        <f>IF(A183="","",'حساب المرتب الشهري'!B181)</f>
        <v/>
      </c>
      <c r="C183" s="15" t="str">
        <f>IF(A183="","",'حساب المرتب الشهري'!N181)</f>
        <v/>
      </c>
      <c r="D183" s="14"/>
    </row>
    <row r="184" spans="1:4" ht="14.25" x14ac:dyDescent="0.2">
      <c r="A184" s="14" t="str">
        <f>IF('حساب المرتب الشهري'!A182="","",'حساب المرتب الشهري'!A182)</f>
        <v/>
      </c>
      <c r="B184" s="14" t="str">
        <f>IF(A184="","",'حساب المرتب الشهري'!B182)</f>
        <v/>
      </c>
      <c r="C184" s="15" t="str">
        <f>IF(A184="","",'حساب المرتب الشهري'!N182)</f>
        <v/>
      </c>
      <c r="D184" s="14"/>
    </row>
    <row r="185" spans="1:4" ht="14.25" x14ac:dyDescent="0.2">
      <c r="A185" s="14" t="str">
        <f>IF('حساب المرتب الشهري'!A183="","",'حساب المرتب الشهري'!A183)</f>
        <v/>
      </c>
      <c r="B185" s="14" t="str">
        <f>IF(A185="","",'حساب المرتب الشهري'!B183)</f>
        <v/>
      </c>
      <c r="C185" s="15" t="str">
        <f>IF(A185="","",'حساب المرتب الشهري'!N183)</f>
        <v/>
      </c>
      <c r="D185" s="14"/>
    </row>
    <row r="186" spans="1:4" ht="14.25" x14ac:dyDescent="0.2">
      <c r="A186" s="14" t="str">
        <f>IF('حساب المرتب الشهري'!A184="","",'حساب المرتب الشهري'!A184)</f>
        <v/>
      </c>
      <c r="B186" s="14" t="str">
        <f>IF(A186="","",'حساب المرتب الشهري'!B184)</f>
        <v/>
      </c>
      <c r="C186" s="15" t="str">
        <f>IF(A186="","",'حساب المرتب الشهري'!N184)</f>
        <v/>
      </c>
      <c r="D186" s="14"/>
    </row>
    <row r="187" spans="1:4" ht="14.25" x14ac:dyDescent="0.2">
      <c r="A187" s="14" t="str">
        <f>IF('حساب المرتب الشهري'!A185="","",'حساب المرتب الشهري'!A185)</f>
        <v/>
      </c>
      <c r="B187" s="14" t="str">
        <f>IF(A187="","",'حساب المرتب الشهري'!B185)</f>
        <v/>
      </c>
      <c r="C187" s="15" t="str">
        <f>IF(A187="","",'حساب المرتب الشهري'!N185)</f>
        <v/>
      </c>
      <c r="D187" s="14"/>
    </row>
    <row r="188" spans="1:4" ht="14.25" x14ac:dyDescent="0.2">
      <c r="A188" s="14" t="str">
        <f>IF('حساب المرتب الشهري'!A186="","",'حساب المرتب الشهري'!A186)</f>
        <v/>
      </c>
      <c r="B188" s="14" t="str">
        <f>IF(A188="","",'حساب المرتب الشهري'!B186)</f>
        <v/>
      </c>
      <c r="C188" s="15" t="str">
        <f>IF(A188="","",'حساب المرتب الشهري'!N186)</f>
        <v/>
      </c>
      <c r="D188" s="14"/>
    </row>
    <row r="189" spans="1:4" ht="14.25" x14ac:dyDescent="0.2">
      <c r="A189" s="14" t="str">
        <f>IF('حساب المرتب الشهري'!A187="","",'حساب المرتب الشهري'!A187)</f>
        <v/>
      </c>
      <c r="B189" s="14" t="str">
        <f>IF(A189="","",'حساب المرتب الشهري'!B187)</f>
        <v/>
      </c>
      <c r="C189" s="15" t="str">
        <f>IF(A189="","",'حساب المرتب الشهري'!N187)</f>
        <v/>
      </c>
      <c r="D189" s="14"/>
    </row>
    <row r="190" spans="1:4" ht="14.25" x14ac:dyDescent="0.2">
      <c r="A190" s="14" t="str">
        <f>IF('حساب المرتب الشهري'!A188="","",'حساب المرتب الشهري'!A188)</f>
        <v/>
      </c>
      <c r="B190" s="14" t="str">
        <f>IF(A190="","",'حساب المرتب الشهري'!B188)</f>
        <v/>
      </c>
      <c r="C190" s="15" t="str">
        <f>IF(A190="","",'حساب المرتب الشهري'!N188)</f>
        <v/>
      </c>
      <c r="D190" s="14"/>
    </row>
    <row r="191" spans="1:4" ht="14.25" x14ac:dyDescent="0.2">
      <c r="A191" s="14" t="str">
        <f>IF('حساب المرتب الشهري'!A189="","",'حساب المرتب الشهري'!A189)</f>
        <v/>
      </c>
      <c r="B191" s="14" t="str">
        <f>IF(A191="","",'حساب المرتب الشهري'!B189)</f>
        <v/>
      </c>
      <c r="C191" s="15" t="str">
        <f>IF(A191="","",'حساب المرتب الشهري'!N189)</f>
        <v/>
      </c>
      <c r="D191" s="14"/>
    </row>
    <row r="192" spans="1:4" ht="14.25" x14ac:dyDescent="0.2">
      <c r="A192" s="14" t="str">
        <f>IF('حساب المرتب الشهري'!A190="","",'حساب المرتب الشهري'!A190)</f>
        <v/>
      </c>
      <c r="B192" s="14" t="str">
        <f>IF(A192="","",'حساب المرتب الشهري'!B190)</f>
        <v/>
      </c>
      <c r="C192" s="15" t="str">
        <f>IF(A192="","",'حساب المرتب الشهري'!N190)</f>
        <v/>
      </c>
      <c r="D192" s="14"/>
    </row>
    <row r="193" spans="1:4" ht="14.25" x14ac:dyDescent="0.2">
      <c r="A193" s="14" t="str">
        <f>IF('حساب المرتب الشهري'!A191="","",'حساب المرتب الشهري'!A191)</f>
        <v/>
      </c>
      <c r="B193" s="14" t="str">
        <f>IF(A193="","",'حساب المرتب الشهري'!B191)</f>
        <v/>
      </c>
      <c r="C193" s="15" t="str">
        <f>IF(A193="","",'حساب المرتب الشهري'!N191)</f>
        <v/>
      </c>
      <c r="D193" s="14"/>
    </row>
    <row r="194" spans="1:4" ht="14.25" x14ac:dyDescent="0.2">
      <c r="A194" s="14" t="str">
        <f>IF('حساب المرتب الشهري'!A192="","",'حساب المرتب الشهري'!A192)</f>
        <v/>
      </c>
      <c r="B194" s="14" t="str">
        <f>IF(A194="","",'حساب المرتب الشهري'!B192)</f>
        <v/>
      </c>
      <c r="C194" s="15" t="str">
        <f>IF(A194="","",'حساب المرتب الشهري'!N192)</f>
        <v/>
      </c>
      <c r="D194" s="14"/>
    </row>
    <row r="195" spans="1:4" ht="14.25" x14ac:dyDescent="0.2">
      <c r="A195" s="14" t="str">
        <f>IF('حساب المرتب الشهري'!A193="","",'حساب المرتب الشهري'!A193)</f>
        <v/>
      </c>
      <c r="B195" s="14" t="str">
        <f>IF(A195="","",'حساب المرتب الشهري'!B193)</f>
        <v/>
      </c>
      <c r="C195" s="15" t="str">
        <f>IF(A195="","",'حساب المرتب الشهري'!N193)</f>
        <v/>
      </c>
      <c r="D195" s="14"/>
    </row>
    <row r="196" spans="1:4" ht="14.25" x14ac:dyDescent="0.2">
      <c r="A196" s="14" t="str">
        <f>IF('حساب المرتب الشهري'!A194="","",'حساب المرتب الشهري'!A194)</f>
        <v/>
      </c>
      <c r="B196" s="14" t="str">
        <f>IF(A196="","",'حساب المرتب الشهري'!B194)</f>
        <v/>
      </c>
      <c r="C196" s="15" t="str">
        <f>IF(A196="","",'حساب المرتب الشهري'!N194)</f>
        <v/>
      </c>
      <c r="D196" s="14"/>
    </row>
    <row r="197" spans="1:4" ht="14.25" x14ac:dyDescent="0.2">
      <c r="A197" s="14" t="str">
        <f>IF('حساب المرتب الشهري'!A195="","",'حساب المرتب الشهري'!A195)</f>
        <v/>
      </c>
      <c r="B197" s="14" t="str">
        <f>IF(A197="","",'حساب المرتب الشهري'!B195)</f>
        <v/>
      </c>
      <c r="C197" s="15" t="str">
        <f>IF(A197="","",'حساب المرتب الشهري'!N195)</f>
        <v/>
      </c>
      <c r="D197" s="14"/>
    </row>
    <row r="198" spans="1:4" ht="14.25" x14ac:dyDescent="0.2">
      <c r="A198" s="14" t="str">
        <f>IF('حساب المرتب الشهري'!A196="","",'حساب المرتب الشهري'!A196)</f>
        <v/>
      </c>
      <c r="B198" s="14" t="str">
        <f>IF(A198="","",'حساب المرتب الشهري'!B196)</f>
        <v/>
      </c>
      <c r="C198" s="15" t="str">
        <f>IF(A198="","",'حساب المرتب الشهري'!N196)</f>
        <v/>
      </c>
      <c r="D198" s="14"/>
    </row>
    <row r="199" spans="1:4" ht="14.25" x14ac:dyDescent="0.2">
      <c r="A199" s="14" t="str">
        <f>IF('حساب المرتب الشهري'!A197="","",'حساب المرتب الشهري'!A197)</f>
        <v/>
      </c>
      <c r="B199" s="14" t="str">
        <f>IF(A199="","",'حساب المرتب الشهري'!B197)</f>
        <v/>
      </c>
      <c r="C199" s="15" t="str">
        <f>IF(A199="","",'حساب المرتب الشهري'!N197)</f>
        <v/>
      </c>
      <c r="D199" s="14"/>
    </row>
    <row r="200" spans="1:4" ht="14.25" x14ac:dyDescent="0.2">
      <c r="A200" s="14" t="str">
        <f>IF('حساب المرتب الشهري'!A198="","",'حساب المرتب الشهري'!A198)</f>
        <v/>
      </c>
      <c r="B200" s="14" t="str">
        <f>IF(A200="","",'حساب المرتب الشهري'!B198)</f>
        <v/>
      </c>
      <c r="C200" s="15" t="str">
        <f>IF(A200="","",'حساب المرتب الشهري'!N198)</f>
        <v/>
      </c>
      <c r="D200" s="14"/>
    </row>
    <row r="201" spans="1:4" ht="14.25" x14ac:dyDescent="0.2">
      <c r="A201" s="14" t="str">
        <f>IF('حساب المرتب الشهري'!A199="","",'حساب المرتب الشهري'!A199)</f>
        <v/>
      </c>
      <c r="B201" s="14" t="str">
        <f>IF(A201="","",'حساب المرتب الشهري'!B199)</f>
        <v/>
      </c>
      <c r="C201" s="15" t="str">
        <f>IF(A201="","",'حساب المرتب الشهري'!N199)</f>
        <v/>
      </c>
      <c r="D201" s="14"/>
    </row>
    <row r="202" spans="1:4" ht="14.25" x14ac:dyDescent="0.2">
      <c r="A202" s="14" t="str">
        <f>IF('حساب المرتب الشهري'!A200="","",'حساب المرتب الشهري'!A200)</f>
        <v/>
      </c>
      <c r="B202" s="14" t="str">
        <f>IF(A202="","",'حساب المرتب الشهري'!B200)</f>
        <v/>
      </c>
      <c r="C202" s="15" t="str">
        <f>IF(A202="","",'حساب المرتب الشهري'!N200)</f>
        <v/>
      </c>
      <c r="D202" s="14"/>
    </row>
    <row r="203" spans="1:4" ht="14.25" x14ac:dyDescent="0.2">
      <c r="A203" s="14" t="str">
        <f>IF('حساب المرتب الشهري'!A201="","",'حساب المرتب الشهري'!A201)</f>
        <v/>
      </c>
      <c r="B203" s="14" t="str">
        <f>IF(A203="","",'حساب المرتب الشهري'!B201)</f>
        <v/>
      </c>
      <c r="C203" s="15" t="str">
        <f>IF(A203="","",'حساب المرتب الشهري'!N201)</f>
        <v/>
      </c>
      <c r="D203" s="14"/>
    </row>
    <row r="204" spans="1:4" ht="14.25" x14ac:dyDescent="0.2">
      <c r="A204" s="14" t="str">
        <f>IF('حساب المرتب الشهري'!A202="","",'حساب المرتب الشهري'!A202)</f>
        <v/>
      </c>
      <c r="B204" s="14" t="str">
        <f>IF(A204="","",'حساب المرتب الشهري'!B202)</f>
        <v/>
      </c>
      <c r="C204" s="15" t="str">
        <f>IF(A204="","",'حساب المرتب الشهري'!N202)</f>
        <v/>
      </c>
      <c r="D204" s="14"/>
    </row>
    <row r="205" spans="1:4" ht="14.25" x14ac:dyDescent="0.2">
      <c r="A205" s="14" t="str">
        <f>IF('حساب المرتب الشهري'!A203="","",'حساب المرتب الشهري'!A203)</f>
        <v/>
      </c>
      <c r="B205" s="14" t="str">
        <f>IF(A205="","",'حساب المرتب الشهري'!B203)</f>
        <v/>
      </c>
      <c r="C205" s="15" t="str">
        <f>IF(A205="","",'حساب المرتب الشهري'!N203)</f>
        <v/>
      </c>
      <c r="D205" s="14"/>
    </row>
    <row r="206" spans="1:4" ht="14.25" x14ac:dyDescent="0.2">
      <c r="A206" s="14" t="str">
        <f>IF('حساب المرتب الشهري'!A204="","",'حساب المرتب الشهري'!A204)</f>
        <v/>
      </c>
      <c r="B206" s="14" t="str">
        <f>IF(A206="","",'حساب المرتب الشهري'!B204)</f>
        <v/>
      </c>
      <c r="C206" s="15" t="str">
        <f>IF(A206="","",'حساب المرتب الشهري'!N204)</f>
        <v/>
      </c>
      <c r="D206" s="14"/>
    </row>
    <row r="207" spans="1:4" ht="14.25" x14ac:dyDescent="0.2">
      <c r="A207" s="14" t="str">
        <f>IF('حساب المرتب الشهري'!A205="","",'حساب المرتب الشهري'!A205)</f>
        <v/>
      </c>
      <c r="B207" s="14" t="str">
        <f>IF(A207="","",'حساب المرتب الشهري'!B205)</f>
        <v/>
      </c>
      <c r="C207" s="15" t="str">
        <f>IF(A207="","",'حساب المرتب الشهري'!N205)</f>
        <v/>
      </c>
      <c r="D207" s="14"/>
    </row>
    <row r="208" spans="1:4" ht="14.25" x14ac:dyDescent="0.2">
      <c r="A208" s="14" t="str">
        <f>IF('حساب المرتب الشهري'!A206="","",'حساب المرتب الشهري'!A206)</f>
        <v/>
      </c>
      <c r="B208" s="14" t="str">
        <f>IF(A208="","",'حساب المرتب الشهري'!B206)</f>
        <v/>
      </c>
      <c r="C208" s="15" t="str">
        <f>IF(A208="","",'حساب المرتب الشهري'!N206)</f>
        <v/>
      </c>
      <c r="D208" s="14"/>
    </row>
    <row r="209" spans="1:4" ht="14.25" x14ac:dyDescent="0.2">
      <c r="A209" s="14" t="str">
        <f>IF('حساب المرتب الشهري'!A207="","",'حساب المرتب الشهري'!A207)</f>
        <v/>
      </c>
      <c r="B209" s="14" t="str">
        <f>IF(A209="","",'حساب المرتب الشهري'!B207)</f>
        <v/>
      </c>
      <c r="C209" s="15" t="str">
        <f>IF(A209="","",'حساب المرتب الشهري'!N207)</f>
        <v/>
      </c>
      <c r="D209" s="14"/>
    </row>
    <row r="210" spans="1:4" ht="14.25" x14ac:dyDescent="0.2">
      <c r="A210" s="14" t="str">
        <f>IF('حساب المرتب الشهري'!A208="","",'حساب المرتب الشهري'!A208)</f>
        <v/>
      </c>
      <c r="B210" s="14" t="str">
        <f>IF(A210="","",'حساب المرتب الشهري'!B208)</f>
        <v/>
      </c>
      <c r="C210" s="15" t="str">
        <f>IF(A210="","",'حساب المرتب الشهري'!N208)</f>
        <v/>
      </c>
      <c r="D210" s="14"/>
    </row>
    <row r="211" spans="1:4" ht="14.25" x14ac:dyDescent="0.2">
      <c r="A211" s="14" t="str">
        <f>IF('حساب المرتب الشهري'!A209="","",'حساب المرتب الشهري'!A209)</f>
        <v/>
      </c>
      <c r="B211" s="14" t="str">
        <f>IF(A211="","",'حساب المرتب الشهري'!B209)</f>
        <v/>
      </c>
      <c r="C211" s="15" t="str">
        <f>IF(A211="","",'حساب المرتب الشهري'!N209)</f>
        <v/>
      </c>
      <c r="D211" s="14"/>
    </row>
    <row r="212" spans="1:4" ht="14.25" x14ac:dyDescent="0.2">
      <c r="A212" s="14" t="str">
        <f>IF('حساب المرتب الشهري'!A210="","",'حساب المرتب الشهري'!A210)</f>
        <v/>
      </c>
      <c r="B212" s="14" t="str">
        <f>IF(A212="","",'حساب المرتب الشهري'!B210)</f>
        <v/>
      </c>
      <c r="C212" s="15" t="str">
        <f>IF(A212="","",'حساب المرتب الشهري'!N210)</f>
        <v/>
      </c>
      <c r="D212" s="14"/>
    </row>
    <row r="213" spans="1:4" ht="14.25" x14ac:dyDescent="0.2">
      <c r="A213" s="14" t="str">
        <f>IF('حساب المرتب الشهري'!A211="","",'حساب المرتب الشهري'!A211)</f>
        <v/>
      </c>
      <c r="B213" s="14" t="str">
        <f>IF(A213="","",'حساب المرتب الشهري'!B211)</f>
        <v/>
      </c>
      <c r="C213" s="15" t="str">
        <f>IF(A213="","",'حساب المرتب الشهري'!N211)</f>
        <v/>
      </c>
      <c r="D213" s="14"/>
    </row>
    <row r="214" spans="1:4" ht="14.25" x14ac:dyDescent="0.2">
      <c r="A214" s="14" t="str">
        <f>IF('حساب المرتب الشهري'!A212="","",'حساب المرتب الشهري'!A212)</f>
        <v/>
      </c>
      <c r="B214" s="14" t="str">
        <f>IF(A214="","",'حساب المرتب الشهري'!B212)</f>
        <v/>
      </c>
      <c r="C214" s="15" t="str">
        <f>IF(A214="","",'حساب المرتب الشهري'!N212)</f>
        <v/>
      </c>
      <c r="D214" s="14"/>
    </row>
    <row r="215" spans="1:4" ht="14.25" x14ac:dyDescent="0.2">
      <c r="A215" s="14" t="str">
        <f>IF('حساب المرتب الشهري'!A213="","",'حساب المرتب الشهري'!A213)</f>
        <v/>
      </c>
      <c r="B215" s="14" t="str">
        <f>IF(A215="","",'حساب المرتب الشهري'!B213)</f>
        <v/>
      </c>
      <c r="C215" s="15" t="str">
        <f>IF(A215="","",'حساب المرتب الشهري'!N213)</f>
        <v/>
      </c>
      <c r="D215" s="14"/>
    </row>
    <row r="216" spans="1:4" ht="14.25" x14ac:dyDescent="0.2">
      <c r="A216" s="14" t="str">
        <f>IF('حساب المرتب الشهري'!A214="","",'حساب المرتب الشهري'!A214)</f>
        <v/>
      </c>
      <c r="B216" s="14" t="str">
        <f>IF(A216="","",'حساب المرتب الشهري'!B214)</f>
        <v/>
      </c>
      <c r="C216" s="15" t="str">
        <f>IF(A216="","",'حساب المرتب الشهري'!N214)</f>
        <v/>
      </c>
      <c r="D216" s="14"/>
    </row>
    <row r="217" spans="1:4" ht="14.25" x14ac:dyDescent="0.2">
      <c r="A217" s="14" t="str">
        <f>IF('حساب المرتب الشهري'!A215="","",'حساب المرتب الشهري'!A215)</f>
        <v/>
      </c>
      <c r="B217" s="14" t="str">
        <f>IF(A217="","",'حساب المرتب الشهري'!B215)</f>
        <v/>
      </c>
      <c r="C217" s="15" t="str">
        <f>IF(A217="","",'حساب المرتب الشهري'!N215)</f>
        <v/>
      </c>
      <c r="D217" s="14"/>
    </row>
    <row r="218" spans="1:4" ht="14.25" x14ac:dyDescent="0.2">
      <c r="A218" s="14" t="str">
        <f>IF('حساب المرتب الشهري'!A216="","",'حساب المرتب الشهري'!A216)</f>
        <v/>
      </c>
      <c r="B218" s="14" t="str">
        <f>IF(A218="","",'حساب المرتب الشهري'!B216)</f>
        <v/>
      </c>
      <c r="C218" s="15" t="str">
        <f>IF(A218="","",'حساب المرتب الشهري'!N216)</f>
        <v/>
      </c>
      <c r="D218" s="14"/>
    </row>
    <row r="219" spans="1:4" ht="14.25" x14ac:dyDescent="0.2">
      <c r="A219" s="14" t="str">
        <f>IF('حساب المرتب الشهري'!A217="","",'حساب المرتب الشهري'!A217)</f>
        <v/>
      </c>
      <c r="B219" s="14" t="str">
        <f>IF(A219="","",'حساب المرتب الشهري'!B217)</f>
        <v/>
      </c>
      <c r="C219" s="15" t="str">
        <f>IF(A219="","",'حساب المرتب الشهري'!N217)</f>
        <v/>
      </c>
      <c r="D219" s="14"/>
    </row>
    <row r="220" spans="1:4" ht="14.25" x14ac:dyDescent="0.2">
      <c r="A220" s="14" t="str">
        <f>IF('حساب المرتب الشهري'!A218="","",'حساب المرتب الشهري'!A218)</f>
        <v/>
      </c>
      <c r="B220" s="14" t="str">
        <f>IF(A220="","",'حساب المرتب الشهري'!B218)</f>
        <v/>
      </c>
      <c r="C220" s="15" t="str">
        <f>IF(A220="","",'حساب المرتب الشهري'!N218)</f>
        <v/>
      </c>
      <c r="D220" s="14"/>
    </row>
    <row r="221" spans="1:4" ht="14.25" x14ac:dyDescent="0.2">
      <c r="A221" s="14" t="str">
        <f>IF('حساب المرتب الشهري'!A219="","",'حساب المرتب الشهري'!A219)</f>
        <v/>
      </c>
      <c r="B221" s="14" t="str">
        <f>IF(A221="","",'حساب المرتب الشهري'!B219)</f>
        <v/>
      </c>
      <c r="C221" s="15" t="str">
        <f>IF(A221="","",'حساب المرتب الشهري'!N219)</f>
        <v/>
      </c>
      <c r="D221" s="14"/>
    </row>
    <row r="222" spans="1:4" ht="14.25" x14ac:dyDescent="0.2">
      <c r="A222" s="14" t="str">
        <f>IF('حساب المرتب الشهري'!A220="","",'حساب المرتب الشهري'!A220)</f>
        <v/>
      </c>
      <c r="B222" s="14" t="str">
        <f>IF(A222="","",'حساب المرتب الشهري'!B220)</f>
        <v/>
      </c>
      <c r="C222" s="15" t="str">
        <f>IF(A222="","",'حساب المرتب الشهري'!N220)</f>
        <v/>
      </c>
      <c r="D222" s="14"/>
    </row>
    <row r="223" spans="1:4" ht="14.25" x14ac:dyDescent="0.2">
      <c r="A223" s="14" t="str">
        <f>IF('حساب المرتب الشهري'!A221="","",'حساب المرتب الشهري'!A221)</f>
        <v/>
      </c>
      <c r="B223" s="14" t="str">
        <f>IF(A223="","",'حساب المرتب الشهري'!B221)</f>
        <v/>
      </c>
      <c r="C223" s="15" t="str">
        <f>IF(A223="","",'حساب المرتب الشهري'!N221)</f>
        <v/>
      </c>
      <c r="D223" s="14"/>
    </row>
    <row r="224" spans="1:4" ht="14.25" x14ac:dyDescent="0.2">
      <c r="A224" s="14" t="str">
        <f>IF('حساب المرتب الشهري'!A222="","",'حساب المرتب الشهري'!A222)</f>
        <v/>
      </c>
      <c r="B224" s="14" t="str">
        <f>IF(A224="","",'حساب المرتب الشهري'!B222)</f>
        <v/>
      </c>
      <c r="C224" s="15" t="str">
        <f>IF(A224="","",'حساب المرتب الشهري'!N222)</f>
        <v/>
      </c>
      <c r="D224" s="14"/>
    </row>
    <row r="225" spans="1:4" ht="14.25" x14ac:dyDescent="0.2">
      <c r="A225" s="14" t="str">
        <f>IF('حساب المرتب الشهري'!A223="","",'حساب المرتب الشهري'!A223)</f>
        <v/>
      </c>
      <c r="B225" s="14" t="str">
        <f>IF(A225="","",'حساب المرتب الشهري'!B223)</f>
        <v/>
      </c>
      <c r="C225" s="15" t="str">
        <f>IF(A225="","",'حساب المرتب الشهري'!N223)</f>
        <v/>
      </c>
      <c r="D225" s="14"/>
    </row>
    <row r="226" spans="1:4" ht="14.25" x14ac:dyDescent="0.2">
      <c r="A226" s="14" t="str">
        <f>IF('حساب المرتب الشهري'!A224="","",'حساب المرتب الشهري'!A224)</f>
        <v/>
      </c>
      <c r="B226" s="14" t="str">
        <f>IF(A226="","",'حساب المرتب الشهري'!B224)</f>
        <v/>
      </c>
      <c r="C226" s="15" t="str">
        <f>IF(A226="","",'حساب المرتب الشهري'!N224)</f>
        <v/>
      </c>
      <c r="D226" s="14"/>
    </row>
    <row r="227" spans="1:4" ht="14.25" x14ac:dyDescent="0.2">
      <c r="A227" s="14" t="str">
        <f>IF('حساب المرتب الشهري'!A225="","",'حساب المرتب الشهري'!A225)</f>
        <v/>
      </c>
      <c r="B227" s="14" t="str">
        <f>IF(A227="","",'حساب المرتب الشهري'!B225)</f>
        <v/>
      </c>
      <c r="C227" s="15" t="str">
        <f>IF(A227="","",'حساب المرتب الشهري'!N225)</f>
        <v/>
      </c>
      <c r="D227" s="14"/>
    </row>
    <row r="228" spans="1:4" ht="14.25" x14ac:dyDescent="0.2">
      <c r="A228" s="14" t="str">
        <f>IF('حساب المرتب الشهري'!A226="","",'حساب المرتب الشهري'!A226)</f>
        <v/>
      </c>
      <c r="B228" s="14" t="str">
        <f>IF(A228="","",'حساب المرتب الشهري'!B226)</f>
        <v/>
      </c>
      <c r="C228" s="15" t="str">
        <f>IF(A228="","",'حساب المرتب الشهري'!N226)</f>
        <v/>
      </c>
      <c r="D228" s="14"/>
    </row>
    <row r="229" spans="1:4" ht="14.25" x14ac:dyDescent="0.2">
      <c r="A229" s="14" t="str">
        <f>IF('حساب المرتب الشهري'!A227="","",'حساب المرتب الشهري'!A227)</f>
        <v/>
      </c>
      <c r="B229" s="14" t="str">
        <f>IF(A229="","",'حساب المرتب الشهري'!B227)</f>
        <v/>
      </c>
      <c r="C229" s="15" t="str">
        <f>IF(A229="","",'حساب المرتب الشهري'!N227)</f>
        <v/>
      </c>
      <c r="D229" s="14"/>
    </row>
    <row r="230" spans="1:4" ht="14.25" x14ac:dyDescent="0.2">
      <c r="A230" s="14" t="str">
        <f>IF('حساب المرتب الشهري'!A228="","",'حساب المرتب الشهري'!A228)</f>
        <v/>
      </c>
      <c r="B230" s="14" t="str">
        <f>IF(A230="","",'حساب المرتب الشهري'!B228)</f>
        <v/>
      </c>
      <c r="C230" s="15" t="str">
        <f>IF(A230="","",'حساب المرتب الشهري'!N228)</f>
        <v/>
      </c>
      <c r="D230" s="14"/>
    </row>
    <row r="231" spans="1:4" ht="14.25" x14ac:dyDescent="0.2">
      <c r="A231" s="14" t="str">
        <f>IF('حساب المرتب الشهري'!A229="","",'حساب المرتب الشهري'!A229)</f>
        <v/>
      </c>
      <c r="B231" s="14" t="str">
        <f>IF(A231="","",'حساب المرتب الشهري'!B229)</f>
        <v/>
      </c>
      <c r="C231" s="15" t="str">
        <f>IF(A231="","",'حساب المرتب الشهري'!N229)</f>
        <v/>
      </c>
      <c r="D231" s="14"/>
    </row>
    <row r="232" spans="1:4" ht="14.25" x14ac:dyDescent="0.2">
      <c r="A232" s="14" t="str">
        <f>IF('حساب المرتب الشهري'!A230="","",'حساب المرتب الشهري'!A230)</f>
        <v/>
      </c>
      <c r="B232" s="14" t="str">
        <f>IF(A232="","",'حساب المرتب الشهري'!B230)</f>
        <v/>
      </c>
      <c r="C232" s="15" t="str">
        <f>IF(A232="","",'حساب المرتب الشهري'!N230)</f>
        <v/>
      </c>
      <c r="D232" s="14"/>
    </row>
    <row r="233" spans="1:4" ht="14.25" x14ac:dyDescent="0.2">
      <c r="A233" s="14" t="str">
        <f>IF('حساب المرتب الشهري'!A231="","",'حساب المرتب الشهري'!A231)</f>
        <v/>
      </c>
      <c r="B233" s="14" t="str">
        <f>IF(A233="","",'حساب المرتب الشهري'!B231)</f>
        <v/>
      </c>
      <c r="C233" s="15" t="str">
        <f>IF(A233="","",'حساب المرتب الشهري'!N231)</f>
        <v/>
      </c>
      <c r="D233" s="14"/>
    </row>
    <row r="234" spans="1:4" ht="14.25" x14ac:dyDescent="0.2">
      <c r="A234" s="14" t="str">
        <f>IF('حساب المرتب الشهري'!A232="","",'حساب المرتب الشهري'!A232)</f>
        <v/>
      </c>
      <c r="B234" s="14" t="str">
        <f>IF(A234="","",'حساب المرتب الشهري'!B232)</f>
        <v/>
      </c>
      <c r="C234" s="15" t="str">
        <f>IF(A234="","",'حساب المرتب الشهري'!N232)</f>
        <v/>
      </c>
      <c r="D234" s="14"/>
    </row>
    <row r="235" spans="1:4" ht="14.25" x14ac:dyDescent="0.2">
      <c r="A235" s="14" t="str">
        <f>IF('حساب المرتب الشهري'!A233="","",'حساب المرتب الشهري'!A233)</f>
        <v/>
      </c>
      <c r="B235" s="14" t="str">
        <f>IF(A235="","",'حساب المرتب الشهري'!B233)</f>
        <v/>
      </c>
      <c r="C235" s="15" t="str">
        <f>IF(A235="","",'حساب المرتب الشهري'!N233)</f>
        <v/>
      </c>
      <c r="D235" s="14"/>
    </row>
    <row r="236" spans="1:4" ht="14.25" x14ac:dyDescent="0.2">
      <c r="A236" s="14" t="str">
        <f>IF('حساب المرتب الشهري'!A234="","",'حساب المرتب الشهري'!A234)</f>
        <v/>
      </c>
      <c r="B236" s="14" t="str">
        <f>IF(A236="","",'حساب المرتب الشهري'!B234)</f>
        <v/>
      </c>
      <c r="C236" s="15" t="str">
        <f>IF(A236="","",'حساب المرتب الشهري'!N234)</f>
        <v/>
      </c>
      <c r="D236" s="14"/>
    </row>
    <row r="237" spans="1:4" ht="14.25" x14ac:dyDescent="0.2">
      <c r="A237" s="14" t="str">
        <f>IF('حساب المرتب الشهري'!A235="","",'حساب المرتب الشهري'!A235)</f>
        <v/>
      </c>
      <c r="B237" s="14" t="str">
        <f>IF(A237="","",'حساب المرتب الشهري'!B235)</f>
        <v/>
      </c>
      <c r="C237" s="15" t="str">
        <f>IF(A237="","",'حساب المرتب الشهري'!N235)</f>
        <v/>
      </c>
      <c r="D237" s="14"/>
    </row>
    <row r="238" spans="1:4" ht="14.25" x14ac:dyDescent="0.2">
      <c r="A238" s="14" t="str">
        <f>IF('حساب المرتب الشهري'!A236="","",'حساب المرتب الشهري'!A236)</f>
        <v/>
      </c>
      <c r="B238" s="14" t="str">
        <f>IF(A238="","",'حساب المرتب الشهري'!B236)</f>
        <v/>
      </c>
      <c r="C238" s="15" t="str">
        <f>IF(A238="","",'حساب المرتب الشهري'!N236)</f>
        <v/>
      </c>
      <c r="D238" s="14"/>
    </row>
    <row r="239" spans="1:4" ht="14.25" x14ac:dyDescent="0.2">
      <c r="A239" s="14" t="str">
        <f>IF('حساب المرتب الشهري'!A237="","",'حساب المرتب الشهري'!A237)</f>
        <v/>
      </c>
      <c r="B239" s="14" t="str">
        <f>IF(A239="","",'حساب المرتب الشهري'!B237)</f>
        <v/>
      </c>
      <c r="C239" s="15" t="str">
        <f>IF(A239="","",'حساب المرتب الشهري'!N237)</f>
        <v/>
      </c>
      <c r="D239" s="14"/>
    </row>
    <row r="240" spans="1:4" ht="14.25" x14ac:dyDescent="0.2">
      <c r="A240" s="14" t="str">
        <f>IF('حساب المرتب الشهري'!A238="","",'حساب المرتب الشهري'!A238)</f>
        <v/>
      </c>
      <c r="B240" s="14" t="str">
        <f>IF(A240="","",'حساب المرتب الشهري'!B238)</f>
        <v/>
      </c>
      <c r="C240" s="15" t="str">
        <f>IF(A240="","",'حساب المرتب الشهري'!N238)</f>
        <v/>
      </c>
      <c r="D240" s="14"/>
    </row>
    <row r="241" spans="1:4" ht="14.25" x14ac:dyDescent="0.2">
      <c r="A241" s="14" t="str">
        <f>IF('حساب المرتب الشهري'!A239="","",'حساب المرتب الشهري'!A239)</f>
        <v/>
      </c>
      <c r="B241" s="14" t="str">
        <f>IF(A241="","",'حساب المرتب الشهري'!B239)</f>
        <v/>
      </c>
      <c r="C241" s="15" t="str">
        <f>IF(A241="","",'حساب المرتب الشهري'!N239)</f>
        <v/>
      </c>
      <c r="D241" s="14"/>
    </row>
    <row r="242" spans="1:4" ht="14.25" x14ac:dyDescent="0.2">
      <c r="A242" s="14" t="str">
        <f>IF('حساب المرتب الشهري'!A240="","",'حساب المرتب الشهري'!A240)</f>
        <v/>
      </c>
      <c r="B242" s="14" t="str">
        <f>IF(A242="","",'حساب المرتب الشهري'!B240)</f>
        <v/>
      </c>
      <c r="C242" s="15" t="str">
        <f>IF(A242="","",'حساب المرتب الشهري'!N240)</f>
        <v/>
      </c>
      <c r="D242" s="14"/>
    </row>
    <row r="243" spans="1:4" ht="14.25" x14ac:dyDescent="0.2">
      <c r="A243" s="14" t="str">
        <f>IF('حساب المرتب الشهري'!A241="","",'حساب المرتب الشهري'!A241)</f>
        <v/>
      </c>
      <c r="B243" s="14" t="str">
        <f>IF(A243="","",'حساب المرتب الشهري'!B241)</f>
        <v/>
      </c>
      <c r="C243" s="15" t="str">
        <f>IF(A243="","",'حساب المرتب الشهري'!N241)</f>
        <v/>
      </c>
      <c r="D243" s="14"/>
    </row>
    <row r="244" spans="1:4" ht="14.25" x14ac:dyDescent="0.2">
      <c r="A244" s="14" t="str">
        <f>IF('حساب المرتب الشهري'!A242="","",'حساب المرتب الشهري'!A242)</f>
        <v/>
      </c>
      <c r="B244" s="14" t="str">
        <f>IF(A244="","",'حساب المرتب الشهري'!B242)</f>
        <v/>
      </c>
      <c r="C244" s="15" t="str">
        <f>IF(A244="","",'حساب المرتب الشهري'!N242)</f>
        <v/>
      </c>
      <c r="D244" s="14"/>
    </row>
    <row r="245" spans="1:4" ht="14.25" x14ac:dyDescent="0.2">
      <c r="A245" s="14" t="str">
        <f>IF('حساب المرتب الشهري'!A243="","",'حساب المرتب الشهري'!A243)</f>
        <v/>
      </c>
      <c r="B245" s="14" t="str">
        <f>IF(A245="","",'حساب المرتب الشهري'!B243)</f>
        <v/>
      </c>
      <c r="C245" s="15" t="str">
        <f>IF(A245="","",'حساب المرتب الشهري'!N243)</f>
        <v/>
      </c>
      <c r="D245" s="14"/>
    </row>
    <row r="246" spans="1:4" ht="14.25" x14ac:dyDescent="0.2">
      <c r="A246" s="14" t="str">
        <f>IF('حساب المرتب الشهري'!A244="","",'حساب المرتب الشهري'!A244)</f>
        <v/>
      </c>
      <c r="B246" s="14" t="str">
        <f>IF(A246="","",'حساب المرتب الشهري'!B244)</f>
        <v/>
      </c>
      <c r="C246" s="15" t="str">
        <f>IF(A246="","",'حساب المرتب الشهري'!N244)</f>
        <v/>
      </c>
      <c r="D246" s="14"/>
    </row>
    <row r="247" spans="1:4" ht="14.25" x14ac:dyDescent="0.2">
      <c r="A247" s="14" t="str">
        <f>IF('حساب المرتب الشهري'!A245="","",'حساب المرتب الشهري'!A245)</f>
        <v/>
      </c>
      <c r="B247" s="14" t="str">
        <f>IF(A247="","",'حساب المرتب الشهري'!B245)</f>
        <v/>
      </c>
      <c r="C247" s="15" t="str">
        <f>IF(A247="","",'حساب المرتب الشهري'!N245)</f>
        <v/>
      </c>
      <c r="D247" s="14"/>
    </row>
    <row r="248" spans="1:4" ht="14.25" x14ac:dyDescent="0.2">
      <c r="A248" s="14" t="str">
        <f>IF('حساب المرتب الشهري'!A246="","",'حساب المرتب الشهري'!A246)</f>
        <v/>
      </c>
      <c r="B248" s="14" t="str">
        <f>IF(A248="","",'حساب المرتب الشهري'!B246)</f>
        <v/>
      </c>
      <c r="C248" s="15" t="str">
        <f>IF(A248="","",'حساب المرتب الشهري'!N246)</f>
        <v/>
      </c>
      <c r="D248" s="14"/>
    </row>
    <row r="249" spans="1:4" ht="14.25" x14ac:dyDescent="0.2">
      <c r="A249" s="14" t="str">
        <f>IF('حساب المرتب الشهري'!A247="","",'حساب المرتب الشهري'!A247)</f>
        <v/>
      </c>
      <c r="B249" s="14" t="str">
        <f>IF(A249="","",'حساب المرتب الشهري'!B247)</f>
        <v/>
      </c>
      <c r="C249" s="15" t="str">
        <f>IF(A249="","",'حساب المرتب الشهري'!N247)</f>
        <v/>
      </c>
      <c r="D249" s="14"/>
    </row>
    <row r="250" spans="1:4" ht="14.25" x14ac:dyDescent="0.2">
      <c r="A250" s="14" t="str">
        <f>IF('حساب المرتب الشهري'!A248="","",'حساب المرتب الشهري'!A248)</f>
        <v/>
      </c>
      <c r="B250" s="14" t="str">
        <f>IF(A250="","",'حساب المرتب الشهري'!B248)</f>
        <v/>
      </c>
      <c r="C250" s="15" t="str">
        <f>IF(A250="","",'حساب المرتب الشهري'!N248)</f>
        <v/>
      </c>
      <c r="D250" s="14"/>
    </row>
    <row r="251" spans="1:4" ht="14.25" x14ac:dyDescent="0.2">
      <c r="A251" s="14" t="str">
        <f>IF('حساب المرتب الشهري'!A249="","",'حساب المرتب الشهري'!A249)</f>
        <v/>
      </c>
      <c r="B251" s="14" t="str">
        <f>IF(A251="","",'حساب المرتب الشهري'!B249)</f>
        <v/>
      </c>
      <c r="C251" s="15" t="str">
        <f>IF(A251="","",'حساب المرتب الشهري'!N249)</f>
        <v/>
      </c>
      <c r="D251" s="14"/>
    </row>
    <row r="252" spans="1:4" ht="14.25" x14ac:dyDescent="0.2">
      <c r="A252" s="14" t="str">
        <f>IF('حساب المرتب الشهري'!A250="","",'حساب المرتب الشهري'!A250)</f>
        <v/>
      </c>
      <c r="B252" s="14" t="str">
        <f>IF(A252="","",'حساب المرتب الشهري'!B250)</f>
        <v/>
      </c>
      <c r="C252" s="15" t="str">
        <f>IF(A252="","",'حساب المرتب الشهري'!N250)</f>
        <v/>
      </c>
      <c r="D252" s="14"/>
    </row>
    <row r="253" spans="1:4" ht="14.25" x14ac:dyDescent="0.2">
      <c r="A253" s="14" t="str">
        <f>IF('حساب المرتب الشهري'!A251="","",'حساب المرتب الشهري'!A251)</f>
        <v/>
      </c>
      <c r="B253" s="14" t="str">
        <f>IF(A253="","",'حساب المرتب الشهري'!B251)</f>
        <v/>
      </c>
      <c r="C253" s="15" t="str">
        <f>IF(A253="","",'حساب المرتب الشهري'!N251)</f>
        <v/>
      </c>
      <c r="D253" s="14"/>
    </row>
    <row r="254" spans="1:4" ht="14.25" x14ac:dyDescent="0.2">
      <c r="A254" s="14" t="str">
        <f>IF('حساب المرتب الشهري'!A252="","",'حساب المرتب الشهري'!A252)</f>
        <v/>
      </c>
      <c r="B254" s="14" t="str">
        <f>IF(A254="","",'حساب المرتب الشهري'!B252)</f>
        <v/>
      </c>
      <c r="C254" s="15" t="str">
        <f>IF(A254="","",'حساب المرتب الشهري'!N252)</f>
        <v/>
      </c>
      <c r="D254" s="14"/>
    </row>
    <row r="255" spans="1:4" ht="14.25" x14ac:dyDescent="0.2">
      <c r="A255" s="14" t="str">
        <f>IF('حساب المرتب الشهري'!A253="","",'حساب المرتب الشهري'!A253)</f>
        <v/>
      </c>
      <c r="B255" s="14" t="str">
        <f>IF(A255="","",'حساب المرتب الشهري'!B253)</f>
        <v/>
      </c>
      <c r="C255" s="15" t="str">
        <f>IF(A255="","",'حساب المرتب الشهري'!N253)</f>
        <v/>
      </c>
      <c r="D255" s="14"/>
    </row>
    <row r="256" spans="1:4" ht="14.25" x14ac:dyDescent="0.2">
      <c r="A256" s="14" t="str">
        <f>IF('حساب المرتب الشهري'!A254="","",'حساب المرتب الشهري'!A254)</f>
        <v/>
      </c>
      <c r="B256" s="14" t="str">
        <f>IF(A256="","",'حساب المرتب الشهري'!B254)</f>
        <v/>
      </c>
      <c r="C256" s="15" t="str">
        <f>IF(A256="","",'حساب المرتب الشهري'!N254)</f>
        <v/>
      </c>
      <c r="D256" s="14"/>
    </row>
    <row r="257" spans="1:4" ht="14.25" x14ac:dyDescent="0.2">
      <c r="A257" s="14" t="str">
        <f>IF('حساب المرتب الشهري'!A255="","",'حساب المرتب الشهري'!A255)</f>
        <v/>
      </c>
      <c r="B257" s="14" t="str">
        <f>IF(A257="","",'حساب المرتب الشهري'!B255)</f>
        <v/>
      </c>
      <c r="C257" s="15" t="str">
        <f>IF(A257="","",'حساب المرتب الشهري'!N255)</f>
        <v/>
      </c>
      <c r="D257" s="14"/>
    </row>
    <row r="258" spans="1:4" ht="14.25" x14ac:dyDescent="0.2">
      <c r="A258" s="14" t="str">
        <f>IF('حساب المرتب الشهري'!A256="","",'حساب المرتب الشهري'!A256)</f>
        <v/>
      </c>
      <c r="B258" s="14" t="str">
        <f>IF(A258="","",'حساب المرتب الشهري'!B256)</f>
        <v/>
      </c>
      <c r="C258" s="15" t="str">
        <f>IF(A258="","",'حساب المرتب الشهري'!N256)</f>
        <v/>
      </c>
      <c r="D258" s="14"/>
    </row>
    <row r="259" spans="1:4" ht="14.25" x14ac:dyDescent="0.2">
      <c r="A259" s="14" t="str">
        <f>IF('حساب المرتب الشهري'!A257="","",'حساب المرتب الشهري'!A257)</f>
        <v/>
      </c>
      <c r="B259" s="14" t="str">
        <f>IF(A259="","",'حساب المرتب الشهري'!B257)</f>
        <v/>
      </c>
      <c r="C259" s="15" t="str">
        <f>IF(A259="","",'حساب المرتب الشهري'!N257)</f>
        <v/>
      </c>
      <c r="D259" s="14"/>
    </row>
    <row r="260" spans="1:4" ht="14.25" x14ac:dyDescent="0.2">
      <c r="A260" s="14" t="str">
        <f>IF('حساب المرتب الشهري'!A258="","",'حساب المرتب الشهري'!A258)</f>
        <v/>
      </c>
      <c r="B260" s="14" t="str">
        <f>IF(A260="","",'حساب المرتب الشهري'!B258)</f>
        <v/>
      </c>
      <c r="C260" s="15" t="str">
        <f>IF(A260="","",'حساب المرتب الشهري'!N258)</f>
        <v/>
      </c>
      <c r="D260" s="14"/>
    </row>
    <row r="261" spans="1:4" ht="14.25" x14ac:dyDescent="0.2">
      <c r="A261" s="14" t="str">
        <f>IF('حساب المرتب الشهري'!A259="","",'حساب المرتب الشهري'!A259)</f>
        <v/>
      </c>
      <c r="B261" s="14" t="str">
        <f>IF(A261="","",'حساب المرتب الشهري'!B259)</f>
        <v/>
      </c>
      <c r="C261" s="15" t="str">
        <f>IF(A261="","",'حساب المرتب الشهري'!N259)</f>
        <v/>
      </c>
      <c r="D261" s="14"/>
    </row>
    <row r="262" spans="1:4" ht="14.25" x14ac:dyDescent="0.2">
      <c r="A262" s="14" t="str">
        <f>IF('حساب المرتب الشهري'!A260="","",'حساب المرتب الشهري'!A260)</f>
        <v/>
      </c>
      <c r="B262" s="14" t="str">
        <f>IF(A262="","",'حساب المرتب الشهري'!B260)</f>
        <v/>
      </c>
      <c r="C262" s="15" t="str">
        <f>IF(A262="","",'حساب المرتب الشهري'!N260)</f>
        <v/>
      </c>
      <c r="D262" s="14"/>
    </row>
    <row r="263" spans="1:4" ht="14.25" x14ac:dyDescent="0.2">
      <c r="A263" s="14" t="str">
        <f>IF('حساب المرتب الشهري'!A261="","",'حساب المرتب الشهري'!A261)</f>
        <v/>
      </c>
      <c r="B263" s="14" t="str">
        <f>IF(A263="","",'حساب المرتب الشهري'!B261)</f>
        <v/>
      </c>
      <c r="C263" s="15" t="str">
        <f>IF(A263="","",'حساب المرتب الشهري'!N261)</f>
        <v/>
      </c>
      <c r="D263" s="14"/>
    </row>
    <row r="264" spans="1:4" ht="14.25" x14ac:dyDescent="0.2">
      <c r="A264" s="14" t="str">
        <f>IF('حساب المرتب الشهري'!A262="","",'حساب المرتب الشهري'!A262)</f>
        <v/>
      </c>
      <c r="B264" s="14" t="str">
        <f>IF(A264="","",'حساب المرتب الشهري'!B262)</f>
        <v/>
      </c>
      <c r="C264" s="15" t="str">
        <f>IF(A264="","",'حساب المرتب الشهري'!N262)</f>
        <v/>
      </c>
      <c r="D264" s="14"/>
    </row>
    <row r="265" spans="1:4" ht="14.25" x14ac:dyDescent="0.2">
      <c r="A265" s="14" t="str">
        <f>IF('حساب المرتب الشهري'!A263="","",'حساب المرتب الشهري'!A263)</f>
        <v/>
      </c>
      <c r="B265" s="14" t="str">
        <f>IF(A265="","",'حساب المرتب الشهري'!B263)</f>
        <v/>
      </c>
      <c r="C265" s="15" t="str">
        <f>IF(A265="","",'حساب المرتب الشهري'!N263)</f>
        <v/>
      </c>
      <c r="D265" s="14"/>
    </row>
    <row r="266" spans="1:4" ht="14.25" x14ac:dyDescent="0.2">
      <c r="A266" s="14" t="str">
        <f>IF('حساب المرتب الشهري'!A264="","",'حساب المرتب الشهري'!A264)</f>
        <v/>
      </c>
      <c r="B266" s="14" t="str">
        <f>IF(A266="","",'حساب المرتب الشهري'!B264)</f>
        <v/>
      </c>
      <c r="C266" s="15" t="str">
        <f>IF(A266="","",'حساب المرتب الشهري'!N264)</f>
        <v/>
      </c>
      <c r="D266" s="14"/>
    </row>
    <row r="267" spans="1:4" ht="14.25" x14ac:dyDescent="0.2">
      <c r="A267" s="14" t="str">
        <f>IF('حساب المرتب الشهري'!A265="","",'حساب المرتب الشهري'!A265)</f>
        <v/>
      </c>
      <c r="B267" s="14" t="str">
        <f>IF(A267="","",'حساب المرتب الشهري'!B265)</f>
        <v/>
      </c>
      <c r="C267" s="15" t="str">
        <f>IF(A267="","",'حساب المرتب الشهري'!N265)</f>
        <v/>
      </c>
      <c r="D267" s="14"/>
    </row>
    <row r="268" spans="1:4" ht="14.25" x14ac:dyDescent="0.2">
      <c r="A268" s="14" t="str">
        <f>IF('حساب المرتب الشهري'!A266="","",'حساب المرتب الشهري'!A266)</f>
        <v/>
      </c>
      <c r="B268" s="14" t="str">
        <f>IF(A268="","",'حساب المرتب الشهري'!B266)</f>
        <v/>
      </c>
      <c r="C268" s="15" t="str">
        <f>IF(A268="","",'حساب المرتب الشهري'!N266)</f>
        <v/>
      </c>
      <c r="D268" s="14"/>
    </row>
    <row r="269" spans="1:4" ht="14.25" x14ac:dyDescent="0.2">
      <c r="A269" s="14" t="str">
        <f>IF('حساب المرتب الشهري'!A267="","",'حساب المرتب الشهري'!A267)</f>
        <v/>
      </c>
      <c r="B269" s="14" t="str">
        <f>IF(A269="","",'حساب المرتب الشهري'!B267)</f>
        <v/>
      </c>
      <c r="C269" s="15" t="str">
        <f>IF(A269="","",'حساب المرتب الشهري'!N267)</f>
        <v/>
      </c>
      <c r="D269" s="14"/>
    </row>
    <row r="270" spans="1:4" ht="14.25" x14ac:dyDescent="0.2">
      <c r="A270" s="14" t="str">
        <f>IF('حساب المرتب الشهري'!A268="","",'حساب المرتب الشهري'!A268)</f>
        <v/>
      </c>
      <c r="B270" s="14" t="str">
        <f>IF(A270="","",'حساب المرتب الشهري'!B268)</f>
        <v/>
      </c>
      <c r="C270" s="15" t="str">
        <f>IF(A270="","",'حساب المرتب الشهري'!N268)</f>
        <v/>
      </c>
      <c r="D270" s="14"/>
    </row>
    <row r="271" spans="1:4" ht="14.25" x14ac:dyDescent="0.2">
      <c r="A271" s="14" t="str">
        <f>IF('حساب المرتب الشهري'!A269="","",'حساب المرتب الشهري'!A269)</f>
        <v/>
      </c>
      <c r="B271" s="14" t="str">
        <f>IF(A271="","",'حساب المرتب الشهري'!B269)</f>
        <v/>
      </c>
      <c r="C271" s="15" t="str">
        <f>IF(A271="","",'حساب المرتب الشهري'!N269)</f>
        <v/>
      </c>
      <c r="D271" s="14"/>
    </row>
    <row r="272" spans="1:4" ht="14.25" x14ac:dyDescent="0.2">
      <c r="A272" s="14" t="str">
        <f>IF('حساب المرتب الشهري'!A270="","",'حساب المرتب الشهري'!A270)</f>
        <v/>
      </c>
      <c r="B272" s="14" t="str">
        <f>IF(A272="","",'حساب المرتب الشهري'!B270)</f>
        <v/>
      </c>
      <c r="C272" s="15" t="str">
        <f>IF(A272="","",'حساب المرتب الشهري'!N270)</f>
        <v/>
      </c>
      <c r="D272" s="14"/>
    </row>
    <row r="273" spans="1:4" ht="14.25" x14ac:dyDescent="0.2">
      <c r="A273" s="14" t="str">
        <f>IF('حساب المرتب الشهري'!A271="","",'حساب المرتب الشهري'!A271)</f>
        <v/>
      </c>
      <c r="B273" s="14" t="str">
        <f>IF(A273="","",'حساب المرتب الشهري'!B271)</f>
        <v/>
      </c>
      <c r="C273" s="15" t="str">
        <f>IF(A273="","",'حساب المرتب الشهري'!N271)</f>
        <v/>
      </c>
      <c r="D273" s="14"/>
    </row>
    <row r="274" spans="1:4" ht="14.25" x14ac:dyDescent="0.2">
      <c r="A274" s="14" t="str">
        <f>IF('حساب المرتب الشهري'!A272="","",'حساب المرتب الشهري'!A272)</f>
        <v/>
      </c>
      <c r="B274" s="14" t="str">
        <f>IF(A274="","",'حساب المرتب الشهري'!B272)</f>
        <v/>
      </c>
      <c r="C274" s="15" t="str">
        <f>IF(A274="","",'حساب المرتب الشهري'!N272)</f>
        <v/>
      </c>
      <c r="D274" s="14"/>
    </row>
    <row r="275" spans="1:4" ht="14.25" x14ac:dyDescent="0.2">
      <c r="A275" s="14" t="str">
        <f>IF('حساب المرتب الشهري'!A273="","",'حساب المرتب الشهري'!A273)</f>
        <v/>
      </c>
      <c r="B275" s="14" t="str">
        <f>IF(A275="","",'حساب المرتب الشهري'!B273)</f>
        <v/>
      </c>
      <c r="C275" s="15" t="str">
        <f>IF(A275="","",'حساب المرتب الشهري'!N273)</f>
        <v/>
      </c>
      <c r="D275" s="14"/>
    </row>
    <row r="276" spans="1:4" ht="14.25" x14ac:dyDescent="0.2">
      <c r="A276" s="14" t="str">
        <f>IF('حساب المرتب الشهري'!A274="","",'حساب المرتب الشهري'!A274)</f>
        <v/>
      </c>
      <c r="B276" s="14" t="str">
        <f>IF(A276="","",'حساب المرتب الشهري'!B274)</f>
        <v/>
      </c>
      <c r="C276" s="15" t="str">
        <f>IF(A276="","",'حساب المرتب الشهري'!N274)</f>
        <v/>
      </c>
      <c r="D276" s="14"/>
    </row>
    <row r="277" spans="1:4" ht="14.25" x14ac:dyDescent="0.2">
      <c r="A277" s="14" t="str">
        <f>IF('حساب المرتب الشهري'!A275="","",'حساب المرتب الشهري'!A275)</f>
        <v/>
      </c>
      <c r="B277" s="14" t="str">
        <f>IF(A277="","",'حساب المرتب الشهري'!B275)</f>
        <v/>
      </c>
      <c r="C277" s="15" t="str">
        <f>IF(A277="","",'حساب المرتب الشهري'!N275)</f>
        <v/>
      </c>
      <c r="D277" s="14"/>
    </row>
    <row r="278" spans="1:4" ht="14.25" x14ac:dyDescent="0.2">
      <c r="A278" s="14" t="str">
        <f>IF('حساب المرتب الشهري'!A276="","",'حساب المرتب الشهري'!A276)</f>
        <v/>
      </c>
      <c r="B278" s="14" t="str">
        <f>IF(A278="","",'حساب المرتب الشهري'!B276)</f>
        <v/>
      </c>
      <c r="C278" s="15" t="str">
        <f>IF(A278="","",'حساب المرتب الشهري'!N276)</f>
        <v/>
      </c>
      <c r="D278" s="14"/>
    </row>
    <row r="279" spans="1:4" ht="14.25" x14ac:dyDescent="0.2">
      <c r="A279" s="14" t="str">
        <f>IF('حساب المرتب الشهري'!A277="","",'حساب المرتب الشهري'!A277)</f>
        <v/>
      </c>
      <c r="B279" s="14" t="str">
        <f>IF(A279="","",'حساب المرتب الشهري'!B277)</f>
        <v/>
      </c>
      <c r="C279" s="15" t="str">
        <f>IF(A279="","",'حساب المرتب الشهري'!N277)</f>
        <v/>
      </c>
      <c r="D279" s="14"/>
    </row>
    <row r="280" spans="1:4" ht="14.25" x14ac:dyDescent="0.2">
      <c r="A280" s="14" t="str">
        <f>IF('حساب المرتب الشهري'!A278="","",'حساب المرتب الشهري'!A278)</f>
        <v/>
      </c>
      <c r="B280" s="14" t="str">
        <f>IF(A280="","",'حساب المرتب الشهري'!B278)</f>
        <v/>
      </c>
      <c r="C280" s="15" t="str">
        <f>IF(A280="","",'حساب المرتب الشهري'!N278)</f>
        <v/>
      </c>
      <c r="D280" s="14"/>
    </row>
    <row r="281" spans="1:4" ht="14.25" x14ac:dyDescent="0.2">
      <c r="A281" s="14" t="str">
        <f>IF('حساب المرتب الشهري'!A279="","",'حساب المرتب الشهري'!A279)</f>
        <v/>
      </c>
      <c r="B281" s="14" t="str">
        <f>IF(A281="","",'حساب المرتب الشهري'!B279)</f>
        <v/>
      </c>
      <c r="C281" s="15" t="str">
        <f>IF(A281="","",'حساب المرتب الشهري'!N279)</f>
        <v/>
      </c>
      <c r="D281" s="14"/>
    </row>
    <row r="282" spans="1:4" ht="14.25" x14ac:dyDescent="0.2">
      <c r="A282" s="14" t="str">
        <f>IF('حساب المرتب الشهري'!A280="","",'حساب المرتب الشهري'!A280)</f>
        <v/>
      </c>
      <c r="B282" s="14" t="str">
        <f>IF(A282="","",'حساب المرتب الشهري'!B280)</f>
        <v/>
      </c>
      <c r="C282" s="15" t="str">
        <f>IF(A282="","",'حساب المرتب الشهري'!N280)</f>
        <v/>
      </c>
      <c r="D282" s="14"/>
    </row>
    <row r="283" spans="1:4" ht="14.25" x14ac:dyDescent="0.2">
      <c r="A283" s="14" t="str">
        <f>IF('حساب المرتب الشهري'!A281="","",'حساب المرتب الشهري'!A281)</f>
        <v/>
      </c>
      <c r="B283" s="14" t="str">
        <f>IF(A283="","",'حساب المرتب الشهري'!B281)</f>
        <v/>
      </c>
      <c r="C283" s="15" t="str">
        <f>IF(A283="","",'حساب المرتب الشهري'!N281)</f>
        <v/>
      </c>
      <c r="D283" s="14"/>
    </row>
    <row r="284" spans="1:4" ht="14.25" x14ac:dyDescent="0.2">
      <c r="A284" s="14" t="str">
        <f>IF('حساب المرتب الشهري'!A282="","",'حساب المرتب الشهري'!A282)</f>
        <v/>
      </c>
      <c r="B284" s="14" t="str">
        <f>IF(A284="","",'حساب المرتب الشهري'!B282)</f>
        <v/>
      </c>
      <c r="C284" s="15" t="str">
        <f>IF(A284="","",'حساب المرتب الشهري'!N282)</f>
        <v/>
      </c>
      <c r="D284" s="14"/>
    </row>
    <row r="285" spans="1:4" ht="14.25" x14ac:dyDescent="0.2">
      <c r="A285" s="14" t="str">
        <f>IF('حساب المرتب الشهري'!A283="","",'حساب المرتب الشهري'!A283)</f>
        <v/>
      </c>
      <c r="B285" s="14" t="str">
        <f>IF(A285="","",'حساب المرتب الشهري'!B283)</f>
        <v/>
      </c>
      <c r="C285" s="15" t="str">
        <f>IF(A285="","",'حساب المرتب الشهري'!N283)</f>
        <v/>
      </c>
      <c r="D285" s="14"/>
    </row>
    <row r="286" spans="1:4" ht="14.25" x14ac:dyDescent="0.2">
      <c r="A286" s="14" t="str">
        <f>IF('حساب المرتب الشهري'!A284="","",'حساب المرتب الشهري'!A284)</f>
        <v/>
      </c>
      <c r="B286" s="14" t="str">
        <f>IF(A286="","",'حساب المرتب الشهري'!B284)</f>
        <v/>
      </c>
      <c r="C286" s="15" t="str">
        <f>IF(A286="","",'حساب المرتب الشهري'!N284)</f>
        <v/>
      </c>
      <c r="D286" s="14"/>
    </row>
    <row r="287" spans="1:4" ht="14.25" x14ac:dyDescent="0.2">
      <c r="A287" s="14" t="str">
        <f>IF('حساب المرتب الشهري'!A285="","",'حساب المرتب الشهري'!A285)</f>
        <v/>
      </c>
      <c r="B287" s="14" t="str">
        <f>IF(A287="","",'حساب المرتب الشهري'!B285)</f>
        <v/>
      </c>
      <c r="C287" s="15" t="str">
        <f>IF(A287="","",'حساب المرتب الشهري'!N285)</f>
        <v/>
      </c>
      <c r="D287" s="14"/>
    </row>
    <row r="288" spans="1:4" ht="14.25" x14ac:dyDescent="0.2">
      <c r="A288" s="14" t="str">
        <f>IF('حساب المرتب الشهري'!A286="","",'حساب المرتب الشهري'!A286)</f>
        <v/>
      </c>
      <c r="B288" s="14" t="str">
        <f>IF(A288="","",'حساب المرتب الشهري'!B286)</f>
        <v/>
      </c>
      <c r="C288" s="15" t="str">
        <f>IF(A288="","",'حساب المرتب الشهري'!N286)</f>
        <v/>
      </c>
      <c r="D288" s="14"/>
    </row>
    <row r="289" spans="1:4" ht="14.25" x14ac:dyDescent="0.2">
      <c r="A289" s="14" t="str">
        <f>IF('حساب المرتب الشهري'!A287="","",'حساب المرتب الشهري'!A287)</f>
        <v/>
      </c>
      <c r="B289" s="14" t="str">
        <f>IF(A289="","",'حساب المرتب الشهري'!B287)</f>
        <v/>
      </c>
      <c r="C289" s="15" t="str">
        <f>IF(A289="","",'حساب المرتب الشهري'!N287)</f>
        <v/>
      </c>
      <c r="D289" s="14"/>
    </row>
    <row r="290" spans="1:4" ht="14.25" x14ac:dyDescent="0.2">
      <c r="A290" s="14" t="str">
        <f>IF('حساب المرتب الشهري'!A288="","",'حساب المرتب الشهري'!A288)</f>
        <v/>
      </c>
      <c r="B290" s="14" t="str">
        <f>IF(A290="","",'حساب المرتب الشهري'!B288)</f>
        <v/>
      </c>
      <c r="C290" s="15" t="str">
        <f>IF(A290="","",'حساب المرتب الشهري'!N288)</f>
        <v/>
      </c>
      <c r="D290" s="14"/>
    </row>
    <row r="291" spans="1:4" ht="14.25" x14ac:dyDescent="0.2">
      <c r="A291" s="14" t="str">
        <f>IF('حساب المرتب الشهري'!A289="","",'حساب المرتب الشهري'!A289)</f>
        <v/>
      </c>
      <c r="B291" s="14" t="str">
        <f>IF(A291="","",'حساب المرتب الشهري'!B289)</f>
        <v/>
      </c>
      <c r="C291" s="15" t="str">
        <f>IF(A291="","",'حساب المرتب الشهري'!N289)</f>
        <v/>
      </c>
      <c r="D291" s="14"/>
    </row>
    <row r="292" spans="1:4" ht="14.25" x14ac:dyDescent="0.2">
      <c r="A292" s="14" t="str">
        <f>IF('حساب المرتب الشهري'!A290="","",'حساب المرتب الشهري'!A290)</f>
        <v/>
      </c>
      <c r="B292" s="14" t="str">
        <f>IF(A292="","",'حساب المرتب الشهري'!B290)</f>
        <v/>
      </c>
      <c r="C292" s="15" t="str">
        <f>IF(A292="","",'حساب المرتب الشهري'!N290)</f>
        <v/>
      </c>
      <c r="D292" s="14"/>
    </row>
    <row r="293" spans="1:4" ht="14.25" x14ac:dyDescent="0.2">
      <c r="A293" s="14" t="str">
        <f>IF('حساب المرتب الشهري'!A291="","",'حساب المرتب الشهري'!A291)</f>
        <v/>
      </c>
      <c r="B293" s="14" t="str">
        <f>IF(A293="","",'حساب المرتب الشهري'!B291)</f>
        <v/>
      </c>
      <c r="C293" s="15" t="str">
        <f>IF(A293="","",'حساب المرتب الشهري'!N291)</f>
        <v/>
      </c>
      <c r="D293" s="14"/>
    </row>
    <row r="294" spans="1:4" ht="14.25" x14ac:dyDescent="0.2">
      <c r="A294" s="14" t="str">
        <f>IF('حساب المرتب الشهري'!A292="","",'حساب المرتب الشهري'!A292)</f>
        <v/>
      </c>
      <c r="B294" s="14" t="str">
        <f>IF(A294="","",'حساب المرتب الشهري'!B292)</f>
        <v/>
      </c>
      <c r="C294" s="15" t="str">
        <f>IF(A294="","",'حساب المرتب الشهري'!N292)</f>
        <v/>
      </c>
      <c r="D294" s="14"/>
    </row>
    <row r="295" spans="1:4" ht="14.25" x14ac:dyDescent="0.2">
      <c r="A295" s="14" t="str">
        <f>IF('حساب المرتب الشهري'!A293="","",'حساب المرتب الشهري'!A293)</f>
        <v/>
      </c>
      <c r="B295" s="14" t="str">
        <f>IF(A295="","",'حساب المرتب الشهري'!B293)</f>
        <v/>
      </c>
      <c r="C295" s="15" t="str">
        <f>IF(A295="","",'حساب المرتب الشهري'!N293)</f>
        <v/>
      </c>
      <c r="D295" s="14"/>
    </row>
    <row r="296" spans="1:4" ht="14.25" x14ac:dyDescent="0.2">
      <c r="A296" s="14" t="str">
        <f>IF('حساب المرتب الشهري'!A294="","",'حساب المرتب الشهري'!A294)</f>
        <v/>
      </c>
      <c r="B296" s="14" t="str">
        <f>IF(A296="","",'حساب المرتب الشهري'!B294)</f>
        <v/>
      </c>
      <c r="C296" s="15" t="str">
        <f>IF(A296="","",'حساب المرتب الشهري'!N294)</f>
        <v/>
      </c>
      <c r="D296" s="14"/>
    </row>
    <row r="297" spans="1:4" ht="14.25" x14ac:dyDescent="0.2">
      <c r="A297" s="14" t="str">
        <f>IF('حساب المرتب الشهري'!A295="","",'حساب المرتب الشهري'!A295)</f>
        <v/>
      </c>
      <c r="B297" s="14" t="str">
        <f>IF(A297="","",'حساب المرتب الشهري'!B295)</f>
        <v/>
      </c>
      <c r="C297" s="15" t="str">
        <f>IF(A297="","",'حساب المرتب الشهري'!N295)</f>
        <v/>
      </c>
      <c r="D297" s="14"/>
    </row>
    <row r="298" spans="1:4" ht="14.25" x14ac:dyDescent="0.2">
      <c r="A298" s="14" t="str">
        <f>IF('حساب المرتب الشهري'!A296="","",'حساب المرتب الشهري'!A296)</f>
        <v/>
      </c>
      <c r="B298" s="14" t="str">
        <f>IF(A298="","",'حساب المرتب الشهري'!B296)</f>
        <v/>
      </c>
      <c r="C298" s="15" t="str">
        <f>IF(A298="","",'حساب المرتب الشهري'!N296)</f>
        <v/>
      </c>
      <c r="D298" s="14"/>
    </row>
    <row r="299" spans="1:4" ht="14.25" x14ac:dyDescent="0.2">
      <c r="A299" s="14" t="str">
        <f>IF('حساب المرتب الشهري'!A297="","",'حساب المرتب الشهري'!A297)</f>
        <v/>
      </c>
      <c r="B299" s="14" t="str">
        <f>IF(A299="","",'حساب المرتب الشهري'!B297)</f>
        <v/>
      </c>
      <c r="C299" s="15" t="str">
        <f>IF(A299="","",'حساب المرتب الشهري'!N297)</f>
        <v/>
      </c>
      <c r="D299" s="14"/>
    </row>
    <row r="300" spans="1:4" ht="14.25" x14ac:dyDescent="0.2">
      <c r="A300" s="14" t="str">
        <f>IF('حساب المرتب الشهري'!A298="","",'حساب المرتب الشهري'!A298)</f>
        <v/>
      </c>
      <c r="B300" s="14" t="str">
        <f>IF(A300="","",'حساب المرتب الشهري'!B298)</f>
        <v/>
      </c>
      <c r="C300" s="15" t="str">
        <f>IF(A300="","",'حساب المرتب الشهري'!N298)</f>
        <v/>
      </c>
      <c r="D300" s="14"/>
    </row>
    <row r="301" spans="1:4" ht="14.25" x14ac:dyDescent="0.2">
      <c r="A301" s="14" t="str">
        <f>IF('حساب المرتب الشهري'!A299="","",'حساب المرتب الشهري'!A299)</f>
        <v/>
      </c>
      <c r="B301" s="14" t="str">
        <f>IF(A301="","",'حساب المرتب الشهري'!B299)</f>
        <v/>
      </c>
      <c r="C301" s="15" t="str">
        <f>IF(A301="","",'حساب المرتب الشهري'!N299)</f>
        <v/>
      </c>
      <c r="D301" s="14"/>
    </row>
    <row r="302" spans="1:4" ht="14.25" x14ac:dyDescent="0.2">
      <c r="A302" s="14" t="str">
        <f>IF('حساب المرتب الشهري'!A300="","",'حساب المرتب الشهري'!A300)</f>
        <v/>
      </c>
      <c r="B302" s="14" t="str">
        <f>IF(A302="","",'حساب المرتب الشهري'!B300)</f>
        <v/>
      </c>
      <c r="C302" s="15" t="str">
        <f>IF(A302="","",'حساب المرتب الشهري'!N300)</f>
        <v/>
      </c>
      <c r="D302" s="14"/>
    </row>
    <row r="303" spans="1:4" ht="14.25" x14ac:dyDescent="0.2">
      <c r="A303" s="14" t="str">
        <f>IF('حساب المرتب الشهري'!A301="","",'حساب المرتب الشهري'!A301)</f>
        <v/>
      </c>
      <c r="B303" s="14" t="str">
        <f>IF(A303="","",'حساب المرتب الشهري'!B301)</f>
        <v/>
      </c>
      <c r="C303" s="15" t="str">
        <f>IF(A303="","",'حساب المرتب الشهري'!N301)</f>
        <v/>
      </c>
      <c r="D303" s="14"/>
    </row>
    <row r="304" spans="1:4" ht="14.25" x14ac:dyDescent="0.2">
      <c r="A304" s="14" t="str">
        <f>IF('حساب المرتب الشهري'!A302="","",'حساب المرتب الشهري'!A302)</f>
        <v/>
      </c>
      <c r="B304" s="14" t="str">
        <f>IF(A304="","",'حساب المرتب الشهري'!B302)</f>
        <v/>
      </c>
      <c r="C304" s="15" t="str">
        <f>IF(A304="","",'حساب المرتب الشهري'!N302)</f>
        <v/>
      </c>
      <c r="D304" s="14"/>
    </row>
    <row r="305" spans="1:4" ht="14.25" x14ac:dyDescent="0.2">
      <c r="A305" s="14" t="str">
        <f>IF('حساب المرتب الشهري'!A303="","",'حساب المرتب الشهري'!A303)</f>
        <v/>
      </c>
      <c r="B305" s="14" t="str">
        <f>IF(A305="","",'حساب المرتب الشهري'!B303)</f>
        <v/>
      </c>
      <c r="C305" s="15" t="str">
        <f>IF(A305="","",'حساب المرتب الشهري'!N303)</f>
        <v/>
      </c>
      <c r="D305" s="14"/>
    </row>
    <row r="306" spans="1:4" ht="14.25" x14ac:dyDescent="0.2">
      <c r="A306" s="14" t="str">
        <f>IF('حساب المرتب الشهري'!A304="","",'حساب المرتب الشهري'!A304)</f>
        <v/>
      </c>
      <c r="B306" s="14" t="str">
        <f>IF(A306="","",'حساب المرتب الشهري'!B304)</f>
        <v/>
      </c>
      <c r="C306" s="15" t="str">
        <f>IF(A306="","",'حساب المرتب الشهري'!N304)</f>
        <v/>
      </c>
      <c r="D306" s="14"/>
    </row>
    <row r="307" spans="1:4" ht="14.25" x14ac:dyDescent="0.2">
      <c r="A307" s="14" t="str">
        <f>IF('حساب المرتب الشهري'!A305="","",'حساب المرتب الشهري'!A305)</f>
        <v/>
      </c>
      <c r="B307" s="14" t="str">
        <f>IF(A307="","",'حساب المرتب الشهري'!B305)</f>
        <v/>
      </c>
      <c r="C307" s="15" t="str">
        <f>IF(A307="","",'حساب المرتب الشهري'!N305)</f>
        <v/>
      </c>
      <c r="D307" s="14"/>
    </row>
    <row r="308" spans="1:4" ht="14.25" x14ac:dyDescent="0.2">
      <c r="A308" s="14" t="str">
        <f>IF('حساب المرتب الشهري'!A306="","",'حساب المرتب الشهري'!A306)</f>
        <v/>
      </c>
      <c r="B308" s="14" t="str">
        <f>IF(A308="","",'حساب المرتب الشهري'!B306)</f>
        <v/>
      </c>
      <c r="C308" s="15" t="str">
        <f>IF(A308="","",'حساب المرتب الشهري'!N306)</f>
        <v/>
      </c>
      <c r="D308" s="14"/>
    </row>
    <row r="309" spans="1:4" ht="14.25" x14ac:dyDescent="0.2">
      <c r="A309" s="14" t="str">
        <f>IF('حساب المرتب الشهري'!A307="","",'حساب المرتب الشهري'!A307)</f>
        <v/>
      </c>
      <c r="B309" s="14" t="str">
        <f>IF(A309="","",'حساب المرتب الشهري'!B307)</f>
        <v/>
      </c>
      <c r="C309" s="15" t="str">
        <f>IF(A309="","",'حساب المرتب الشهري'!N307)</f>
        <v/>
      </c>
      <c r="D309" s="14"/>
    </row>
    <row r="310" spans="1:4" ht="14.25" x14ac:dyDescent="0.2">
      <c r="A310" s="14" t="str">
        <f>IF('حساب المرتب الشهري'!A308="","",'حساب المرتب الشهري'!A308)</f>
        <v/>
      </c>
      <c r="B310" s="14" t="str">
        <f>IF(A310="","",'حساب المرتب الشهري'!B308)</f>
        <v/>
      </c>
      <c r="C310" s="15" t="str">
        <f>IF(A310="","",'حساب المرتب الشهري'!N308)</f>
        <v/>
      </c>
      <c r="D310" s="14"/>
    </row>
    <row r="311" spans="1:4" ht="14.25" x14ac:dyDescent="0.2">
      <c r="A311" s="14" t="str">
        <f>IF('حساب المرتب الشهري'!A309="","",'حساب المرتب الشهري'!A309)</f>
        <v/>
      </c>
      <c r="B311" s="14" t="str">
        <f>IF(A311="","",'حساب المرتب الشهري'!B309)</f>
        <v/>
      </c>
      <c r="C311" s="15" t="str">
        <f>IF(A311="","",'حساب المرتب الشهري'!N309)</f>
        <v/>
      </c>
      <c r="D311" s="14"/>
    </row>
    <row r="312" spans="1:4" ht="14.25" x14ac:dyDescent="0.2">
      <c r="A312" s="14" t="str">
        <f>IF('حساب المرتب الشهري'!A310="","",'حساب المرتب الشهري'!A310)</f>
        <v/>
      </c>
      <c r="B312" s="14" t="str">
        <f>IF(A312="","",'حساب المرتب الشهري'!B310)</f>
        <v/>
      </c>
      <c r="C312" s="15" t="str">
        <f>IF(A312="","",'حساب المرتب الشهري'!N310)</f>
        <v/>
      </c>
      <c r="D312" s="14"/>
    </row>
    <row r="313" spans="1:4" ht="14.25" x14ac:dyDescent="0.2">
      <c r="A313" s="14" t="str">
        <f>IF('حساب المرتب الشهري'!A311="","",'حساب المرتب الشهري'!A311)</f>
        <v/>
      </c>
      <c r="B313" s="14" t="str">
        <f>IF(A313="","",'حساب المرتب الشهري'!B311)</f>
        <v/>
      </c>
      <c r="C313" s="15" t="str">
        <f>IF(A313="","",'حساب المرتب الشهري'!N311)</f>
        <v/>
      </c>
      <c r="D313" s="14"/>
    </row>
    <row r="314" spans="1:4" ht="14.25" x14ac:dyDescent="0.2">
      <c r="A314" s="14" t="str">
        <f>IF('حساب المرتب الشهري'!A312="","",'حساب المرتب الشهري'!A312)</f>
        <v/>
      </c>
      <c r="B314" s="14" t="str">
        <f>IF(A314="","",'حساب المرتب الشهري'!B312)</f>
        <v/>
      </c>
      <c r="C314" s="15" t="str">
        <f>IF(A314="","",'حساب المرتب الشهري'!N312)</f>
        <v/>
      </c>
      <c r="D314" s="14"/>
    </row>
    <row r="315" spans="1:4" ht="14.25" x14ac:dyDescent="0.2">
      <c r="A315" s="14" t="str">
        <f>IF('حساب المرتب الشهري'!A313="","",'حساب المرتب الشهري'!A313)</f>
        <v/>
      </c>
      <c r="B315" s="14" t="str">
        <f>IF(A315="","",'حساب المرتب الشهري'!B313)</f>
        <v/>
      </c>
      <c r="C315" s="15" t="str">
        <f>IF(A315="","",'حساب المرتب الشهري'!N313)</f>
        <v/>
      </c>
      <c r="D315" s="14"/>
    </row>
    <row r="316" spans="1:4" ht="14.25" x14ac:dyDescent="0.2">
      <c r="A316" s="14" t="str">
        <f>IF('حساب المرتب الشهري'!A314="","",'حساب المرتب الشهري'!A314)</f>
        <v/>
      </c>
      <c r="B316" s="14" t="str">
        <f>IF(A316="","",'حساب المرتب الشهري'!B314)</f>
        <v/>
      </c>
      <c r="C316" s="15" t="str">
        <f>IF(A316="","",'حساب المرتب الشهري'!N314)</f>
        <v/>
      </c>
      <c r="D316" s="14"/>
    </row>
    <row r="317" spans="1:4" ht="14.25" x14ac:dyDescent="0.2">
      <c r="A317" s="14" t="str">
        <f>IF('حساب المرتب الشهري'!A315="","",'حساب المرتب الشهري'!A315)</f>
        <v/>
      </c>
      <c r="B317" s="14" t="str">
        <f>IF(A317="","",'حساب المرتب الشهري'!B315)</f>
        <v/>
      </c>
      <c r="C317" s="15" t="str">
        <f>IF(A317="","",'حساب المرتب الشهري'!N315)</f>
        <v/>
      </c>
      <c r="D317" s="14"/>
    </row>
    <row r="318" spans="1:4" ht="14.25" x14ac:dyDescent="0.2">
      <c r="A318" s="14" t="str">
        <f>IF('حساب المرتب الشهري'!A316="","",'حساب المرتب الشهري'!A316)</f>
        <v/>
      </c>
      <c r="B318" s="14" t="str">
        <f>IF(A318="","",'حساب المرتب الشهري'!B316)</f>
        <v/>
      </c>
      <c r="C318" s="15" t="str">
        <f>IF(A318="","",'حساب المرتب الشهري'!N316)</f>
        <v/>
      </c>
      <c r="D318" s="14"/>
    </row>
    <row r="319" spans="1:4" ht="14.25" x14ac:dyDescent="0.2">
      <c r="A319" s="14" t="str">
        <f>IF('حساب المرتب الشهري'!A317="","",'حساب المرتب الشهري'!A317)</f>
        <v/>
      </c>
      <c r="B319" s="14" t="str">
        <f>IF(A319="","",'حساب المرتب الشهري'!B317)</f>
        <v/>
      </c>
      <c r="C319" s="15" t="str">
        <f>IF(A319="","",'حساب المرتب الشهري'!N317)</f>
        <v/>
      </c>
      <c r="D319" s="14"/>
    </row>
    <row r="320" spans="1:4" ht="14.25" x14ac:dyDescent="0.2">
      <c r="A320" s="14" t="str">
        <f>IF('حساب المرتب الشهري'!A318="","",'حساب المرتب الشهري'!A318)</f>
        <v/>
      </c>
      <c r="B320" s="14" t="str">
        <f>IF(A320="","",'حساب المرتب الشهري'!B318)</f>
        <v/>
      </c>
      <c r="C320" s="15" t="str">
        <f>IF(A320="","",'حساب المرتب الشهري'!N318)</f>
        <v/>
      </c>
      <c r="D320" s="14"/>
    </row>
    <row r="321" spans="1:4" ht="14.25" x14ac:dyDescent="0.2">
      <c r="A321" s="14" t="str">
        <f>IF('حساب المرتب الشهري'!A319="","",'حساب المرتب الشهري'!A319)</f>
        <v/>
      </c>
      <c r="B321" s="14" t="str">
        <f>IF(A321="","",'حساب المرتب الشهري'!B319)</f>
        <v/>
      </c>
      <c r="C321" s="15" t="str">
        <f>IF(A321="","",'حساب المرتب الشهري'!N319)</f>
        <v/>
      </c>
      <c r="D321" s="14"/>
    </row>
    <row r="322" spans="1:4" ht="14.25" x14ac:dyDescent="0.2">
      <c r="A322" s="14" t="str">
        <f>IF('حساب المرتب الشهري'!A320="","",'حساب المرتب الشهري'!A320)</f>
        <v/>
      </c>
      <c r="B322" s="14" t="str">
        <f>IF(A322="","",'حساب المرتب الشهري'!B320)</f>
        <v/>
      </c>
      <c r="C322" s="15" t="str">
        <f>IF(A322="","",'حساب المرتب الشهري'!N320)</f>
        <v/>
      </c>
      <c r="D322" s="14"/>
    </row>
    <row r="323" spans="1:4" ht="14.25" x14ac:dyDescent="0.2">
      <c r="A323" s="14" t="str">
        <f>IF('حساب المرتب الشهري'!A321="","",'حساب المرتب الشهري'!A321)</f>
        <v/>
      </c>
      <c r="B323" s="14" t="str">
        <f>IF(A323="","",'حساب المرتب الشهري'!B321)</f>
        <v/>
      </c>
      <c r="C323" s="15" t="str">
        <f>IF(A323="","",'حساب المرتب الشهري'!N321)</f>
        <v/>
      </c>
      <c r="D323" s="14"/>
    </row>
    <row r="324" spans="1:4" ht="14.25" x14ac:dyDescent="0.2">
      <c r="A324" s="14" t="str">
        <f>IF('حساب المرتب الشهري'!A322="","",'حساب المرتب الشهري'!A322)</f>
        <v/>
      </c>
      <c r="B324" s="14" t="str">
        <f>IF(A324="","",'حساب المرتب الشهري'!B322)</f>
        <v/>
      </c>
      <c r="C324" s="15" t="str">
        <f>IF(A324="","",'حساب المرتب الشهري'!N322)</f>
        <v/>
      </c>
      <c r="D324" s="14"/>
    </row>
    <row r="325" spans="1:4" ht="14.25" x14ac:dyDescent="0.2">
      <c r="A325" s="14" t="str">
        <f>IF('حساب المرتب الشهري'!A323="","",'حساب المرتب الشهري'!A323)</f>
        <v/>
      </c>
      <c r="B325" s="14" t="str">
        <f>IF(A325="","",'حساب المرتب الشهري'!B323)</f>
        <v/>
      </c>
      <c r="C325" s="15" t="str">
        <f>IF(A325="","",'حساب المرتب الشهري'!N323)</f>
        <v/>
      </c>
      <c r="D325" s="14"/>
    </row>
    <row r="326" spans="1:4" ht="14.25" x14ac:dyDescent="0.2">
      <c r="A326" s="14" t="str">
        <f>IF('حساب المرتب الشهري'!A324="","",'حساب المرتب الشهري'!A324)</f>
        <v/>
      </c>
      <c r="B326" s="14" t="str">
        <f>IF(A326="","",'حساب المرتب الشهري'!B324)</f>
        <v/>
      </c>
      <c r="C326" s="15" t="str">
        <f>IF(A326="","",'حساب المرتب الشهري'!N324)</f>
        <v/>
      </c>
      <c r="D326" s="14"/>
    </row>
    <row r="327" spans="1:4" ht="14.25" x14ac:dyDescent="0.2">
      <c r="A327" s="14" t="str">
        <f>IF('حساب المرتب الشهري'!A325="","",'حساب المرتب الشهري'!A325)</f>
        <v/>
      </c>
      <c r="B327" s="14" t="str">
        <f>IF(A327="","",'حساب المرتب الشهري'!B325)</f>
        <v/>
      </c>
      <c r="C327" s="15" t="str">
        <f>IF(A327="","",'حساب المرتب الشهري'!N325)</f>
        <v/>
      </c>
      <c r="D327" s="14"/>
    </row>
    <row r="328" spans="1:4" ht="14.25" x14ac:dyDescent="0.2">
      <c r="A328" s="14" t="str">
        <f>IF('حساب المرتب الشهري'!A326="","",'حساب المرتب الشهري'!A326)</f>
        <v/>
      </c>
      <c r="B328" s="14" t="str">
        <f>IF(A328="","",'حساب المرتب الشهري'!B326)</f>
        <v/>
      </c>
      <c r="C328" s="15" t="str">
        <f>IF(A328="","",'حساب المرتب الشهري'!N326)</f>
        <v/>
      </c>
      <c r="D328" s="14"/>
    </row>
    <row r="329" spans="1:4" ht="14.25" x14ac:dyDescent="0.2">
      <c r="A329" s="14" t="str">
        <f>IF('حساب المرتب الشهري'!A327="","",'حساب المرتب الشهري'!A327)</f>
        <v/>
      </c>
      <c r="B329" s="14" t="str">
        <f>IF(A329="","",'حساب المرتب الشهري'!B327)</f>
        <v/>
      </c>
      <c r="C329" s="15" t="str">
        <f>IF(A329="","",'حساب المرتب الشهري'!N327)</f>
        <v/>
      </c>
      <c r="D329" s="14"/>
    </row>
    <row r="330" spans="1:4" ht="14.25" x14ac:dyDescent="0.2">
      <c r="A330" s="14" t="str">
        <f>IF('حساب المرتب الشهري'!A328="","",'حساب المرتب الشهري'!A328)</f>
        <v/>
      </c>
      <c r="B330" s="14" t="str">
        <f>IF(A330="","",'حساب المرتب الشهري'!B328)</f>
        <v/>
      </c>
      <c r="C330" s="15" t="str">
        <f>IF(A330="","",'حساب المرتب الشهري'!N328)</f>
        <v/>
      </c>
      <c r="D330" s="14"/>
    </row>
    <row r="331" spans="1:4" ht="14.25" x14ac:dyDescent="0.2">
      <c r="A331" s="14" t="str">
        <f>IF('حساب المرتب الشهري'!A329="","",'حساب المرتب الشهري'!A329)</f>
        <v/>
      </c>
      <c r="B331" s="14" t="str">
        <f>IF(A331="","",'حساب المرتب الشهري'!B329)</f>
        <v/>
      </c>
      <c r="C331" s="15" t="str">
        <f>IF(A331="","",'حساب المرتب الشهري'!N329)</f>
        <v/>
      </c>
      <c r="D331" s="14"/>
    </row>
    <row r="332" spans="1:4" ht="14.25" x14ac:dyDescent="0.2">
      <c r="A332" s="14" t="str">
        <f>IF('حساب المرتب الشهري'!A330="","",'حساب المرتب الشهري'!A330)</f>
        <v/>
      </c>
      <c r="B332" s="14" t="str">
        <f>IF(A332="","",'حساب المرتب الشهري'!B330)</f>
        <v/>
      </c>
      <c r="C332" s="15" t="str">
        <f>IF(A332="","",'حساب المرتب الشهري'!N330)</f>
        <v/>
      </c>
      <c r="D332" s="14"/>
    </row>
    <row r="333" spans="1:4" ht="14.25" x14ac:dyDescent="0.2">
      <c r="A333" s="14" t="str">
        <f>IF('حساب المرتب الشهري'!A331="","",'حساب المرتب الشهري'!A331)</f>
        <v/>
      </c>
      <c r="B333" s="14" t="str">
        <f>IF(A333="","",'حساب المرتب الشهري'!B331)</f>
        <v/>
      </c>
      <c r="C333" s="15" t="str">
        <f>IF(A333="","",'حساب المرتب الشهري'!N331)</f>
        <v/>
      </c>
      <c r="D333" s="14"/>
    </row>
    <row r="334" spans="1:4" ht="14.25" x14ac:dyDescent="0.2">
      <c r="A334" s="14" t="str">
        <f>IF('حساب المرتب الشهري'!A332="","",'حساب المرتب الشهري'!A332)</f>
        <v/>
      </c>
      <c r="B334" s="14" t="str">
        <f>IF(A334="","",'حساب المرتب الشهري'!B332)</f>
        <v/>
      </c>
      <c r="C334" s="15" t="str">
        <f>IF(A334="","",'حساب المرتب الشهري'!N332)</f>
        <v/>
      </c>
      <c r="D334" s="14"/>
    </row>
    <row r="335" spans="1:4" ht="14.25" x14ac:dyDescent="0.2">
      <c r="A335" s="14" t="str">
        <f>IF('حساب المرتب الشهري'!A333="","",'حساب المرتب الشهري'!A333)</f>
        <v/>
      </c>
      <c r="B335" s="14" t="str">
        <f>IF(A335="","",'حساب المرتب الشهري'!B333)</f>
        <v/>
      </c>
      <c r="C335" s="15" t="str">
        <f>IF(A335="","",'حساب المرتب الشهري'!N333)</f>
        <v/>
      </c>
      <c r="D335" s="14"/>
    </row>
    <row r="336" spans="1:4" ht="14.25" x14ac:dyDescent="0.2">
      <c r="A336" s="14" t="str">
        <f>IF('حساب المرتب الشهري'!A334="","",'حساب المرتب الشهري'!A334)</f>
        <v/>
      </c>
      <c r="B336" s="14" t="str">
        <f>IF(A336="","",'حساب المرتب الشهري'!B334)</f>
        <v/>
      </c>
      <c r="C336" s="15" t="str">
        <f>IF(A336="","",'حساب المرتب الشهري'!N334)</f>
        <v/>
      </c>
      <c r="D336" s="14"/>
    </row>
    <row r="337" spans="1:4" ht="14.25" x14ac:dyDescent="0.2">
      <c r="A337" s="14" t="str">
        <f>IF('حساب المرتب الشهري'!A335="","",'حساب المرتب الشهري'!A335)</f>
        <v/>
      </c>
      <c r="B337" s="14" t="str">
        <f>IF(A337="","",'حساب المرتب الشهري'!B335)</f>
        <v/>
      </c>
      <c r="C337" s="15" t="str">
        <f>IF(A337="","",'حساب المرتب الشهري'!N335)</f>
        <v/>
      </c>
      <c r="D337" s="14"/>
    </row>
    <row r="338" spans="1:4" ht="14.25" x14ac:dyDescent="0.2">
      <c r="A338" s="14" t="str">
        <f>IF('حساب المرتب الشهري'!A336="","",'حساب المرتب الشهري'!A336)</f>
        <v/>
      </c>
      <c r="B338" s="14" t="str">
        <f>IF(A338="","",'حساب المرتب الشهري'!B336)</f>
        <v/>
      </c>
      <c r="C338" s="15" t="str">
        <f>IF(A338="","",'حساب المرتب الشهري'!N336)</f>
        <v/>
      </c>
      <c r="D338" s="14"/>
    </row>
    <row r="339" spans="1:4" ht="14.25" x14ac:dyDescent="0.2">
      <c r="A339" s="14" t="str">
        <f>IF('حساب المرتب الشهري'!A337="","",'حساب المرتب الشهري'!A337)</f>
        <v/>
      </c>
      <c r="B339" s="14" t="str">
        <f>IF(A339="","",'حساب المرتب الشهري'!B337)</f>
        <v/>
      </c>
      <c r="C339" s="15" t="str">
        <f>IF(A339="","",'حساب المرتب الشهري'!N337)</f>
        <v/>
      </c>
      <c r="D339" s="14"/>
    </row>
    <row r="340" spans="1:4" ht="14.25" x14ac:dyDescent="0.2">
      <c r="A340" s="14" t="str">
        <f>IF('حساب المرتب الشهري'!A338="","",'حساب المرتب الشهري'!A338)</f>
        <v/>
      </c>
      <c r="B340" s="14" t="str">
        <f>IF(A340="","",'حساب المرتب الشهري'!B338)</f>
        <v/>
      </c>
      <c r="C340" s="15" t="str">
        <f>IF(A340="","",'حساب المرتب الشهري'!N338)</f>
        <v/>
      </c>
      <c r="D340" s="14"/>
    </row>
    <row r="341" spans="1:4" ht="14.25" x14ac:dyDescent="0.2">
      <c r="A341" s="14" t="str">
        <f>IF('حساب المرتب الشهري'!A339="","",'حساب المرتب الشهري'!A339)</f>
        <v/>
      </c>
      <c r="B341" s="14" t="str">
        <f>IF(A341="","",'حساب المرتب الشهري'!B339)</f>
        <v/>
      </c>
      <c r="C341" s="15" t="str">
        <f>IF(A341="","",'حساب المرتب الشهري'!N339)</f>
        <v/>
      </c>
      <c r="D341" s="14"/>
    </row>
    <row r="342" spans="1:4" ht="14.25" x14ac:dyDescent="0.2">
      <c r="A342" s="14" t="str">
        <f>IF('حساب المرتب الشهري'!A340="","",'حساب المرتب الشهري'!A340)</f>
        <v/>
      </c>
      <c r="B342" s="14" t="str">
        <f>IF(A342="","",'حساب المرتب الشهري'!B340)</f>
        <v/>
      </c>
      <c r="C342" s="15" t="str">
        <f>IF(A342="","",'حساب المرتب الشهري'!N340)</f>
        <v/>
      </c>
      <c r="D342" s="14"/>
    </row>
    <row r="343" spans="1:4" ht="14.25" x14ac:dyDescent="0.2">
      <c r="A343" s="14" t="str">
        <f>IF('حساب المرتب الشهري'!A341="","",'حساب المرتب الشهري'!A341)</f>
        <v/>
      </c>
      <c r="B343" s="14" t="str">
        <f>IF(A343="","",'حساب المرتب الشهري'!B341)</f>
        <v/>
      </c>
      <c r="C343" s="15" t="str">
        <f>IF(A343="","",'حساب المرتب الشهري'!N341)</f>
        <v/>
      </c>
      <c r="D343" s="14"/>
    </row>
    <row r="344" spans="1:4" ht="14.25" x14ac:dyDescent="0.2">
      <c r="A344" s="14" t="str">
        <f>IF('حساب المرتب الشهري'!A342="","",'حساب المرتب الشهري'!A342)</f>
        <v/>
      </c>
      <c r="B344" s="14" t="str">
        <f>IF(A344="","",'حساب المرتب الشهري'!B342)</f>
        <v/>
      </c>
      <c r="C344" s="15" t="str">
        <f>IF(A344="","",'حساب المرتب الشهري'!N342)</f>
        <v/>
      </c>
      <c r="D344" s="14"/>
    </row>
    <row r="345" spans="1:4" ht="14.25" x14ac:dyDescent="0.2">
      <c r="A345" s="14" t="str">
        <f>IF('حساب المرتب الشهري'!A343="","",'حساب المرتب الشهري'!A343)</f>
        <v/>
      </c>
      <c r="B345" s="14" t="str">
        <f>IF(A345="","",'حساب المرتب الشهري'!B343)</f>
        <v/>
      </c>
      <c r="C345" s="15" t="str">
        <f>IF(A345="","",'حساب المرتب الشهري'!N343)</f>
        <v/>
      </c>
      <c r="D345" s="14"/>
    </row>
    <row r="346" spans="1:4" ht="14.25" x14ac:dyDescent="0.2">
      <c r="A346" s="14" t="str">
        <f>IF('حساب المرتب الشهري'!A344="","",'حساب المرتب الشهري'!A344)</f>
        <v/>
      </c>
      <c r="B346" s="14" t="str">
        <f>IF(A346="","",'حساب المرتب الشهري'!B344)</f>
        <v/>
      </c>
      <c r="C346" s="15" t="str">
        <f>IF(A346="","",'حساب المرتب الشهري'!N344)</f>
        <v/>
      </c>
      <c r="D346" s="14"/>
    </row>
    <row r="347" spans="1:4" ht="14.25" x14ac:dyDescent="0.2">
      <c r="A347" s="14" t="str">
        <f>IF('حساب المرتب الشهري'!A345="","",'حساب المرتب الشهري'!A345)</f>
        <v/>
      </c>
      <c r="B347" s="14" t="str">
        <f>IF(A347="","",'حساب المرتب الشهري'!B345)</f>
        <v/>
      </c>
      <c r="C347" s="15" t="str">
        <f>IF(A347="","",'حساب المرتب الشهري'!N345)</f>
        <v/>
      </c>
      <c r="D347" s="14"/>
    </row>
    <row r="348" spans="1:4" ht="14.25" x14ac:dyDescent="0.2">
      <c r="A348" s="14" t="str">
        <f>IF('حساب المرتب الشهري'!A346="","",'حساب المرتب الشهري'!A346)</f>
        <v/>
      </c>
      <c r="B348" s="14" t="str">
        <f>IF(A348="","",'حساب المرتب الشهري'!B346)</f>
        <v/>
      </c>
      <c r="C348" s="15" t="str">
        <f>IF(A348="","",'حساب المرتب الشهري'!N346)</f>
        <v/>
      </c>
      <c r="D348" s="14"/>
    </row>
    <row r="349" spans="1:4" ht="14.25" x14ac:dyDescent="0.2">
      <c r="A349" s="14" t="str">
        <f>IF('حساب المرتب الشهري'!A347="","",'حساب المرتب الشهري'!A347)</f>
        <v/>
      </c>
      <c r="B349" s="14" t="str">
        <f>IF(A349="","",'حساب المرتب الشهري'!B347)</f>
        <v/>
      </c>
      <c r="C349" s="15" t="str">
        <f>IF(A349="","",'حساب المرتب الشهري'!N347)</f>
        <v/>
      </c>
      <c r="D349" s="14"/>
    </row>
    <row r="350" spans="1:4" ht="14.25" x14ac:dyDescent="0.2">
      <c r="A350" s="14" t="str">
        <f>IF('حساب المرتب الشهري'!A348="","",'حساب المرتب الشهري'!A348)</f>
        <v/>
      </c>
      <c r="B350" s="14" t="str">
        <f>IF(A350="","",'حساب المرتب الشهري'!B348)</f>
        <v/>
      </c>
      <c r="C350" s="15" t="str">
        <f>IF(A350="","",'حساب المرتب الشهري'!N348)</f>
        <v/>
      </c>
      <c r="D350" s="14"/>
    </row>
    <row r="351" spans="1:4" ht="14.25" x14ac:dyDescent="0.2">
      <c r="A351" s="14" t="str">
        <f>IF('حساب المرتب الشهري'!A349="","",'حساب المرتب الشهري'!A349)</f>
        <v/>
      </c>
      <c r="B351" s="14" t="str">
        <f>IF(A351="","",'حساب المرتب الشهري'!B349)</f>
        <v/>
      </c>
      <c r="C351" s="15" t="str">
        <f>IF(A351="","",'حساب المرتب الشهري'!N349)</f>
        <v/>
      </c>
      <c r="D351" s="14"/>
    </row>
    <row r="352" spans="1:4" ht="14.25" x14ac:dyDescent="0.2">
      <c r="A352" s="14" t="str">
        <f>IF('حساب المرتب الشهري'!A350="","",'حساب المرتب الشهري'!A350)</f>
        <v/>
      </c>
      <c r="B352" s="14" t="str">
        <f>IF(A352="","",'حساب المرتب الشهري'!B350)</f>
        <v/>
      </c>
      <c r="C352" s="15" t="str">
        <f>IF(A352="","",'حساب المرتب الشهري'!N350)</f>
        <v/>
      </c>
      <c r="D352" s="14"/>
    </row>
    <row r="353" spans="1:4" ht="14.25" x14ac:dyDescent="0.2">
      <c r="A353" s="14" t="str">
        <f>IF('حساب المرتب الشهري'!A351="","",'حساب المرتب الشهري'!A351)</f>
        <v/>
      </c>
      <c r="B353" s="14" t="str">
        <f>IF(A353="","",'حساب المرتب الشهري'!B351)</f>
        <v/>
      </c>
      <c r="C353" s="15" t="str">
        <f>IF(A353="","",'حساب المرتب الشهري'!N351)</f>
        <v/>
      </c>
      <c r="D353" s="14"/>
    </row>
    <row r="354" spans="1:4" ht="14.25" x14ac:dyDescent="0.2">
      <c r="A354" s="14" t="str">
        <f>IF('حساب المرتب الشهري'!A352="","",'حساب المرتب الشهري'!A352)</f>
        <v/>
      </c>
      <c r="B354" s="14" t="str">
        <f>IF(A354="","",'حساب المرتب الشهري'!B352)</f>
        <v/>
      </c>
      <c r="C354" s="15" t="str">
        <f>IF(A354="","",'حساب المرتب الشهري'!N352)</f>
        <v/>
      </c>
      <c r="D354" s="14"/>
    </row>
    <row r="355" spans="1:4" ht="14.25" x14ac:dyDescent="0.2">
      <c r="A355" s="14" t="str">
        <f>IF('حساب المرتب الشهري'!A353="","",'حساب المرتب الشهري'!A353)</f>
        <v/>
      </c>
      <c r="B355" s="14" t="str">
        <f>IF(A355="","",'حساب المرتب الشهري'!B353)</f>
        <v/>
      </c>
      <c r="C355" s="15" t="str">
        <f>IF(A355="","",'حساب المرتب الشهري'!N353)</f>
        <v/>
      </c>
      <c r="D355" s="14"/>
    </row>
    <row r="356" spans="1:4" ht="14.25" x14ac:dyDescent="0.2">
      <c r="A356" s="14" t="str">
        <f>IF('حساب المرتب الشهري'!A354="","",'حساب المرتب الشهري'!A354)</f>
        <v/>
      </c>
      <c r="B356" s="14" t="str">
        <f>IF(A356="","",'حساب المرتب الشهري'!B354)</f>
        <v/>
      </c>
      <c r="C356" s="15" t="str">
        <f>IF(A356="","",'حساب المرتب الشهري'!N354)</f>
        <v/>
      </c>
      <c r="D356" s="14"/>
    </row>
    <row r="357" spans="1:4" ht="14.25" x14ac:dyDescent="0.2">
      <c r="A357" s="14" t="str">
        <f>IF('حساب المرتب الشهري'!A355="","",'حساب المرتب الشهري'!A355)</f>
        <v/>
      </c>
      <c r="B357" s="14" t="str">
        <f>IF(A357="","",'حساب المرتب الشهري'!B355)</f>
        <v/>
      </c>
      <c r="C357" s="15" t="str">
        <f>IF(A357="","",'حساب المرتب الشهري'!N355)</f>
        <v/>
      </c>
      <c r="D357" s="14"/>
    </row>
    <row r="358" spans="1:4" ht="14.25" x14ac:dyDescent="0.2">
      <c r="A358" s="14" t="str">
        <f>IF('حساب المرتب الشهري'!A356="","",'حساب المرتب الشهري'!A356)</f>
        <v/>
      </c>
      <c r="B358" s="14" t="str">
        <f>IF(A358="","",'حساب المرتب الشهري'!B356)</f>
        <v/>
      </c>
      <c r="C358" s="15" t="str">
        <f>IF(A358="","",'حساب المرتب الشهري'!N356)</f>
        <v/>
      </c>
      <c r="D358" s="14"/>
    </row>
    <row r="359" spans="1:4" ht="14.25" x14ac:dyDescent="0.2">
      <c r="A359" s="14" t="str">
        <f>IF('حساب المرتب الشهري'!A357="","",'حساب المرتب الشهري'!A357)</f>
        <v/>
      </c>
      <c r="B359" s="14" t="str">
        <f>IF(A359="","",'حساب المرتب الشهري'!B357)</f>
        <v/>
      </c>
      <c r="C359" s="15" t="str">
        <f>IF(A359="","",'حساب المرتب الشهري'!N357)</f>
        <v/>
      </c>
      <c r="D359" s="14"/>
    </row>
    <row r="360" spans="1:4" ht="14.25" x14ac:dyDescent="0.2">
      <c r="A360" s="14" t="str">
        <f>IF('حساب المرتب الشهري'!A358="","",'حساب المرتب الشهري'!A358)</f>
        <v/>
      </c>
      <c r="B360" s="14" t="str">
        <f>IF(A360="","",'حساب المرتب الشهري'!B358)</f>
        <v/>
      </c>
      <c r="C360" s="15" t="str">
        <f>IF(A360="","",'حساب المرتب الشهري'!N358)</f>
        <v/>
      </c>
      <c r="D360" s="14"/>
    </row>
    <row r="361" spans="1:4" ht="14.25" x14ac:dyDescent="0.2">
      <c r="A361" s="14" t="str">
        <f>IF('حساب المرتب الشهري'!A359="","",'حساب المرتب الشهري'!A359)</f>
        <v/>
      </c>
      <c r="B361" s="14" t="str">
        <f>IF(A361="","",'حساب المرتب الشهري'!B359)</f>
        <v/>
      </c>
      <c r="C361" s="15" t="str">
        <f>IF(A361="","",'حساب المرتب الشهري'!N359)</f>
        <v/>
      </c>
      <c r="D361" s="14"/>
    </row>
    <row r="362" spans="1:4" ht="14.25" x14ac:dyDescent="0.2">
      <c r="A362" s="14" t="str">
        <f>IF('حساب المرتب الشهري'!A360="","",'حساب المرتب الشهري'!A360)</f>
        <v/>
      </c>
      <c r="B362" s="14" t="str">
        <f>IF(A362="","",'حساب المرتب الشهري'!B360)</f>
        <v/>
      </c>
      <c r="C362" s="15" t="str">
        <f>IF(A362="","",'حساب المرتب الشهري'!N360)</f>
        <v/>
      </c>
      <c r="D362" s="14"/>
    </row>
    <row r="363" spans="1:4" ht="14.25" x14ac:dyDescent="0.2">
      <c r="A363" s="14" t="str">
        <f>IF('حساب المرتب الشهري'!A361="","",'حساب المرتب الشهري'!A361)</f>
        <v/>
      </c>
      <c r="B363" s="14" t="str">
        <f>IF(A363="","",'حساب المرتب الشهري'!B361)</f>
        <v/>
      </c>
      <c r="C363" s="15" t="str">
        <f>IF(A363="","",'حساب المرتب الشهري'!N361)</f>
        <v/>
      </c>
      <c r="D363" s="14"/>
    </row>
    <row r="364" spans="1:4" ht="14.25" x14ac:dyDescent="0.2">
      <c r="A364" s="14" t="str">
        <f>IF('حساب المرتب الشهري'!A362="","",'حساب المرتب الشهري'!A362)</f>
        <v/>
      </c>
      <c r="B364" s="14" t="str">
        <f>IF(A364="","",'حساب المرتب الشهري'!B362)</f>
        <v/>
      </c>
      <c r="C364" s="15" t="str">
        <f>IF(A364="","",'حساب المرتب الشهري'!N362)</f>
        <v/>
      </c>
      <c r="D364" s="14"/>
    </row>
    <row r="365" spans="1:4" ht="14.25" x14ac:dyDescent="0.2">
      <c r="A365" s="14" t="str">
        <f>IF('حساب المرتب الشهري'!A363="","",'حساب المرتب الشهري'!A363)</f>
        <v/>
      </c>
      <c r="B365" s="14" t="str">
        <f>IF(A365="","",'حساب المرتب الشهري'!B363)</f>
        <v/>
      </c>
      <c r="C365" s="15" t="str">
        <f>IF(A365="","",'حساب المرتب الشهري'!N363)</f>
        <v/>
      </c>
      <c r="D365" s="14"/>
    </row>
    <row r="366" spans="1:4" ht="14.25" x14ac:dyDescent="0.2">
      <c r="A366" s="14" t="str">
        <f>IF('حساب المرتب الشهري'!A364="","",'حساب المرتب الشهري'!A364)</f>
        <v/>
      </c>
      <c r="B366" s="14" t="str">
        <f>IF(A366="","",'حساب المرتب الشهري'!B364)</f>
        <v/>
      </c>
      <c r="C366" s="15" t="str">
        <f>IF(A366="","",'حساب المرتب الشهري'!N364)</f>
        <v/>
      </c>
      <c r="D366" s="14"/>
    </row>
    <row r="367" spans="1:4" ht="14.25" x14ac:dyDescent="0.2">
      <c r="A367" s="14" t="str">
        <f>IF('حساب المرتب الشهري'!A365="","",'حساب المرتب الشهري'!A365)</f>
        <v/>
      </c>
      <c r="B367" s="14" t="str">
        <f>IF(A367="","",'حساب المرتب الشهري'!B365)</f>
        <v/>
      </c>
      <c r="C367" s="15" t="str">
        <f>IF(A367="","",'حساب المرتب الشهري'!N365)</f>
        <v/>
      </c>
      <c r="D367" s="14"/>
    </row>
    <row r="368" spans="1:4" ht="14.25" x14ac:dyDescent="0.2">
      <c r="A368" s="14" t="str">
        <f>IF('حساب المرتب الشهري'!A366="","",'حساب المرتب الشهري'!A366)</f>
        <v/>
      </c>
      <c r="B368" s="14" t="str">
        <f>IF(A368="","",'حساب المرتب الشهري'!B366)</f>
        <v/>
      </c>
      <c r="C368" s="15" t="str">
        <f>IF(A368="","",'حساب المرتب الشهري'!N366)</f>
        <v/>
      </c>
      <c r="D368" s="14"/>
    </row>
    <row r="369" spans="1:4" ht="14.25" x14ac:dyDescent="0.2">
      <c r="A369" s="14" t="str">
        <f>IF('حساب المرتب الشهري'!A367="","",'حساب المرتب الشهري'!A367)</f>
        <v/>
      </c>
      <c r="B369" s="14" t="str">
        <f>IF(A369="","",'حساب المرتب الشهري'!B367)</f>
        <v/>
      </c>
      <c r="C369" s="15" t="str">
        <f>IF(A369="","",'حساب المرتب الشهري'!N367)</f>
        <v/>
      </c>
      <c r="D369" s="14"/>
    </row>
    <row r="370" spans="1:4" ht="14.25" x14ac:dyDescent="0.2">
      <c r="A370" s="14" t="str">
        <f>IF('حساب المرتب الشهري'!A368="","",'حساب المرتب الشهري'!A368)</f>
        <v/>
      </c>
      <c r="B370" s="14" t="str">
        <f>IF(A370="","",'حساب المرتب الشهري'!B368)</f>
        <v/>
      </c>
      <c r="C370" s="15" t="str">
        <f>IF(A370="","",'حساب المرتب الشهري'!N368)</f>
        <v/>
      </c>
      <c r="D370" s="14"/>
    </row>
    <row r="371" spans="1:4" ht="14.25" x14ac:dyDescent="0.2">
      <c r="A371" s="14" t="str">
        <f>IF('حساب المرتب الشهري'!A369="","",'حساب المرتب الشهري'!A369)</f>
        <v/>
      </c>
      <c r="B371" s="14" t="str">
        <f>IF(A371="","",'حساب المرتب الشهري'!B369)</f>
        <v/>
      </c>
      <c r="C371" s="15" t="str">
        <f>IF(A371="","",'حساب المرتب الشهري'!N369)</f>
        <v/>
      </c>
      <c r="D371" s="14"/>
    </row>
    <row r="372" spans="1:4" ht="14.25" x14ac:dyDescent="0.2">
      <c r="A372" s="14" t="str">
        <f>IF('حساب المرتب الشهري'!A370="","",'حساب المرتب الشهري'!A370)</f>
        <v/>
      </c>
      <c r="B372" s="14" t="str">
        <f>IF(A372="","",'حساب المرتب الشهري'!B370)</f>
        <v/>
      </c>
      <c r="C372" s="15" t="str">
        <f>IF(A372="","",'حساب المرتب الشهري'!N370)</f>
        <v/>
      </c>
      <c r="D372" s="14"/>
    </row>
    <row r="373" spans="1:4" ht="14.25" x14ac:dyDescent="0.2">
      <c r="A373" s="14" t="str">
        <f>IF('حساب المرتب الشهري'!A371="","",'حساب المرتب الشهري'!A371)</f>
        <v/>
      </c>
      <c r="B373" s="14" t="str">
        <f>IF(A373="","",'حساب المرتب الشهري'!B371)</f>
        <v/>
      </c>
      <c r="C373" s="15" t="str">
        <f>IF(A373="","",'حساب المرتب الشهري'!N371)</f>
        <v/>
      </c>
      <c r="D373" s="14"/>
    </row>
    <row r="374" spans="1:4" ht="14.25" x14ac:dyDescent="0.2">
      <c r="A374" s="14" t="str">
        <f>IF('حساب المرتب الشهري'!A372="","",'حساب المرتب الشهري'!A372)</f>
        <v/>
      </c>
      <c r="B374" s="14" t="str">
        <f>IF(A374="","",'حساب المرتب الشهري'!B372)</f>
        <v/>
      </c>
      <c r="C374" s="15" t="str">
        <f>IF(A374="","",'حساب المرتب الشهري'!N372)</f>
        <v/>
      </c>
      <c r="D374" s="14"/>
    </row>
    <row r="375" spans="1:4" ht="14.25" x14ac:dyDescent="0.2">
      <c r="A375" s="14" t="str">
        <f>IF('حساب المرتب الشهري'!A373="","",'حساب المرتب الشهري'!A373)</f>
        <v/>
      </c>
      <c r="B375" s="14" t="str">
        <f>IF(A375="","",'حساب المرتب الشهري'!B373)</f>
        <v/>
      </c>
      <c r="C375" s="15" t="str">
        <f>IF(A375="","",'حساب المرتب الشهري'!N373)</f>
        <v/>
      </c>
      <c r="D375" s="14"/>
    </row>
    <row r="376" spans="1:4" ht="14.25" x14ac:dyDescent="0.2">
      <c r="A376" s="14" t="str">
        <f>IF('حساب المرتب الشهري'!A374="","",'حساب المرتب الشهري'!A374)</f>
        <v/>
      </c>
      <c r="B376" s="14" t="str">
        <f>IF(A376="","",'حساب المرتب الشهري'!B374)</f>
        <v/>
      </c>
      <c r="C376" s="15" t="str">
        <f>IF(A376="","",'حساب المرتب الشهري'!N374)</f>
        <v/>
      </c>
      <c r="D376" s="14"/>
    </row>
    <row r="377" spans="1:4" ht="14.25" x14ac:dyDescent="0.2">
      <c r="A377" s="14" t="str">
        <f>IF('حساب المرتب الشهري'!A375="","",'حساب المرتب الشهري'!A375)</f>
        <v/>
      </c>
      <c r="B377" s="14" t="str">
        <f>IF(A377="","",'حساب المرتب الشهري'!B375)</f>
        <v/>
      </c>
      <c r="C377" s="15" t="str">
        <f>IF(A377="","",'حساب المرتب الشهري'!N375)</f>
        <v/>
      </c>
      <c r="D377" s="14"/>
    </row>
    <row r="378" spans="1:4" ht="14.25" x14ac:dyDescent="0.2">
      <c r="A378" s="14" t="str">
        <f>IF('حساب المرتب الشهري'!A376="","",'حساب المرتب الشهري'!A376)</f>
        <v/>
      </c>
      <c r="B378" s="14" t="str">
        <f>IF(A378="","",'حساب المرتب الشهري'!B376)</f>
        <v/>
      </c>
      <c r="C378" s="15" t="str">
        <f>IF(A378="","",'حساب المرتب الشهري'!N376)</f>
        <v/>
      </c>
      <c r="D378" s="14"/>
    </row>
    <row r="379" spans="1:4" ht="14.25" x14ac:dyDescent="0.2">
      <c r="A379" s="14" t="str">
        <f>IF('حساب المرتب الشهري'!A377="","",'حساب المرتب الشهري'!A377)</f>
        <v/>
      </c>
      <c r="B379" s="14" t="str">
        <f>IF(A379="","",'حساب المرتب الشهري'!B377)</f>
        <v/>
      </c>
      <c r="C379" s="15" t="str">
        <f>IF(A379="","",'حساب المرتب الشهري'!N377)</f>
        <v/>
      </c>
      <c r="D379" s="14"/>
    </row>
    <row r="380" spans="1:4" ht="14.25" x14ac:dyDescent="0.2">
      <c r="A380" s="14" t="str">
        <f>IF('حساب المرتب الشهري'!A378="","",'حساب المرتب الشهري'!A378)</f>
        <v/>
      </c>
      <c r="B380" s="14" t="str">
        <f>IF(A380="","",'حساب المرتب الشهري'!B378)</f>
        <v/>
      </c>
      <c r="C380" s="15" t="str">
        <f>IF(A380="","",'حساب المرتب الشهري'!N378)</f>
        <v/>
      </c>
      <c r="D380" s="14"/>
    </row>
    <row r="381" spans="1:4" ht="14.25" x14ac:dyDescent="0.2">
      <c r="A381" s="14" t="str">
        <f>IF('حساب المرتب الشهري'!A379="","",'حساب المرتب الشهري'!A379)</f>
        <v/>
      </c>
      <c r="B381" s="14" t="str">
        <f>IF(A381="","",'حساب المرتب الشهري'!B379)</f>
        <v/>
      </c>
      <c r="C381" s="15" t="str">
        <f>IF(A381="","",'حساب المرتب الشهري'!N379)</f>
        <v/>
      </c>
      <c r="D381" s="14"/>
    </row>
    <row r="382" spans="1:4" ht="14.25" x14ac:dyDescent="0.2">
      <c r="A382" s="14" t="str">
        <f>IF('حساب المرتب الشهري'!A380="","",'حساب المرتب الشهري'!A380)</f>
        <v/>
      </c>
      <c r="B382" s="14" t="str">
        <f>IF(A382="","",'حساب المرتب الشهري'!B380)</f>
        <v/>
      </c>
      <c r="C382" s="15" t="str">
        <f>IF(A382="","",'حساب المرتب الشهري'!N380)</f>
        <v/>
      </c>
      <c r="D382" s="14"/>
    </row>
    <row r="383" spans="1:4" ht="14.25" x14ac:dyDescent="0.2">
      <c r="A383" s="14" t="str">
        <f>IF('حساب المرتب الشهري'!A381="","",'حساب المرتب الشهري'!A381)</f>
        <v/>
      </c>
      <c r="B383" s="14" t="str">
        <f>IF(A383="","",'حساب المرتب الشهري'!B381)</f>
        <v/>
      </c>
      <c r="C383" s="15" t="str">
        <f>IF(A383="","",'حساب المرتب الشهري'!N381)</f>
        <v/>
      </c>
      <c r="D383" s="14"/>
    </row>
    <row r="384" spans="1:4" ht="14.25" x14ac:dyDescent="0.2">
      <c r="A384" s="14" t="str">
        <f>IF('حساب المرتب الشهري'!A382="","",'حساب المرتب الشهري'!A382)</f>
        <v/>
      </c>
      <c r="B384" s="14" t="str">
        <f>IF(A384="","",'حساب المرتب الشهري'!B382)</f>
        <v/>
      </c>
      <c r="C384" s="15" t="str">
        <f>IF(A384="","",'حساب المرتب الشهري'!N382)</f>
        <v/>
      </c>
      <c r="D384" s="14"/>
    </row>
    <row r="385" spans="1:4" ht="14.25" x14ac:dyDescent="0.2">
      <c r="A385" s="14" t="str">
        <f>IF('حساب المرتب الشهري'!A383="","",'حساب المرتب الشهري'!A383)</f>
        <v/>
      </c>
      <c r="B385" s="14" t="str">
        <f>IF(A385="","",'حساب المرتب الشهري'!B383)</f>
        <v/>
      </c>
      <c r="C385" s="15" t="str">
        <f>IF(A385="","",'حساب المرتب الشهري'!N383)</f>
        <v/>
      </c>
      <c r="D385" s="14"/>
    </row>
    <row r="386" spans="1:4" ht="14.25" x14ac:dyDescent="0.2">
      <c r="A386" s="14" t="str">
        <f>IF('حساب المرتب الشهري'!A384="","",'حساب المرتب الشهري'!A384)</f>
        <v/>
      </c>
      <c r="B386" s="14" t="str">
        <f>IF(A386="","",'حساب المرتب الشهري'!B384)</f>
        <v/>
      </c>
      <c r="C386" s="15" t="str">
        <f>IF(A386="","",'حساب المرتب الشهري'!N384)</f>
        <v/>
      </c>
      <c r="D386" s="14"/>
    </row>
    <row r="387" spans="1:4" ht="14.25" x14ac:dyDescent="0.2">
      <c r="A387" s="14" t="str">
        <f>IF('حساب المرتب الشهري'!A385="","",'حساب المرتب الشهري'!A385)</f>
        <v/>
      </c>
      <c r="B387" s="14" t="str">
        <f>IF(A387="","",'حساب المرتب الشهري'!B385)</f>
        <v/>
      </c>
      <c r="C387" s="15" t="str">
        <f>IF(A387="","",'حساب المرتب الشهري'!N385)</f>
        <v/>
      </c>
      <c r="D387" s="14"/>
    </row>
    <row r="388" spans="1:4" ht="14.25" x14ac:dyDescent="0.2">
      <c r="A388" s="14" t="str">
        <f>IF('حساب المرتب الشهري'!A386="","",'حساب المرتب الشهري'!A386)</f>
        <v/>
      </c>
      <c r="B388" s="14" t="str">
        <f>IF(A388="","",'حساب المرتب الشهري'!B386)</f>
        <v/>
      </c>
      <c r="C388" s="15" t="str">
        <f>IF(A388="","",'حساب المرتب الشهري'!N386)</f>
        <v/>
      </c>
      <c r="D388" s="14"/>
    </row>
    <row r="389" spans="1:4" ht="14.25" x14ac:dyDescent="0.2">
      <c r="A389" s="14" t="str">
        <f>IF('حساب المرتب الشهري'!A387="","",'حساب المرتب الشهري'!A387)</f>
        <v/>
      </c>
      <c r="B389" s="14" t="str">
        <f>IF(A389="","",'حساب المرتب الشهري'!B387)</f>
        <v/>
      </c>
      <c r="C389" s="15" t="str">
        <f>IF(A389="","",'حساب المرتب الشهري'!N387)</f>
        <v/>
      </c>
      <c r="D389" s="14"/>
    </row>
    <row r="390" spans="1:4" ht="14.25" x14ac:dyDescent="0.2">
      <c r="A390" s="14" t="str">
        <f>IF('حساب المرتب الشهري'!A388="","",'حساب المرتب الشهري'!A388)</f>
        <v/>
      </c>
      <c r="B390" s="14" t="str">
        <f>IF(A390="","",'حساب المرتب الشهري'!B388)</f>
        <v/>
      </c>
      <c r="C390" s="15" t="str">
        <f>IF(A390="","",'حساب المرتب الشهري'!N388)</f>
        <v/>
      </c>
      <c r="D390" s="14"/>
    </row>
    <row r="391" spans="1:4" ht="14.25" x14ac:dyDescent="0.2">
      <c r="A391" s="14" t="str">
        <f>IF('حساب المرتب الشهري'!A389="","",'حساب المرتب الشهري'!A389)</f>
        <v/>
      </c>
      <c r="B391" s="14" t="str">
        <f>IF(A391="","",'حساب المرتب الشهري'!B389)</f>
        <v/>
      </c>
      <c r="C391" s="15" t="str">
        <f>IF(A391="","",'حساب المرتب الشهري'!N389)</f>
        <v/>
      </c>
      <c r="D391" s="14"/>
    </row>
    <row r="392" spans="1:4" ht="14.25" x14ac:dyDescent="0.2">
      <c r="A392" s="14" t="str">
        <f>IF('حساب المرتب الشهري'!A390="","",'حساب المرتب الشهري'!A390)</f>
        <v/>
      </c>
      <c r="B392" s="14" t="str">
        <f>IF(A392="","",'حساب المرتب الشهري'!B390)</f>
        <v/>
      </c>
      <c r="C392" s="15" t="str">
        <f>IF(A392="","",'حساب المرتب الشهري'!N390)</f>
        <v/>
      </c>
      <c r="D392" s="14"/>
    </row>
    <row r="393" spans="1:4" ht="14.25" x14ac:dyDescent="0.2">
      <c r="A393" s="14" t="str">
        <f>IF('حساب المرتب الشهري'!A391="","",'حساب المرتب الشهري'!A391)</f>
        <v/>
      </c>
      <c r="B393" s="14" t="str">
        <f>IF(A393="","",'حساب المرتب الشهري'!B391)</f>
        <v/>
      </c>
      <c r="C393" s="15" t="str">
        <f>IF(A393="","",'حساب المرتب الشهري'!N391)</f>
        <v/>
      </c>
      <c r="D393" s="14"/>
    </row>
    <row r="394" spans="1:4" ht="14.25" x14ac:dyDescent="0.2">
      <c r="A394" s="14" t="str">
        <f>IF('حساب المرتب الشهري'!A392="","",'حساب المرتب الشهري'!A392)</f>
        <v/>
      </c>
      <c r="B394" s="14" t="str">
        <f>IF(A394="","",'حساب المرتب الشهري'!B392)</f>
        <v/>
      </c>
      <c r="C394" s="15" t="str">
        <f>IF(A394="","",'حساب المرتب الشهري'!N392)</f>
        <v/>
      </c>
      <c r="D394" s="14"/>
    </row>
    <row r="395" spans="1:4" ht="14.25" x14ac:dyDescent="0.2">
      <c r="A395" s="14" t="str">
        <f>IF('حساب المرتب الشهري'!A393="","",'حساب المرتب الشهري'!A393)</f>
        <v/>
      </c>
      <c r="B395" s="14" t="str">
        <f>IF(A395="","",'حساب المرتب الشهري'!B393)</f>
        <v/>
      </c>
      <c r="C395" s="15" t="str">
        <f>IF(A395="","",'حساب المرتب الشهري'!N393)</f>
        <v/>
      </c>
      <c r="D395" s="14"/>
    </row>
    <row r="396" spans="1:4" ht="14.25" x14ac:dyDescent="0.2">
      <c r="A396" s="14" t="str">
        <f>IF('حساب المرتب الشهري'!A394="","",'حساب المرتب الشهري'!A394)</f>
        <v/>
      </c>
      <c r="B396" s="14" t="str">
        <f>IF(A396="","",'حساب المرتب الشهري'!B394)</f>
        <v/>
      </c>
      <c r="C396" s="15" t="str">
        <f>IF(A396="","",'حساب المرتب الشهري'!N394)</f>
        <v/>
      </c>
      <c r="D396" s="14"/>
    </row>
    <row r="397" spans="1:4" ht="14.25" x14ac:dyDescent="0.2">
      <c r="A397" s="14" t="str">
        <f>IF('حساب المرتب الشهري'!A395="","",'حساب المرتب الشهري'!A395)</f>
        <v/>
      </c>
      <c r="B397" s="14" t="str">
        <f>IF(A397="","",'حساب المرتب الشهري'!B395)</f>
        <v/>
      </c>
      <c r="C397" s="15" t="str">
        <f>IF(A397="","",'حساب المرتب الشهري'!N395)</f>
        <v/>
      </c>
      <c r="D397" s="14"/>
    </row>
    <row r="398" spans="1:4" ht="14.25" x14ac:dyDescent="0.2">
      <c r="A398" s="14" t="str">
        <f>IF('حساب المرتب الشهري'!A396="","",'حساب المرتب الشهري'!A396)</f>
        <v/>
      </c>
      <c r="B398" s="14" t="str">
        <f>IF(A398="","",'حساب المرتب الشهري'!B396)</f>
        <v/>
      </c>
      <c r="C398" s="15" t="str">
        <f>IF(A398="","",'حساب المرتب الشهري'!N396)</f>
        <v/>
      </c>
      <c r="D398" s="14"/>
    </row>
    <row r="399" spans="1:4" ht="14.25" x14ac:dyDescent="0.2">
      <c r="A399" s="14" t="str">
        <f>IF('حساب المرتب الشهري'!A397="","",'حساب المرتب الشهري'!A397)</f>
        <v/>
      </c>
      <c r="B399" s="14" t="str">
        <f>IF(A399="","",'حساب المرتب الشهري'!B397)</f>
        <v/>
      </c>
      <c r="C399" s="15" t="str">
        <f>IF(A399="","",'حساب المرتب الشهري'!N397)</f>
        <v/>
      </c>
      <c r="D399" s="14"/>
    </row>
    <row r="400" spans="1:4" ht="14.25" x14ac:dyDescent="0.2">
      <c r="A400" s="14" t="str">
        <f>IF('حساب المرتب الشهري'!A398="","",'حساب المرتب الشهري'!A398)</f>
        <v/>
      </c>
      <c r="B400" s="14" t="str">
        <f>IF(A400="","",'حساب المرتب الشهري'!B398)</f>
        <v/>
      </c>
      <c r="C400" s="15" t="str">
        <f>IF(A400="","",'حساب المرتب الشهري'!N398)</f>
        <v/>
      </c>
      <c r="D400" s="14"/>
    </row>
    <row r="401" spans="1:4" ht="14.25" x14ac:dyDescent="0.2">
      <c r="A401" s="14" t="str">
        <f>IF('حساب المرتب الشهري'!A399="","",'حساب المرتب الشهري'!A399)</f>
        <v/>
      </c>
      <c r="B401" s="14" t="str">
        <f>IF(A401="","",'حساب المرتب الشهري'!B399)</f>
        <v/>
      </c>
      <c r="C401" s="15" t="str">
        <f>IF(A401="","",'حساب المرتب الشهري'!N399)</f>
        <v/>
      </c>
      <c r="D401" s="14"/>
    </row>
    <row r="402" spans="1:4" ht="14.25" x14ac:dyDescent="0.2">
      <c r="A402" s="14" t="str">
        <f>IF('حساب المرتب الشهري'!A400="","",'حساب المرتب الشهري'!A400)</f>
        <v/>
      </c>
      <c r="B402" s="14" t="str">
        <f>IF(A402="","",'حساب المرتب الشهري'!B400)</f>
        <v/>
      </c>
      <c r="C402" s="15" t="str">
        <f>IF(A402="","",'حساب المرتب الشهري'!N400)</f>
        <v/>
      </c>
      <c r="D402" s="14"/>
    </row>
    <row r="403" spans="1:4" ht="14.25" x14ac:dyDescent="0.2">
      <c r="A403" s="14" t="str">
        <f>IF('حساب المرتب الشهري'!A401="","",'حساب المرتب الشهري'!A401)</f>
        <v/>
      </c>
      <c r="B403" s="14" t="str">
        <f>IF(A403="","",'حساب المرتب الشهري'!B401)</f>
        <v/>
      </c>
      <c r="C403" s="15" t="str">
        <f>IF(A403="","",'حساب المرتب الشهري'!N401)</f>
        <v/>
      </c>
      <c r="D403" s="14"/>
    </row>
    <row r="404" spans="1:4" ht="14.25" x14ac:dyDescent="0.2">
      <c r="A404" s="14" t="str">
        <f>IF('حساب المرتب الشهري'!A402="","",'حساب المرتب الشهري'!A402)</f>
        <v/>
      </c>
      <c r="B404" s="14" t="str">
        <f>IF(A404="","",'حساب المرتب الشهري'!B402)</f>
        <v/>
      </c>
      <c r="C404" s="15" t="str">
        <f>IF(A404="","",'حساب المرتب الشهري'!N402)</f>
        <v/>
      </c>
      <c r="D404" s="14"/>
    </row>
    <row r="405" spans="1:4" ht="14.25" x14ac:dyDescent="0.2">
      <c r="A405" s="14" t="str">
        <f>IF('حساب المرتب الشهري'!A403="","",'حساب المرتب الشهري'!A403)</f>
        <v/>
      </c>
      <c r="B405" s="14" t="str">
        <f>IF(A405="","",'حساب المرتب الشهري'!B403)</f>
        <v/>
      </c>
      <c r="C405" s="15" t="str">
        <f>IF(A405="","",'حساب المرتب الشهري'!N403)</f>
        <v/>
      </c>
      <c r="D405" s="14"/>
    </row>
    <row r="406" spans="1:4" ht="14.25" x14ac:dyDescent="0.2">
      <c r="A406" s="14" t="str">
        <f>IF('حساب المرتب الشهري'!A404="","",'حساب المرتب الشهري'!A404)</f>
        <v/>
      </c>
      <c r="B406" s="14" t="str">
        <f>IF(A406="","",'حساب المرتب الشهري'!B404)</f>
        <v/>
      </c>
      <c r="C406" s="15" t="str">
        <f>IF(A406="","",'حساب المرتب الشهري'!N404)</f>
        <v/>
      </c>
      <c r="D406" s="14"/>
    </row>
    <row r="407" spans="1:4" ht="14.25" x14ac:dyDescent="0.2">
      <c r="A407" s="14" t="str">
        <f>IF('حساب المرتب الشهري'!A405="","",'حساب المرتب الشهري'!A405)</f>
        <v/>
      </c>
      <c r="B407" s="14" t="str">
        <f>IF(A407="","",'حساب المرتب الشهري'!B405)</f>
        <v/>
      </c>
      <c r="C407" s="15" t="str">
        <f>IF(A407="","",'حساب المرتب الشهري'!N405)</f>
        <v/>
      </c>
      <c r="D407" s="14"/>
    </row>
    <row r="408" spans="1:4" ht="14.25" x14ac:dyDescent="0.2">
      <c r="A408" s="14" t="str">
        <f>IF('حساب المرتب الشهري'!A406="","",'حساب المرتب الشهري'!A406)</f>
        <v/>
      </c>
      <c r="B408" s="14" t="str">
        <f>IF(A408="","",'حساب المرتب الشهري'!B406)</f>
        <v/>
      </c>
      <c r="C408" s="15" t="str">
        <f>IF(A408="","",'حساب المرتب الشهري'!N406)</f>
        <v/>
      </c>
      <c r="D408" s="14"/>
    </row>
    <row r="409" spans="1:4" ht="14.25" x14ac:dyDescent="0.2">
      <c r="A409" s="14" t="str">
        <f>IF('حساب المرتب الشهري'!A407="","",'حساب المرتب الشهري'!A407)</f>
        <v/>
      </c>
      <c r="B409" s="14" t="str">
        <f>IF(A409="","",'حساب المرتب الشهري'!B407)</f>
        <v/>
      </c>
      <c r="C409" s="15" t="str">
        <f>IF(A409="","",'حساب المرتب الشهري'!N407)</f>
        <v/>
      </c>
      <c r="D409" s="14"/>
    </row>
    <row r="410" spans="1:4" ht="14.25" x14ac:dyDescent="0.2">
      <c r="A410" s="14" t="str">
        <f>IF('حساب المرتب الشهري'!A408="","",'حساب المرتب الشهري'!A408)</f>
        <v/>
      </c>
      <c r="B410" s="14" t="str">
        <f>IF(A410="","",'حساب المرتب الشهري'!B408)</f>
        <v/>
      </c>
      <c r="C410" s="15" t="str">
        <f>IF(A410="","",'حساب المرتب الشهري'!N408)</f>
        <v/>
      </c>
      <c r="D410" s="14"/>
    </row>
    <row r="411" spans="1:4" ht="14.25" x14ac:dyDescent="0.2">
      <c r="A411" s="14" t="str">
        <f>IF('حساب المرتب الشهري'!A409="","",'حساب المرتب الشهري'!A409)</f>
        <v/>
      </c>
      <c r="B411" s="14" t="str">
        <f>IF(A411="","",'حساب المرتب الشهري'!B409)</f>
        <v/>
      </c>
      <c r="C411" s="15" t="str">
        <f>IF(A411="","",'حساب المرتب الشهري'!N409)</f>
        <v/>
      </c>
      <c r="D411" s="14"/>
    </row>
    <row r="412" spans="1:4" ht="14.25" x14ac:dyDescent="0.2">
      <c r="A412" s="14" t="str">
        <f>IF('حساب المرتب الشهري'!A410="","",'حساب المرتب الشهري'!A410)</f>
        <v/>
      </c>
      <c r="B412" s="14" t="str">
        <f>IF(A412="","",'حساب المرتب الشهري'!B410)</f>
        <v/>
      </c>
      <c r="C412" s="15" t="str">
        <f>IF(A412="","",'حساب المرتب الشهري'!N410)</f>
        <v/>
      </c>
      <c r="D412" s="14"/>
    </row>
    <row r="413" spans="1:4" ht="14.25" x14ac:dyDescent="0.2">
      <c r="A413" s="14" t="str">
        <f>IF('حساب المرتب الشهري'!A411="","",'حساب المرتب الشهري'!A411)</f>
        <v/>
      </c>
      <c r="B413" s="14" t="str">
        <f>IF(A413="","",'حساب المرتب الشهري'!B411)</f>
        <v/>
      </c>
      <c r="C413" s="15" t="str">
        <f>IF(A413="","",'حساب المرتب الشهري'!N411)</f>
        <v/>
      </c>
      <c r="D413" s="14"/>
    </row>
    <row r="414" spans="1:4" ht="14.25" x14ac:dyDescent="0.2">
      <c r="A414" s="14" t="str">
        <f>IF('حساب المرتب الشهري'!A412="","",'حساب المرتب الشهري'!A412)</f>
        <v/>
      </c>
      <c r="B414" s="14" t="str">
        <f>IF(A414="","",'حساب المرتب الشهري'!B412)</f>
        <v/>
      </c>
      <c r="C414" s="15" t="str">
        <f>IF(A414="","",'حساب المرتب الشهري'!N412)</f>
        <v/>
      </c>
      <c r="D414" s="14"/>
    </row>
    <row r="415" spans="1:4" ht="14.25" x14ac:dyDescent="0.2">
      <c r="A415" s="14" t="str">
        <f>IF('حساب المرتب الشهري'!A413="","",'حساب المرتب الشهري'!A413)</f>
        <v/>
      </c>
      <c r="B415" s="14" t="str">
        <f>IF(A415="","",'حساب المرتب الشهري'!B413)</f>
        <v/>
      </c>
      <c r="C415" s="15" t="str">
        <f>IF(A415="","",'حساب المرتب الشهري'!N413)</f>
        <v/>
      </c>
      <c r="D415" s="14"/>
    </row>
    <row r="416" spans="1:4" ht="14.25" x14ac:dyDescent="0.2">
      <c r="A416" s="14" t="str">
        <f>IF('حساب المرتب الشهري'!A414="","",'حساب المرتب الشهري'!A414)</f>
        <v/>
      </c>
      <c r="B416" s="14" t="str">
        <f>IF(A416="","",'حساب المرتب الشهري'!B414)</f>
        <v/>
      </c>
      <c r="C416" s="15" t="str">
        <f>IF(A416="","",'حساب المرتب الشهري'!N414)</f>
        <v/>
      </c>
      <c r="D416" s="14"/>
    </row>
    <row r="417" spans="1:4" ht="14.25" x14ac:dyDescent="0.2">
      <c r="A417" s="14" t="str">
        <f>IF('حساب المرتب الشهري'!A415="","",'حساب المرتب الشهري'!A415)</f>
        <v/>
      </c>
      <c r="B417" s="14" t="str">
        <f>IF(A417="","",'حساب المرتب الشهري'!B415)</f>
        <v/>
      </c>
      <c r="C417" s="15" t="str">
        <f>IF(A417="","",'حساب المرتب الشهري'!N415)</f>
        <v/>
      </c>
      <c r="D417" s="14"/>
    </row>
    <row r="418" spans="1:4" ht="14.25" x14ac:dyDescent="0.2">
      <c r="A418" s="14" t="str">
        <f>IF('حساب المرتب الشهري'!A416="","",'حساب المرتب الشهري'!A416)</f>
        <v/>
      </c>
      <c r="B418" s="14" t="str">
        <f>IF(A418="","",'حساب المرتب الشهري'!B416)</f>
        <v/>
      </c>
      <c r="C418" s="15" t="str">
        <f>IF(A418="","",'حساب المرتب الشهري'!N416)</f>
        <v/>
      </c>
      <c r="D418" s="14"/>
    </row>
    <row r="419" spans="1:4" ht="14.25" x14ac:dyDescent="0.2">
      <c r="A419" s="14" t="str">
        <f>IF('حساب المرتب الشهري'!A417="","",'حساب المرتب الشهري'!A417)</f>
        <v/>
      </c>
      <c r="B419" s="14" t="str">
        <f>IF(A419="","",'حساب المرتب الشهري'!B417)</f>
        <v/>
      </c>
      <c r="C419" s="15" t="str">
        <f>IF(A419="","",'حساب المرتب الشهري'!N417)</f>
        <v/>
      </c>
      <c r="D419" s="14"/>
    </row>
    <row r="420" spans="1:4" ht="14.25" x14ac:dyDescent="0.2">
      <c r="A420" s="14" t="str">
        <f>IF('حساب المرتب الشهري'!A418="","",'حساب المرتب الشهري'!A418)</f>
        <v/>
      </c>
      <c r="B420" s="14" t="str">
        <f>IF(A420="","",'حساب المرتب الشهري'!B418)</f>
        <v/>
      </c>
      <c r="C420" s="15" t="str">
        <f>IF(A420="","",'حساب المرتب الشهري'!N418)</f>
        <v/>
      </c>
      <c r="D420" s="14"/>
    </row>
    <row r="421" spans="1:4" ht="14.25" x14ac:dyDescent="0.2">
      <c r="A421" s="14" t="str">
        <f>IF('حساب المرتب الشهري'!A419="","",'حساب المرتب الشهري'!A419)</f>
        <v/>
      </c>
      <c r="B421" s="14" t="str">
        <f>IF(A421="","",'حساب المرتب الشهري'!B419)</f>
        <v/>
      </c>
      <c r="C421" s="15" t="str">
        <f>IF(A421="","",'حساب المرتب الشهري'!N419)</f>
        <v/>
      </c>
      <c r="D421" s="14"/>
    </row>
    <row r="422" spans="1:4" ht="14.25" x14ac:dyDescent="0.2">
      <c r="A422" s="14" t="str">
        <f>IF('حساب المرتب الشهري'!A420="","",'حساب المرتب الشهري'!A420)</f>
        <v/>
      </c>
      <c r="B422" s="14" t="str">
        <f>IF(A422="","",'حساب المرتب الشهري'!B420)</f>
        <v/>
      </c>
      <c r="C422" s="15" t="str">
        <f>IF(A422="","",'حساب المرتب الشهري'!N420)</f>
        <v/>
      </c>
      <c r="D422" s="14"/>
    </row>
    <row r="423" spans="1:4" ht="14.25" x14ac:dyDescent="0.2">
      <c r="A423" s="14" t="str">
        <f>IF('حساب المرتب الشهري'!A421="","",'حساب المرتب الشهري'!A421)</f>
        <v/>
      </c>
      <c r="B423" s="14" t="str">
        <f>IF(A423="","",'حساب المرتب الشهري'!B421)</f>
        <v/>
      </c>
      <c r="C423" s="15" t="str">
        <f>IF(A423="","",'حساب المرتب الشهري'!N421)</f>
        <v/>
      </c>
      <c r="D423" s="14"/>
    </row>
    <row r="424" spans="1:4" ht="14.25" x14ac:dyDescent="0.2">
      <c r="A424" s="14" t="str">
        <f>IF('حساب المرتب الشهري'!A422="","",'حساب المرتب الشهري'!A422)</f>
        <v/>
      </c>
      <c r="B424" s="14" t="str">
        <f>IF(A424="","",'حساب المرتب الشهري'!B422)</f>
        <v/>
      </c>
      <c r="C424" s="15" t="str">
        <f>IF(A424="","",'حساب المرتب الشهري'!N422)</f>
        <v/>
      </c>
      <c r="D424" s="14"/>
    </row>
    <row r="425" spans="1:4" ht="14.25" x14ac:dyDescent="0.2">
      <c r="A425" s="14" t="str">
        <f>IF('حساب المرتب الشهري'!A423="","",'حساب المرتب الشهري'!A423)</f>
        <v/>
      </c>
      <c r="B425" s="14" t="str">
        <f>IF(A425="","",'حساب المرتب الشهري'!B423)</f>
        <v/>
      </c>
      <c r="C425" s="15" t="str">
        <f>IF(A425="","",'حساب المرتب الشهري'!N423)</f>
        <v/>
      </c>
      <c r="D425" s="14"/>
    </row>
    <row r="426" spans="1:4" ht="14.25" x14ac:dyDescent="0.2">
      <c r="A426" s="14" t="str">
        <f>IF('حساب المرتب الشهري'!A424="","",'حساب المرتب الشهري'!A424)</f>
        <v/>
      </c>
      <c r="B426" s="14" t="str">
        <f>IF(A426="","",'حساب المرتب الشهري'!B424)</f>
        <v/>
      </c>
      <c r="C426" s="15" t="str">
        <f>IF(A426="","",'حساب المرتب الشهري'!N424)</f>
        <v/>
      </c>
      <c r="D426" s="14"/>
    </row>
    <row r="427" spans="1:4" ht="14.25" x14ac:dyDescent="0.2">
      <c r="A427" s="14" t="str">
        <f>IF('حساب المرتب الشهري'!A425="","",'حساب المرتب الشهري'!A425)</f>
        <v/>
      </c>
      <c r="B427" s="14" t="str">
        <f>IF(A427="","",'حساب المرتب الشهري'!B425)</f>
        <v/>
      </c>
      <c r="C427" s="15" t="str">
        <f>IF(A427="","",'حساب المرتب الشهري'!N425)</f>
        <v/>
      </c>
      <c r="D427" s="14"/>
    </row>
    <row r="428" spans="1:4" ht="14.25" x14ac:dyDescent="0.2">
      <c r="A428" s="14" t="str">
        <f>IF('حساب المرتب الشهري'!A426="","",'حساب المرتب الشهري'!A426)</f>
        <v/>
      </c>
      <c r="B428" s="14" t="str">
        <f>IF(A428="","",'حساب المرتب الشهري'!B426)</f>
        <v/>
      </c>
      <c r="C428" s="15" t="str">
        <f>IF(A428="","",'حساب المرتب الشهري'!N426)</f>
        <v/>
      </c>
      <c r="D428" s="14"/>
    </row>
    <row r="429" spans="1:4" ht="14.25" x14ac:dyDescent="0.2">
      <c r="A429" s="14" t="str">
        <f>IF('حساب المرتب الشهري'!A427="","",'حساب المرتب الشهري'!A427)</f>
        <v/>
      </c>
      <c r="B429" s="14" t="str">
        <f>IF(A429="","",'حساب المرتب الشهري'!B427)</f>
        <v/>
      </c>
      <c r="C429" s="15" t="str">
        <f>IF(A429="","",'حساب المرتب الشهري'!N427)</f>
        <v/>
      </c>
      <c r="D429" s="14"/>
    </row>
    <row r="430" spans="1:4" ht="14.25" x14ac:dyDescent="0.2">
      <c r="A430" s="14" t="str">
        <f>IF('حساب المرتب الشهري'!A428="","",'حساب المرتب الشهري'!A428)</f>
        <v/>
      </c>
      <c r="B430" s="14" t="str">
        <f>IF(A430="","",'حساب المرتب الشهري'!B428)</f>
        <v/>
      </c>
      <c r="C430" s="15" t="str">
        <f>IF(A430="","",'حساب المرتب الشهري'!N428)</f>
        <v/>
      </c>
      <c r="D430" s="14"/>
    </row>
    <row r="431" spans="1:4" ht="14.25" x14ac:dyDescent="0.2">
      <c r="A431" s="14" t="str">
        <f>IF('حساب المرتب الشهري'!A429="","",'حساب المرتب الشهري'!A429)</f>
        <v/>
      </c>
      <c r="B431" s="14" t="str">
        <f>IF(A431="","",'حساب المرتب الشهري'!B429)</f>
        <v/>
      </c>
      <c r="C431" s="15" t="str">
        <f>IF(A431="","",'حساب المرتب الشهري'!N429)</f>
        <v/>
      </c>
      <c r="D431" s="14"/>
    </row>
    <row r="432" spans="1:4" ht="14.25" x14ac:dyDescent="0.2">
      <c r="A432" s="14" t="str">
        <f>IF('حساب المرتب الشهري'!A430="","",'حساب المرتب الشهري'!A430)</f>
        <v/>
      </c>
      <c r="B432" s="14" t="str">
        <f>IF(A432="","",'حساب المرتب الشهري'!B430)</f>
        <v/>
      </c>
      <c r="C432" s="15" t="str">
        <f>IF(A432="","",'حساب المرتب الشهري'!N430)</f>
        <v/>
      </c>
      <c r="D432" s="14"/>
    </row>
    <row r="433" spans="1:4" ht="14.25" x14ac:dyDescent="0.2">
      <c r="A433" s="14" t="str">
        <f>IF('حساب المرتب الشهري'!A431="","",'حساب المرتب الشهري'!A431)</f>
        <v/>
      </c>
      <c r="B433" s="14" t="str">
        <f>IF(A433="","",'حساب المرتب الشهري'!B431)</f>
        <v/>
      </c>
      <c r="C433" s="15" t="str">
        <f>IF(A433="","",'حساب المرتب الشهري'!N431)</f>
        <v/>
      </c>
      <c r="D433" s="14"/>
    </row>
    <row r="434" spans="1:4" ht="14.25" x14ac:dyDescent="0.2">
      <c r="A434" s="14" t="str">
        <f>IF('حساب المرتب الشهري'!A432="","",'حساب المرتب الشهري'!A432)</f>
        <v/>
      </c>
      <c r="B434" s="14" t="str">
        <f>IF(A434="","",'حساب المرتب الشهري'!B432)</f>
        <v/>
      </c>
      <c r="C434" s="15" t="str">
        <f>IF(A434="","",'حساب المرتب الشهري'!N432)</f>
        <v/>
      </c>
      <c r="D434" s="14"/>
    </row>
    <row r="435" spans="1:4" ht="14.25" x14ac:dyDescent="0.2">
      <c r="A435" s="14" t="str">
        <f>IF('حساب المرتب الشهري'!A433="","",'حساب المرتب الشهري'!A433)</f>
        <v/>
      </c>
      <c r="B435" s="14" t="str">
        <f>IF(A435="","",'حساب المرتب الشهري'!B433)</f>
        <v/>
      </c>
      <c r="C435" s="15" t="str">
        <f>IF(A435="","",'حساب المرتب الشهري'!N433)</f>
        <v/>
      </c>
      <c r="D435" s="14"/>
    </row>
    <row r="436" spans="1:4" ht="14.25" x14ac:dyDescent="0.2">
      <c r="A436" s="14" t="str">
        <f>IF('حساب المرتب الشهري'!A434="","",'حساب المرتب الشهري'!A434)</f>
        <v/>
      </c>
      <c r="B436" s="14" t="str">
        <f>IF(A436="","",'حساب المرتب الشهري'!B434)</f>
        <v/>
      </c>
      <c r="C436" s="15" t="str">
        <f>IF(A436="","",'حساب المرتب الشهري'!N434)</f>
        <v/>
      </c>
      <c r="D436" s="14"/>
    </row>
    <row r="437" spans="1:4" ht="14.25" x14ac:dyDescent="0.2">
      <c r="A437" s="14" t="str">
        <f>IF('حساب المرتب الشهري'!A435="","",'حساب المرتب الشهري'!A435)</f>
        <v/>
      </c>
      <c r="B437" s="14" t="str">
        <f>IF(A437="","",'حساب المرتب الشهري'!B435)</f>
        <v/>
      </c>
      <c r="C437" s="15" t="str">
        <f>IF(A437="","",'حساب المرتب الشهري'!N435)</f>
        <v/>
      </c>
      <c r="D437" s="14"/>
    </row>
    <row r="438" spans="1:4" ht="14.25" x14ac:dyDescent="0.2">
      <c r="A438" s="14" t="str">
        <f>IF('حساب المرتب الشهري'!A436="","",'حساب المرتب الشهري'!A436)</f>
        <v/>
      </c>
      <c r="B438" s="14" t="str">
        <f>IF(A438="","",'حساب المرتب الشهري'!B436)</f>
        <v/>
      </c>
      <c r="C438" s="15" t="str">
        <f>IF(A438="","",'حساب المرتب الشهري'!N436)</f>
        <v/>
      </c>
      <c r="D438" s="14"/>
    </row>
    <row r="439" spans="1:4" ht="14.25" x14ac:dyDescent="0.2">
      <c r="A439" s="14" t="str">
        <f>IF('حساب المرتب الشهري'!A437="","",'حساب المرتب الشهري'!A437)</f>
        <v/>
      </c>
      <c r="B439" s="14" t="str">
        <f>IF(A439="","",'حساب المرتب الشهري'!B437)</f>
        <v/>
      </c>
      <c r="C439" s="15" t="str">
        <f>IF(A439="","",'حساب المرتب الشهري'!N437)</f>
        <v/>
      </c>
      <c r="D439" s="14"/>
    </row>
    <row r="440" spans="1:4" ht="14.25" x14ac:dyDescent="0.2">
      <c r="A440" s="14" t="str">
        <f>IF('حساب المرتب الشهري'!A438="","",'حساب المرتب الشهري'!A438)</f>
        <v/>
      </c>
      <c r="B440" s="14" t="str">
        <f>IF(A440="","",'حساب المرتب الشهري'!B438)</f>
        <v/>
      </c>
      <c r="C440" s="15" t="str">
        <f>IF(A440="","",'حساب المرتب الشهري'!N438)</f>
        <v/>
      </c>
      <c r="D440" s="14"/>
    </row>
    <row r="441" spans="1:4" ht="14.25" x14ac:dyDescent="0.2">
      <c r="A441" s="14" t="str">
        <f>IF('حساب المرتب الشهري'!A439="","",'حساب المرتب الشهري'!A439)</f>
        <v/>
      </c>
      <c r="B441" s="14" t="str">
        <f>IF(A441="","",'حساب المرتب الشهري'!B439)</f>
        <v/>
      </c>
      <c r="C441" s="15" t="str">
        <f>IF(A441="","",'حساب المرتب الشهري'!N439)</f>
        <v/>
      </c>
      <c r="D441" s="14"/>
    </row>
    <row r="442" spans="1:4" ht="14.25" x14ac:dyDescent="0.2">
      <c r="A442" s="14" t="str">
        <f>IF('حساب المرتب الشهري'!A440="","",'حساب المرتب الشهري'!A440)</f>
        <v/>
      </c>
      <c r="B442" s="14" t="str">
        <f>IF(A442="","",'حساب المرتب الشهري'!B440)</f>
        <v/>
      </c>
      <c r="C442" s="15" t="str">
        <f>IF(A442="","",'حساب المرتب الشهري'!N440)</f>
        <v/>
      </c>
      <c r="D442" s="14"/>
    </row>
    <row r="443" spans="1:4" ht="14.25" x14ac:dyDescent="0.2">
      <c r="A443" s="14" t="str">
        <f>IF('حساب المرتب الشهري'!A441="","",'حساب المرتب الشهري'!A441)</f>
        <v/>
      </c>
      <c r="B443" s="14" t="str">
        <f>IF(A443="","",'حساب المرتب الشهري'!B441)</f>
        <v/>
      </c>
      <c r="C443" s="15" t="str">
        <f>IF(A443="","",'حساب المرتب الشهري'!N441)</f>
        <v/>
      </c>
      <c r="D443" s="14"/>
    </row>
    <row r="444" spans="1:4" ht="14.25" x14ac:dyDescent="0.2">
      <c r="A444" s="14" t="str">
        <f>IF('حساب المرتب الشهري'!A442="","",'حساب المرتب الشهري'!A442)</f>
        <v/>
      </c>
      <c r="B444" s="14" t="str">
        <f>IF(A444="","",'حساب المرتب الشهري'!B442)</f>
        <v/>
      </c>
      <c r="C444" s="15" t="str">
        <f>IF(A444="","",'حساب المرتب الشهري'!N442)</f>
        <v/>
      </c>
      <c r="D444" s="14"/>
    </row>
    <row r="445" spans="1:4" ht="14.25" x14ac:dyDescent="0.2">
      <c r="A445" s="14" t="str">
        <f>IF('حساب المرتب الشهري'!A443="","",'حساب المرتب الشهري'!A443)</f>
        <v/>
      </c>
      <c r="B445" s="14" t="str">
        <f>IF(A445="","",'حساب المرتب الشهري'!B443)</f>
        <v/>
      </c>
      <c r="C445" s="15" t="str">
        <f>IF(A445="","",'حساب المرتب الشهري'!N443)</f>
        <v/>
      </c>
      <c r="D445" s="14"/>
    </row>
    <row r="446" spans="1:4" ht="14.25" x14ac:dyDescent="0.2">
      <c r="A446" s="14" t="str">
        <f>IF('حساب المرتب الشهري'!A444="","",'حساب المرتب الشهري'!A444)</f>
        <v/>
      </c>
      <c r="B446" s="14" t="str">
        <f>IF(A446="","",'حساب المرتب الشهري'!B444)</f>
        <v/>
      </c>
      <c r="C446" s="15" t="str">
        <f>IF(A446="","",'حساب المرتب الشهري'!N444)</f>
        <v/>
      </c>
      <c r="D446" s="14"/>
    </row>
    <row r="447" spans="1:4" ht="14.25" x14ac:dyDescent="0.2">
      <c r="A447" s="14" t="str">
        <f>IF('حساب المرتب الشهري'!A445="","",'حساب المرتب الشهري'!A445)</f>
        <v/>
      </c>
      <c r="B447" s="14" t="str">
        <f>IF(A447="","",'حساب المرتب الشهري'!B445)</f>
        <v/>
      </c>
      <c r="C447" s="15" t="str">
        <f>IF(A447="","",'حساب المرتب الشهري'!N445)</f>
        <v/>
      </c>
      <c r="D447" s="14"/>
    </row>
    <row r="448" spans="1:4" ht="14.25" x14ac:dyDescent="0.2">
      <c r="A448" s="14" t="str">
        <f>IF('حساب المرتب الشهري'!A446="","",'حساب المرتب الشهري'!A446)</f>
        <v/>
      </c>
      <c r="B448" s="14" t="str">
        <f>IF(A448="","",'حساب المرتب الشهري'!B446)</f>
        <v/>
      </c>
      <c r="C448" s="15" t="str">
        <f>IF(A448="","",'حساب المرتب الشهري'!N446)</f>
        <v/>
      </c>
      <c r="D448" s="14"/>
    </row>
    <row r="449" spans="1:4" ht="14.25" x14ac:dyDescent="0.2">
      <c r="A449" s="14" t="str">
        <f>IF('حساب المرتب الشهري'!A447="","",'حساب المرتب الشهري'!A447)</f>
        <v/>
      </c>
      <c r="B449" s="14" t="str">
        <f>IF(A449="","",'حساب المرتب الشهري'!B447)</f>
        <v/>
      </c>
      <c r="C449" s="15" t="str">
        <f>IF(A449="","",'حساب المرتب الشهري'!N447)</f>
        <v/>
      </c>
      <c r="D449" s="14"/>
    </row>
    <row r="450" spans="1:4" ht="14.25" x14ac:dyDescent="0.2">
      <c r="A450" s="14" t="str">
        <f>IF('حساب المرتب الشهري'!A448="","",'حساب المرتب الشهري'!A448)</f>
        <v/>
      </c>
      <c r="B450" s="14" t="str">
        <f>IF(A450="","",'حساب المرتب الشهري'!B448)</f>
        <v/>
      </c>
      <c r="C450" s="15" t="str">
        <f>IF(A450="","",'حساب المرتب الشهري'!N448)</f>
        <v/>
      </c>
      <c r="D450" s="14"/>
    </row>
    <row r="451" spans="1:4" ht="14.25" x14ac:dyDescent="0.2">
      <c r="A451" s="14" t="str">
        <f>IF('حساب المرتب الشهري'!A449="","",'حساب المرتب الشهري'!A449)</f>
        <v/>
      </c>
      <c r="B451" s="14" t="str">
        <f>IF(A451="","",'حساب المرتب الشهري'!B449)</f>
        <v/>
      </c>
      <c r="C451" s="15" t="str">
        <f>IF(A451="","",'حساب المرتب الشهري'!N449)</f>
        <v/>
      </c>
      <c r="D451" s="14"/>
    </row>
    <row r="452" spans="1:4" ht="14.25" x14ac:dyDescent="0.2">
      <c r="A452" s="14" t="str">
        <f>IF('حساب المرتب الشهري'!A450="","",'حساب المرتب الشهري'!A450)</f>
        <v/>
      </c>
      <c r="B452" s="14" t="str">
        <f>IF(A452="","",'حساب المرتب الشهري'!B450)</f>
        <v/>
      </c>
      <c r="C452" s="15" t="str">
        <f>IF(A452="","",'حساب المرتب الشهري'!N450)</f>
        <v/>
      </c>
      <c r="D452" s="14"/>
    </row>
    <row r="453" spans="1:4" ht="14.25" x14ac:dyDescent="0.2">
      <c r="A453" s="14" t="str">
        <f>IF('حساب المرتب الشهري'!A451="","",'حساب المرتب الشهري'!A451)</f>
        <v/>
      </c>
      <c r="B453" s="14" t="str">
        <f>IF(A453="","",'حساب المرتب الشهري'!B451)</f>
        <v/>
      </c>
      <c r="C453" s="15" t="str">
        <f>IF(A453="","",'حساب المرتب الشهري'!N451)</f>
        <v/>
      </c>
      <c r="D453" s="14"/>
    </row>
    <row r="454" spans="1:4" ht="14.25" x14ac:dyDescent="0.2">
      <c r="A454" s="14" t="str">
        <f>IF('حساب المرتب الشهري'!A452="","",'حساب المرتب الشهري'!A452)</f>
        <v/>
      </c>
      <c r="B454" s="14" t="str">
        <f>IF(A454="","",'حساب المرتب الشهري'!B452)</f>
        <v/>
      </c>
      <c r="C454" s="15" t="str">
        <f>IF(A454="","",'حساب المرتب الشهري'!N452)</f>
        <v/>
      </c>
      <c r="D454" s="14"/>
    </row>
    <row r="455" spans="1:4" ht="14.25" x14ac:dyDescent="0.2">
      <c r="A455" s="14" t="str">
        <f>IF('حساب المرتب الشهري'!A453="","",'حساب المرتب الشهري'!A453)</f>
        <v/>
      </c>
      <c r="B455" s="14" t="str">
        <f>IF(A455="","",'حساب المرتب الشهري'!B453)</f>
        <v/>
      </c>
      <c r="C455" s="15" t="str">
        <f>IF(A455="","",'حساب المرتب الشهري'!N453)</f>
        <v/>
      </c>
      <c r="D455" s="14"/>
    </row>
    <row r="456" spans="1:4" ht="14.25" x14ac:dyDescent="0.2">
      <c r="A456" s="14" t="str">
        <f>IF('حساب المرتب الشهري'!A454="","",'حساب المرتب الشهري'!A454)</f>
        <v/>
      </c>
      <c r="B456" s="14" t="str">
        <f>IF(A456="","",'حساب المرتب الشهري'!B454)</f>
        <v/>
      </c>
      <c r="C456" s="15" t="str">
        <f>IF(A456="","",'حساب المرتب الشهري'!N454)</f>
        <v/>
      </c>
      <c r="D456" s="14"/>
    </row>
    <row r="457" spans="1:4" ht="14.25" x14ac:dyDescent="0.2">
      <c r="A457" s="14" t="str">
        <f>IF('حساب المرتب الشهري'!A455="","",'حساب المرتب الشهري'!A455)</f>
        <v/>
      </c>
      <c r="B457" s="14" t="str">
        <f>IF(A457="","",'حساب المرتب الشهري'!B455)</f>
        <v/>
      </c>
      <c r="C457" s="15" t="str">
        <f>IF(A457="","",'حساب المرتب الشهري'!N455)</f>
        <v/>
      </c>
      <c r="D457" s="14"/>
    </row>
    <row r="458" spans="1:4" ht="14.25" x14ac:dyDescent="0.2">
      <c r="A458" s="14" t="str">
        <f>IF('حساب المرتب الشهري'!A456="","",'حساب المرتب الشهري'!A456)</f>
        <v/>
      </c>
      <c r="B458" s="14" t="str">
        <f>IF(A458="","",'حساب المرتب الشهري'!B456)</f>
        <v/>
      </c>
      <c r="C458" s="15" t="str">
        <f>IF(A458="","",'حساب المرتب الشهري'!N456)</f>
        <v/>
      </c>
      <c r="D458" s="14"/>
    </row>
    <row r="459" spans="1:4" ht="14.25" x14ac:dyDescent="0.2">
      <c r="A459" s="14" t="str">
        <f>IF('حساب المرتب الشهري'!A457="","",'حساب المرتب الشهري'!A457)</f>
        <v/>
      </c>
      <c r="B459" s="14" t="str">
        <f>IF(A459="","",'حساب المرتب الشهري'!B457)</f>
        <v/>
      </c>
      <c r="C459" s="15" t="str">
        <f>IF(A459="","",'حساب المرتب الشهري'!N457)</f>
        <v/>
      </c>
      <c r="D459" s="14"/>
    </row>
    <row r="460" spans="1:4" ht="14.25" x14ac:dyDescent="0.2">
      <c r="A460" s="14" t="str">
        <f>IF('حساب المرتب الشهري'!A458="","",'حساب المرتب الشهري'!A458)</f>
        <v/>
      </c>
      <c r="B460" s="14" t="str">
        <f>IF(A460="","",'حساب المرتب الشهري'!B458)</f>
        <v/>
      </c>
      <c r="C460" s="15" t="str">
        <f>IF(A460="","",'حساب المرتب الشهري'!N458)</f>
        <v/>
      </c>
      <c r="D460" s="14"/>
    </row>
    <row r="461" spans="1:4" ht="14.25" x14ac:dyDescent="0.2">
      <c r="A461" s="14" t="str">
        <f>IF('حساب المرتب الشهري'!A459="","",'حساب المرتب الشهري'!A459)</f>
        <v/>
      </c>
      <c r="B461" s="14" t="str">
        <f>IF(A461="","",'حساب المرتب الشهري'!B459)</f>
        <v/>
      </c>
      <c r="C461" s="15" t="str">
        <f>IF(A461="","",'حساب المرتب الشهري'!N459)</f>
        <v/>
      </c>
      <c r="D461" s="14"/>
    </row>
    <row r="462" spans="1:4" ht="14.25" x14ac:dyDescent="0.2">
      <c r="A462" s="14" t="str">
        <f>IF('حساب المرتب الشهري'!A460="","",'حساب المرتب الشهري'!A460)</f>
        <v/>
      </c>
      <c r="B462" s="14" t="str">
        <f>IF(A462="","",'حساب المرتب الشهري'!B460)</f>
        <v/>
      </c>
      <c r="C462" s="15" t="str">
        <f>IF(A462="","",'حساب المرتب الشهري'!N460)</f>
        <v/>
      </c>
      <c r="D462" s="14"/>
    </row>
    <row r="463" spans="1:4" ht="14.25" x14ac:dyDescent="0.2">
      <c r="A463" s="14" t="str">
        <f>IF('حساب المرتب الشهري'!A461="","",'حساب المرتب الشهري'!A461)</f>
        <v/>
      </c>
      <c r="B463" s="14" t="str">
        <f>IF(A463="","",'حساب المرتب الشهري'!B461)</f>
        <v/>
      </c>
      <c r="C463" s="15" t="str">
        <f>IF(A463="","",'حساب المرتب الشهري'!N461)</f>
        <v/>
      </c>
      <c r="D463" s="14"/>
    </row>
    <row r="464" spans="1:4" ht="14.25" x14ac:dyDescent="0.2">
      <c r="A464" s="14" t="str">
        <f>IF('حساب المرتب الشهري'!A462="","",'حساب المرتب الشهري'!A462)</f>
        <v/>
      </c>
      <c r="B464" s="14" t="str">
        <f>IF(A464="","",'حساب المرتب الشهري'!B462)</f>
        <v/>
      </c>
      <c r="C464" s="15" t="str">
        <f>IF(A464="","",'حساب المرتب الشهري'!N462)</f>
        <v/>
      </c>
      <c r="D464" s="14"/>
    </row>
    <row r="465" spans="1:4" ht="14.25" x14ac:dyDescent="0.2">
      <c r="A465" s="14" t="str">
        <f>IF('حساب المرتب الشهري'!A463="","",'حساب المرتب الشهري'!A463)</f>
        <v/>
      </c>
      <c r="B465" s="14" t="str">
        <f>IF(A465="","",'حساب المرتب الشهري'!B463)</f>
        <v/>
      </c>
      <c r="C465" s="15" t="str">
        <f>IF(A465="","",'حساب المرتب الشهري'!N463)</f>
        <v/>
      </c>
      <c r="D465" s="14"/>
    </row>
    <row r="466" spans="1:4" ht="14.25" x14ac:dyDescent="0.2">
      <c r="A466" s="14" t="str">
        <f>IF('حساب المرتب الشهري'!A464="","",'حساب المرتب الشهري'!A464)</f>
        <v/>
      </c>
      <c r="B466" s="14" t="str">
        <f>IF(A466="","",'حساب المرتب الشهري'!B464)</f>
        <v/>
      </c>
      <c r="C466" s="15" t="str">
        <f>IF(A466="","",'حساب المرتب الشهري'!N464)</f>
        <v/>
      </c>
      <c r="D466" s="14"/>
    </row>
    <row r="467" spans="1:4" ht="14.25" x14ac:dyDescent="0.2">
      <c r="A467" s="14" t="str">
        <f>IF('حساب المرتب الشهري'!A465="","",'حساب المرتب الشهري'!A465)</f>
        <v/>
      </c>
      <c r="B467" s="14" t="str">
        <f>IF(A467="","",'حساب المرتب الشهري'!B465)</f>
        <v/>
      </c>
      <c r="C467" s="15" t="str">
        <f>IF(A467="","",'حساب المرتب الشهري'!N465)</f>
        <v/>
      </c>
      <c r="D467" s="14"/>
    </row>
    <row r="468" spans="1:4" ht="14.25" x14ac:dyDescent="0.2">
      <c r="A468" s="14" t="str">
        <f>IF('حساب المرتب الشهري'!A466="","",'حساب المرتب الشهري'!A466)</f>
        <v/>
      </c>
      <c r="B468" s="14" t="str">
        <f>IF(A468="","",'حساب المرتب الشهري'!B466)</f>
        <v/>
      </c>
      <c r="C468" s="15" t="str">
        <f>IF(A468="","",'حساب المرتب الشهري'!N466)</f>
        <v/>
      </c>
      <c r="D468" s="14"/>
    </row>
    <row r="469" spans="1:4" ht="14.25" x14ac:dyDescent="0.2">
      <c r="A469" s="14" t="str">
        <f>IF('حساب المرتب الشهري'!A467="","",'حساب المرتب الشهري'!A467)</f>
        <v/>
      </c>
      <c r="B469" s="14" t="str">
        <f>IF(A469="","",'حساب المرتب الشهري'!B467)</f>
        <v/>
      </c>
      <c r="C469" s="15" t="str">
        <f>IF(A469="","",'حساب المرتب الشهري'!N467)</f>
        <v/>
      </c>
      <c r="D469" s="14"/>
    </row>
    <row r="470" spans="1:4" ht="14.25" x14ac:dyDescent="0.2">
      <c r="A470" s="14" t="str">
        <f>IF('حساب المرتب الشهري'!A468="","",'حساب المرتب الشهري'!A468)</f>
        <v/>
      </c>
      <c r="B470" s="14" t="str">
        <f>IF(A470="","",'حساب المرتب الشهري'!B468)</f>
        <v/>
      </c>
      <c r="C470" s="15" t="str">
        <f>IF(A470="","",'حساب المرتب الشهري'!N468)</f>
        <v/>
      </c>
      <c r="D470" s="14"/>
    </row>
    <row r="471" spans="1:4" ht="14.25" x14ac:dyDescent="0.2">
      <c r="A471" s="14" t="str">
        <f>IF('حساب المرتب الشهري'!A469="","",'حساب المرتب الشهري'!A469)</f>
        <v/>
      </c>
      <c r="B471" s="14" t="str">
        <f>IF(A471="","",'حساب المرتب الشهري'!B469)</f>
        <v/>
      </c>
      <c r="C471" s="15" t="str">
        <f>IF(A471="","",'حساب المرتب الشهري'!N469)</f>
        <v/>
      </c>
      <c r="D471" s="14"/>
    </row>
    <row r="472" spans="1:4" ht="14.25" x14ac:dyDescent="0.2">
      <c r="A472" s="14" t="str">
        <f>IF('حساب المرتب الشهري'!A470="","",'حساب المرتب الشهري'!A470)</f>
        <v/>
      </c>
      <c r="B472" s="14" t="str">
        <f>IF(A472="","",'حساب المرتب الشهري'!B470)</f>
        <v/>
      </c>
      <c r="C472" s="15" t="str">
        <f>IF(A472="","",'حساب المرتب الشهري'!N470)</f>
        <v/>
      </c>
      <c r="D472" s="14"/>
    </row>
    <row r="473" spans="1:4" ht="14.25" x14ac:dyDescent="0.2">
      <c r="A473" s="14" t="str">
        <f>IF('حساب المرتب الشهري'!A471="","",'حساب المرتب الشهري'!A471)</f>
        <v/>
      </c>
      <c r="B473" s="14" t="str">
        <f>IF(A473="","",'حساب المرتب الشهري'!B471)</f>
        <v/>
      </c>
      <c r="C473" s="15" t="str">
        <f>IF(A473="","",'حساب المرتب الشهري'!N471)</f>
        <v/>
      </c>
      <c r="D473" s="14"/>
    </row>
    <row r="474" spans="1:4" ht="14.25" x14ac:dyDescent="0.2">
      <c r="A474" s="14" t="str">
        <f>IF('حساب المرتب الشهري'!A472="","",'حساب المرتب الشهري'!A472)</f>
        <v/>
      </c>
      <c r="B474" s="14" t="str">
        <f>IF(A474="","",'حساب المرتب الشهري'!B472)</f>
        <v/>
      </c>
      <c r="C474" s="15" t="str">
        <f>IF(A474="","",'حساب المرتب الشهري'!N472)</f>
        <v/>
      </c>
      <c r="D474" s="14"/>
    </row>
    <row r="475" spans="1:4" ht="14.25" x14ac:dyDescent="0.2">
      <c r="A475" s="14" t="str">
        <f>IF('حساب المرتب الشهري'!A473="","",'حساب المرتب الشهري'!A473)</f>
        <v/>
      </c>
      <c r="B475" s="14" t="str">
        <f>IF(A475="","",'حساب المرتب الشهري'!B473)</f>
        <v/>
      </c>
      <c r="C475" s="15" t="str">
        <f>IF(A475="","",'حساب المرتب الشهري'!N473)</f>
        <v/>
      </c>
      <c r="D475" s="14"/>
    </row>
    <row r="476" spans="1:4" ht="14.25" x14ac:dyDescent="0.2">
      <c r="A476" s="14" t="str">
        <f>IF('حساب المرتب الشهري'!A474="","",'حساب المرتب الشهري'!A474)</f>
        <v/>
      </c>
      <c r="B476" s="14" t="str">
        <f>IF(A476="","",'حساب المرتب الشهري'!B474)</f>
        <v/>
      </c>
      <c r="C476" s="15" t="str">
        <f>IF(A476="","",'حساب المرتب الشهري'!N474)</f>
        <v/>
      </c>
      <c r="D476" s="14"/>
    </row>
    <row r="477" spans="1:4" ht="14.25" x14ac:dyDescent="0.2">
      <c r="A477" s="14" t="str">
        <f>IF('حساب المرتب الشهري'!A475="","",'حساب المرتب الشهري'!A475)</f>
        <v/>
      </c>
      <c r="B477" s="14" t="str">
        <f>IF(A477="","",'حساب المرتب الشهري'!B475)</f>
        <v/>
      </c>
      <c r="C477" s="15" t="str">
        <f>IF(A477="","",'حساب المرتب الشهري'!N475)</f>
        <v/>
      </c>
      <c r="D477" s="14"/>
    </row>
    <row r="478" spans="1:4" ht="14.25" x14ac:dyDescent="0.2">
      <c r="A478" s="14" t="str">
        <f>IF('حساب المرتب الشهري'!A476="","",'حساب المرتب الشهري'!A476)</f>
        <v/>
      </c>
      <c r="B478" s="14" t="str">
        <f>IF(A478="","",'حساب المرتب الشهري'!B476)</f>
        <v/>
      </c>
      <c r="C478" s="15" t="str">
        <f>IF(A478="","",'حساب المرتب الشهري'!N476)</f>
        <v/>
      </c>
      <c r="D478" s="14"/>
    </row>
    <row r="479" spans="1:4" ht="14.25" x14ac:dyDescent="0.2">
      <c r="A479" s="14" t="str">
        <f>IF('حساب المرتب الشهري'!A477="","",'حساب المرتب الشهري'!A477)</f>
        <v/>
      </c>
      <c r="B479" s="14" t="str">
        <f>IF(A479="","",'حساب المرتب الشهري'!B477)</f>
        <v/>
      </c>
      <c r="C479" s="15" t="str">
        <f>IF(A479="","",'حساب المرتب الشهري'!N477)</f>
        <v/>
      </c>
      <c r="D479" s="14"/>
    </row>
    <row r="480" spans="1:4" ht="14.25" x14ac:dyDescent="0.2">
      <c r="A480" s="14" t="str">
        <f>IF('حساب المرتب الشهري'!A478="","",'حساب المرتب الشهري'!A478)</f>
        <v/>
      </c>
      <c r="B480" s="14" t="str">
        <f>IF(A480="","",'حساب المرتب الشهري'!B478)</f>
        <v/>
      </c>
      <c r="C480" s="15" t="str">
        <f>IF(A480="","",'حساب المرتب الشهري'!N478)</f>
        <v/>
      </c>
      <c r="D480" s="14"/>
    </row>
    <row r="481" spans="1:4" ht="14.25" x14ac:dyDescent="0.2">
      <c r="A481" s="14" t="str">
        <f>IF('حساب المرتب الشهري'!A479="","",'حساب المرتب الشهري'!A479)</f>
        <v/>
      </c>
      <c r="B481" s="14" t="str">
        <f>IF(A481="","",'حساب المرتب الشهري'!B479)</f>
        <v/>
      </c>
      <c r="C481" s="15" t="str">
        <f>IF(A481="","",'حساب المرتب الشهري'!N479)</f>
        <v/>
      </c>
      <c r="D481" s="14"/>
    </row>
    <row r="482" spans="1:4" ht="14.25" x14ac:dyDescent="0.2">
      <c r="A482" s="14" t="str">
        <f>IF('حساب المرتب الشهري'!A480="","",'حساب المرتب الشهري'!A480)</f>
        <v/>
      </c>
      <c r="B482" s="14" t="str">
        <f>IF(A482="","",'حساب المرتب الشهري'!B480)</f>
        <v/>
      </c>
      <c r="C482" s="15" t="str">
        <f>IF(A482="","",'حساب المرتب الشهري'!N480)</f>
        <v/>
      </c>
      <c r="D482" s="14"/>
    </row>
    <row r="483" spans="1:4" ht="14.25" x14ac:dyDescent="0.2">
      <c r="A483" s="14" t="str">
        <f>IF('حساب المرتب الشهري'!A481="","",'حساب المرتب الشهري'!A481)</f>
        <v/>
      </c>
      <c r="B483" s="14" t="str">
        <f>IF(A483="","",'حساب المرتب الشهري'!B481)</f>
        <v/>
      </c>
      <c r="C483" s="15" t="str">
        <f>IF(A483="","",'حساب المرتب الشهري'!N481)</f>
        <v/>
      </c>
      <c r="D483" s="14"/>
    </row>
    <row r="484" spans="1:4" ht="14.25" x14ac:dyDescent="0.2">
      <c r="A484" s="14" t="str">
        <f>IF('حساب المرتب الشهري'!A482="","",'حساب المرتب الشهري'!A482)</f>
        <v/>
      </c>
      <c r="B484" s="14" t="str">
        <f>IF(A484="","",'حساب المرتب الشهري'!B482)</f>
        <v/>
      </c>
      <c r="C484" s="15" t="str">
        <f>IF(A484="","",'حساب المرتب الشهري'!N482)</f>
        <v/>
      </c>
      <c r="D484" s="14"/>
    </row>
    <row r="485" spans="1:4" ht="14.25" x14ac:dyDescent="0.2">
      <c r="A485" s="14" t="str">
        <f>IF('حساب المرتب الشهري'!A483="","",'حساب المرتب الشهري'!A483)</f>
        <v/>
      </c>
      <c r="B485" s="14" t="str">
        <f>IF(A485="","",'حساب المرتب الشهري'!B483)</f>
        <v/>
      </c>
      <c r="C485" s="15" t="str">
        <f>IF(A485="","",'حساب المرتب الشهري'!N483)</f>
        <v/>
      </c>
      <c r="D485" s="14"/>
    </row>
    <row r="486" spans="1:4" ht="14.25" x14ac:dyDescent="0.2">
      <c r="A486" s="14" t="str">
        <f>IF('حساب المرتب الشهري'!A484="","",'حساب المرتب الشهري'!A484)</f>
        <v/>
      </c>
      <c r="B486" s="14" t="str">
        <f>IF(A486="","",'حساب المرتب الشهري'!B484)</f>
        <v/>
      </c>
      <c r="C486" s="15" t="str">
        <f>IF(A486="","",'حساب المرتب الشهري'!N484)</f>
        <v/>
      </c>
      <c r="D486" s="14"/>
    </row>
    <row r="487" spans="1:4" ht="14.25" x14ac:dyDescent="0.2">
      <c r="A487" s="14" t="str">
        <f>IF('حساب المرتب الشهري'!A485="","",'حساب المرتب الشهري'!A485)</f>
        <v/>
      </c>
      <c r="B487" s="14" t="str">
        <f>IF(A487="","",'حساب المرتب الشهري'!B485)</f>
        <v/>
      </c>
      <c r="C487" s="15" t="str">
        <f>IF(A487="","",'حساب المرتب الشهري'!N485)</f>
        <v/>
      </c>
      <c r="D487" s="14"/>
    </row>
    <row r="488" spans="1:4" ht="14.25" x14ac:dyDescent="0.2">
      <c r="A488" s="14" t="str">
        <f>IF('حساب المرتب الشهري'!A486="","",'حساب المرتب الشهري'!A486)</f>
        <v/>
      </c>
      <c r="B488" s="14" t="str">
        <f>IF(A488="","",'حساب المرتب الشهري'!B486)</f>
        <v/>
      </c>
      <c r="C488" s="15" t="str">
        <f>IF(A488="","",'حساب المرتب الشهري'!N486)</f>
        <v/>
      </c>
      <c r="D488" s="14"/>
    </row>
    <row r="489" spans="1:4" ht="14.25" x14ac:dyDescent="0.2">
      <c r="A489" s="14" t="str">
        <f>IF('حساب المرتب الشهري'!A487="","",'حساب المرتب الشهري'!A487)</f>
        <v/>
      </c>
      <c r="B489" s="14" t="str">
        <f>IF(A489="","",'حساب المرتب الشهري'!B487)</f>
        <v/>
      </c>
      <c r="C489" s="15" t="str">
        <f>IF(A489="","",'حساب المرتب الشهري'!N487)</f>
        <v/>
      </c>
      <c r="D489" s="14"/>
    </row>
    <row r="490" spans="1:4" ht="14.25" x14ac:dyDescent="0.2">
      <c r="A490" s="14" t="str">
        <f>IF('حساب المرتب الشهري'!A488="","",'حساب المرتب الشهري'!A488)</f>
        <v/>
      </c>
      <c r="B490" s="14" t="str">
        <f>IF(A490="","",'حساب المرتب الشهري'!B488)</f>
        <v/>
      </c>
      <c r="C490" s="15" t="str">
        <f>IF(A490="","",'حساب المرتب الشهري'!N488)</f>
        <v/>
      </c>
      <c r="D490" s="14"/>
    </row>
    <row r="491" spans="1:4" ht="14.25" x14ac:dyDescent="0.2">
      <c r="A491" s="14" t="str">
        <f>IF('حساب المرتب الشهري'!A489="","",'حساب المرتب الشهري'!A489)</f>
        <v/>
      </c>
      <c r="B491" s="14" t="str">
        <f>IF(A491="","",'حساب المرتب الشهري'!B489)</f>
        <v/>
      </c>
      <c r="C491" s="15" t="str">
        <f>IF(A491="","",'حساب المرتب الشهري'!N489)</f>
        <v/>
      </c>
      <c r="D491" s="14"/>
    </row>
    <row r="492" spans="1:4" ht="14.25" x14ac:dyDescent="0.2">
      <c r="A492" s="14" t="str">
        <f>IF('حساب المرتب الشهري'!A490="","",'حساب المرتب الشهري'!A490)</f>
        <v/>
      </c>
      <c r="B492" s="14" t="str">
        <f>IF(A492="","",'حساب المرتب الشهري'!B490)</f>
        <v/>
      </c>
      <c r="C492" s="15" t="str">
        <f>IF(A492="","",'حساب المرتب الشهري'!N490)</f>
        <v/>
      </c>
      <c r="D492" s="14"/>
    </row>
    <row r="493" spans="1:4" ht="14.25" x14ac:dyDescent="0.2">
      <c r="A493" s="14" t="str">
        <f>IF('حساب المرتب الشهري'!A491="","",'حساب المرتب الشهري'!A491)</f>
        <v/>
      </c>
      <c r="B493" s="14" t="str">
        <f>IF(A493="","",'حساب المرتب الشهري'!B491)</f>
        <v/>
      </c>
      <c r="C493" s="15" t="str">
        <f>IF(A493="","",'حساب المرتب الشهري'!N491)</f>
        <v/>
      </c>
      <c r="D493" s="14"/>
    </row>
    <row r="494" spans="1:4" ht="14.25" x14ac:dyDescent="0.2">
      <c r="A494" s="14" t="str">
        <f>IF('حساب المرتب الشهري'!A492="","",'حساب المرتب الشهري'!A492)</f>
        <v/>
      </c>
      <c r="B494" s="14" t="str">
        <f>IF(A494="","",'حساب المرتب الشهري'!B492)</f>
        <v/>
      </c>
      <c r="C494" s="15" t="str">
        <f>IF(A494="","",'حساب المرتب الشهري'!N492)</f>
        <v/>
      </c>
      <c r="D494" s="14"/>
    </row>
    <row r="495" spans="1:4" ht="14.25" x14ac:dyDescent="0.2">
      <c r="A495" s="14" t="str">
        <f>IF('حساب المرتب الشهري'!A493="","",'حساب المرتب الشهري'!A493)</f>
        <v/>
      </c>
      <c r="B495" s="14" t="str">
        <f>IF(A495="","",'حساب المرتب الشهري'!B493)</f>
        <v/>
      </c>
      <c r="C495" s="15" t="str">
        <f>IF(A495="","",'حساب المرتب الشهري'!N493)</f>
        <v/>
      </c>
      <c r="D495" s="14"/>
    </row>
    <row r="496" spans="1:4" ht="14.25" x14ac:dyDescent="0.2">
      <c r="A496" s="14" t="str">
        <f>IF('حساب المرتب الشهري'!A494="","",'حساب المرتب الشهري'!A494)</f>
        <v/>
      </c>
      <c r="B496" s="14" t="str">
        <f>IF(A496="","",'حساب المرتب الشهري'!B494)</f>
        <v/>
      </c>
      <c r="C496" s="15" t="str">
        <f>IF(A496="","",'حساب المرتب الشهري'!N494)</f>
        <v/>
      </c>
      <c r="D496" s="14"/>
    </row>
    <row r="497" spans="1:7" ht="14.25" x14ac:dyDescent="0.2">
      <c r="A497" s="14" t="str">
        <f>IF('حساب المرتب الشهري'!A495="","",'حساب المرتب الشهري'!A495)</f>
        <v/>
      </c>
      <c r="B497" s="14" t="str">
        <f>IF(A497="","",'حساب المرتب الشهري'!B495)</f>
        <v/>
      </c>
      <c r="C497" s="15" t="str">
        <f>IF(A497="","",'حساب المرتب الشهري'!N495)</f>
        <v/>
      </c>
      <c r="D497" s="14"/>
    </row>
    <row r="498" spans="1:7" ht="14.25" x14ac:dyDescent="0.2">
      <c r="A498" s="14" t="str">
        <f>IF('حساب المرتب الشهري'!A496="","",'حساب المرتب الشهري'!A496)</f>
        <v/>
      </c>
      <c r="B498" s="14" t="str">
        <f>IF(A498="","",'حساب المرتب الشهري'!B496)</f>
        <v/>
      </c>
      <c r="C498" s="15" t="str">
        <f>IF(A498="","",'حساب المرتب الشهري'!N496)</f>
        <v/>
      </c>
      <c r="D498" s="14"/>
    </row>
    <row r="499" spans="1:7" ht="14.25" x14ac:dyDescent="0.2">
      <c r="A499" s="14" t="str">
        <f>IF('حساب المرتب الشهري'!A497="","",'حساب المرتب الشهري'!A497)</f>
        <v/>
      </c>
      <c r="B499" s="14" t="str">
        <f>IF(A499="","",'حساب المرتب الشهري'!B497)</f>
        <v/>
      </c>
      <c r="C499" s="15" t="str">
        <f>IF(A499="","",'حساب المرتب الشهري'!N497)</f>
        <v/>
      </c>
      <c r="D499" s="14"/>
    </row>
    <row r="500" spans="1:7" ht="14.25" x14ac:dyDescent="0.2">
      <c r="A500" s="14" t="str">
        <f>IF('حساب المرتب الشهري'!A498="","",'حساب المرتب الشهري'!A498)</f>
        <v/>
      </c>
      <c r="B500" s="14" t="str">
        <f>IF(A500="","",'حساب المرتب الشهري'!B498)</f>
        <v/>
      </c>
      <c r="C500" s="15" t="str">
        <f>IF(A500="","",'حساب المرتب الشهري'!N498)</f>
        <v/>
      </c>
      <c r="D500" s="14"/>
    </row>
    <row r="501" spans="1:7" ht="14.25" x14ac:dyDescent="0.2">
      <c r="A501" s="14" t="str">
        <f>IF('حساب المرتب الشهري'!A499="","",'حساب المرتب الشهري'!A499)</f>
        <v/>
      </c>
      <c r="B501" s="14" t="str">
        <f>IF(A501="","",'حساب المرتب الشهري'!B499)</f>
        <v/>
      </c>
      <c r="C501" s="15" t="str">
        <f>IF(A501="","",'حساب المرتب الشهري'!N499)</f>
        <v/>
      </c>
      <c r="D501" s="14"/>
    </row>
    <row r="502" spans="1:7" ht="14.25" x14ac:dyDescent="0.2">
      <c r="A502" s="14" t="str">
        <f>IF('حساب المرتب الشهري'!A500="","",'حساب المرتب الشهري'!A500)</f>
        <v/>
      </c>
      <c r="B502" s="14" t="str">
        <f>IF(A502="","",'حساب المرتب الشهري'!B500)</f>
        <v/>
      </c>
      <c r="C502" s="15" t="str">
        <f>IF(A502="","",'حساب المرتب الشهري'!N500)</f>
        <v/>
      </c>
      <c r="D502" s="14"/>
    </row>
    <row r="503" spans="1:7" ht="14.25" x14ac:dyDescent="0.2">
      <c r="A503" s="14" t="str">
        <f>IF('حساب المرتب الشهري'!A501="","",'حساب المرتب الشهري'!A501)</f>
        <v/>
      </c>
      <c r="B503" s="14" t="str">
        <f>IF(A503="","",'حساب المرتب الشهري'!B501)</f>
        <v/>
      </c>
      <c r="C503" s="15" t="str">
        <f>IF(A503="","",'حساب المرتب الشهري'!N501)</f>
        <v/>
      </c>
      <c r="D503" s="14"/>
    </row>
    <row r="504" spans="1:7" ht="14.25" x14ac:dyDescent="0.2">
      <c r="A504" s="14" t="str">
        <f>IF('حساب المرتب الشهري'!A502="","",'حساب المرتب الشهري'!A502)</f>
        <v/>
      </c>
      <c r="B504" s="14" t="str">
        <f>IF(A504="","",'حساب المرتب الشهري'!B502)</f>
        <v/>
      </c>
      <c r="C504" s="15" t="str">
        <f>IF(A504="","",'حساب المرتب الشهري'!N502)</f>
        <v/>
      </c>
      <c r="D504" s="14"/>
    </row>
    <row r="505" spans="1:7" ht="14.25" x14ac:dyDescent="0.2">
      <c r="A505" s="14" t="str">
        <f>IF('حساب المرتب الشهري'!A503="","",'حساب المرتب الشهري'!A503)</f>
        <v/>
      </c>
      <c r="B505" s="14" t="str">
        <f>IF(A505="","",'حساب المرتب الشهري'!B503)</f>
        <v/>
      </c>
      <c r="C505" s="15" t="str">
        <f>IF(A505="","",'حساب المرتب الشهري'!N503)</f>
        <v/>
      </c>
      <c r="D505" s="14"/>
    </row>
    <row r="506" spans="1:7" ht="14.25" x14ac:dyDescent="0.2">
      <c r="A506" s="14" t="str">
        <f>IF('حساب المرتب الشهري'!A504="","",'حساب المرتب الشهري'!A504)</f>
        <v/>
      </c>
      <c r="B506" s="14" t="str">
        <f>IF(A506="","",'حساب المرتب الشهري'!B504)</f>
        <v/>
      </c>
      <c r="C506" s="15" t="str">
        <f>IF(A506="","",'حساب المرتب الشهري'!N504)</f>
        <v/>
      </c>
      <c r="D506" s="14"/>
    </row>
    <row r="509" spans="1:7" x14ac:dyDescent="0.15">
      <c r="A509" s="20" t="s">
        <v>37</v>
      </c>
      <c r="B509" s="17"/>
      <c r="C509" s="17"/>
      <c r="D509" s="17"/>
      <c r="E509" s="17"/>
      <c r="F509" s="17"/>
      <c r="G509" s="17"/>
    </row>
    <row r="510" spans="1:7" x14ac:dyDescent="0.15">
      <c r="A510" s="17"/>
      <c r="B510" s="17"/>
      <c r="C510" s="17"/>
      <c r="D510" s="17"/>
      <c r="E510" s="17"/>
      <c r="F510" s="17"/>
      <c r="G510" s="17"/>
    </row>
  </sheetData>
  <sheetProtection sheet="1" selectLockedCells="1" selectUnlockedCells="1"/>
  <mergeCells count="4">
    <mergeCell ref="A1:D1"/>
    <mergeCell ref="A509:G510"/>
    <mergeCell ref="F5:G5"/>
    <mergeCell ref="A5:D5"/>
  </mergeCells>
  <dataValidations count="1">
    <dataValidation type="list" sqref="B3" xr:uid="{00000000-0002-0000-0200-000000000000}">
      <formula1>"نعم,لا"</formula1>
    </dataValidation>
  </dataValidations>
  <pageMargins left="0.25" right="0.25" top="0.45" bottom="0.45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6</vt:i4>
      </vt:variant>
    </vt:vector>
  </HeadingPairs>
  <TitlesOfParts>
    <vt:vector size="9" baseType="lpstr">
      <vt:lpstr>بيانات الموظفين</vt:lpstr>
      <vt:lpstr>حساب المرتب الشهري</vt:lpstr>
      <vt:lpstr>كشف التوقيع والملخص</vt:lpstr>
      <vt:lpstr>بيانات الموظفين!Print_Area</vt:lpstr>
      <vt:lpstr>حساب المرتب الشهري!Print_Area</vt:lpstr>
      <vt:lpstr>كشف التوقيع والملخص!Print_Area</vt:lpstr>
      <vt:lpstr>بيانات الموظفين!Print_Titles</vt:lpstr>
      <vt:lpstr>حساب المرتب الشهري!Print_Titles</vt:lpstr>
      <vt:lpstr>كشف التوقيع والملخص!Print_Titles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شيت مرتبات وHR 2026 - مصر</dc:title>
  <dc:creator>Payroll 2026 Egypt</dc:creator>
  <dcterms:created xsi:type="dcterms:W3CDTF">2026-08-29T21:11:57Z</dcterms:created>
  <dcterms:modified xsi:type="dcterms:W3CDTF">2026-08-29T21:11:58Z</dcterms:modified>
</cp:coreProperties>
</file>