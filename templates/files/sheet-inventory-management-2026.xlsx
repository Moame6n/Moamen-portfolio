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1000001_{E30157CF-DDE2-6E4A-A1A6-1F3478DCFE55}" xr6:coauthVersionLast="47" xr6:coauthVersionMax="47" xr10:uidLastSave="{00000000-0000-0000-0000-000000000000}"/>
  <bookViews>
    <workbookView xWindow="0" yWindow="0" windowWidth="0" windowHeight="0" activeTab="8" xr2:uid="{00000000-000D-0000-FFFF-FFFF00000000}"/>
  </bookViews>
  <sheets>
    <sheet name="Dashboard" sheetId="1" r:id="rId1"/>
    <sheet name="Lists" sheetId="2" r:id="rId2"/>
    <sheet name="Item Master" sheetId="3" r:id="rId3"/>
    <sheet name="Warehouses" sheetId="4" r:id="rId4"/>
    <sheet name="Purchases" sheetId="5" r:id="rId5"/>
    <sheet name="Issues" sheetId="6" r:id="rId6"/>
    <sheet name="Adjustments" sheetId="7" r:id="rId7"/>
    <sheet name="Valuation" sheetId="8" r:id="rId8"/>
    <sheet name="Stock Count" sheetId="9" r:id="rId9"/>
    <sheet name="Aging" sheetId="10" r:id="rId10"/>
    <sheet name="Reorder" sheetId="11" r:id="rId11"/>
    <sheet name="Stock Card" sheetId="12" r:id="rId12"/>
    <sheet name="Reports" sheetId="13" r:id="rId13"/>
    <sheet name="Guide" sheetId="14" r:id="rId14"/>
    <sheet name="IAS2 Notes" sheetId="15" r:id="rId15"/>
  </sheets>
  <calcPr calcId="191028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8" l="1"/>
  <c r="I4" i="8"/>
  <c r="J4" i="8"/>
  <c r="K4" i="8"/>
  <c r="E5" i="8"/>
  <c r="I5" i="8"/>
  <c r="J5" i="8"/>
  <c r="K5" i="8"/>
  <c r="E6" i="8"/>
  <c r="I6" i="8"/>
  <c r="J6" i="8"/>
  <c r="K6" i="8"/>
  <c r="E7" i="8"/>
  <c r="I7" i="8"/>
  <c r="J7" i="8"/>
  <c r="K7" i="8"/>
  <c r="E8" i="8"/>
  <c r="I8" i="8"/>
  <c r="J8" i="8"/>
  <c r="K8" i="8"/>
  <c r="E9" i="8"/>
  <c r="I9" i="8"/>
  <c r="J9" i="8"/>
  <c r="K9" i="8"/>
  <c r="E10" i="8"/>
  <c r="I10" i="8"/>
  <c r="J10" i="8"/>
  <c r="K10" i="8"/>
  <c r="E11" i="8"/>
  <c r="I11" i="8"/>
  <c r="J11" i="8"/>
  <c r="K11" i="8"/>
  <c r="E12" i="8"/>
  <c r="I12" i="8"/>
  <c r="J12" i="8"/>
  <c r="K12" i="8"/>
  <c r="E13" i="8"/>
  <c r="I13" i="8"/>
  <c r="J13" i="8"/>
  <c r="K13" i="8"/>
  <c r="E14" i="8"/>
  <c r="I14" i="8"/>
  <c r="J14" i="8"/>
  <c r="K14" i="8"/>
  <c r="E15" i="8"/>
  <c r="I15" i="8"/>
  <c r="J15" i="8"/>
  <c r="K15" i="8"/>
  <c r="E16" i="8"/>
  <c r="I16" i="8"/>
  <c r="J16" i="8"/>
  <c r="K16" i="8"/>
  <c r="E17" i="8"/>
  <c r="I17" i="8"/>
  <c r="J17" i="8"/>
  <c r="K17" i="8"/>
  <c r="E18" i="8"/>
  <c r="I18" i="8"/>
  <c r="J18" i="8"/>
  <c r="K18" i="8"/>
  <c r="E19" i="8"/>
  <c r="I19" i="8"/>
  <c r="J19" i="8"/>
  <c r="K19" i="8"/>
  <c r="E20" i="8"/>
  <c r="I20" i="8"/>
  <c r="J20" i="8"/>
  <c r="K20" i="8"/>
  <c r="E21" i="8"/>
  <c r="I21" i="8"/>
  <c r="J21" i="8"/>
  <c r="K21" i="8"/>
  <c r="E22" i="8"/>
  <c r="I22" i="8"/>
  <c r="J22" i="8"/>
  <c r="K22" i="8"/>
  <c r="E23" i="8"/>
  <c r="I23" i="8"/>
  <c r="J23" i="8"/>
  <c r="K23" i="8"/>
  <c r="E24" i="8"/>
  <c r="I24" i="8"/>
  <c r="J24" i="8"/>
  <c r="K24" i="8"/>
  <c r="E25" i="8"/>
  <c r="I25" i="8"/>
  <c r="J25" i="8"/>
  <c r="K25" i="8"/>
  <c r="E26" i="8"/>
  <c r="I26" i="8"/>
  <c r="J26" i="8"/>
  <c r="K26" i="8"/>
  <c r="E27" i="8"/>
  <c r="I27" i="8"/>
  <c r="J27" i="8"/>
  <c r="K27" i="8"/>
  <c r="E28" i="8"/>
  <c r="I28" i="8"/>
  <c r="J28" i="8"/>
  <c r="K28" i="8"/>
  <c r="E29" i="8"/>
  <c r="I29" i="8"/>
  <c r="J29" i="8"/>
  <c r="K29" i="8"/>
  <c r="E30" i="8"/>
  <c r="I30" i="8"/>
  <c r="J30" i="8"/>
  <c r="K30" i="8"/>
  <c r="E31" i="8"/>
  <c r="I31" i="8"/>
  <c r="J31" i="8"/>
  <c r="K31" i="8"/>
  <c r="E32" i="8"/>
  <c r="I32" i="8"/>
  <c r="J32" i="8"/>
  <c r="K32" i="8"/>
  <c r="E33" i="8"/>
  <c r="I33" i="8"/>
  <c r="J33" i="8"/>
  <c r="K33" i="8"/>
  <c r="E34" i="8"/>
  <c r="I34" i="8"/>
  <c r="J34" i="8"/>
  <c r="K34" i="8"/>
  <c r="E35" i="8"/>
  <c r="I35" i="8"/>
  <c r="J35" i="8"/>
  <c r="K35" i="8"/>
  <c r="E36" i="8"/>
  <c r="I36" i="8"/>
  <c r="J36" i="8"/>
  <c r="K36" i="8"/>
  <c r="E37" i="8"/>
  <c r="I37" i="8"/>
  <c r="J37" i="8"/>
  <c r="K37" i="8"/>
  <c r="E38" i="8"/>
  <c r="I38" i="8"/>
  <c r="J38" i="8"/>
  <c r="K38" i="8"/>
  <c r="E39" i="8"/>
  <c r="I39" i="8"/>
  <c r="J39" i="8"/>
  <c r="K39" i="8"/>
  <c r="E40" i="8"/>
  <c r="I40" i="8"/>
  <c r="J40" i="8"/>
  <c r="K40" i="8"/>
  <c r="E41" i="8"/>
  <c r="I41" i="8"/>
  <c r="J41" i="8"/>
  <c r="K41" i="8"/>
  <c r="E42" i="8"/>
  <c r="I42" i="8"/>
  <c r="J42" i="8"/>
  <c r="K42" i="8"/>
  <c r="E43" i="8"/>
  <c r="I43" i="8"/>
  <c r="J43" i="8"/>
  <c r="K43" i="8"/>
  <c r="E44" i="8"/>
  <c r="I44" i="8"/>
  <c r="J44" i="8"/>
  <c r="K44" i="8"/>
  <c r="E45" i="8"/>
  <c r="I45" i="8"/>
  <c r="J45" i="8"/>
  <c r="K45" i="8"/>
  <c r="E46" i="8"/>
  <c r="I46" i="8"/>
  <c r="J46" i="8"/>
  <c r="K46" i="8"/>
  <c r="E47" i="8"/>
  <c r="I47" i="8"/>
  <c r="J47" i="8"/>
  <c r="K47" i="8"/>
  <c r="E48" i="8"/>
  <c r="I48" i="8"/>
  <c r="J48" i="8"/>
  <c r="K48" i="8"/>
  <c r="E49" i="8"/>
  <c r="I49" i="8"/>
  <c r="J49" i="8"/>
  <c r="K49" i="8"/>
  <c r="E50" i="8"/>
  <c r="I50" i="8"/>
  <c r="J50" i="8"/>
  <c r="K50" i="8"/>
  <c r="E51" i="8"/>
  <c r="I51" i="8"/>
  <c r="J51" i="8"/>
  <c r="K51" i="8"/>
  <c r="E52" i="8"/>
  <c r="I52" i="8"/>
  <c r="J52" i="8"/>
  <c r="K52" i="8"/>
  <c r="E53" i="8"/>
  <c r="I53" i="8"/>
  <c r="J53" i="8"/>
  <c r="K53" i="8"/>
  <c r="E54" i="8"/>
  <c r="I54" i="8"/>
  <c r="J54" i="8"/>
  <c r="K54" i="8"/>
  <c r="E55" i="8"/>
  <c r="I55" i="8"/>
  <c r="J55" i="8"/>
  <c r="K55" i="8"/>
  <c r="E56" i="8"/>
  <c r="I56" i="8"/>
  <c r="J56" i="8"/>
  <c r="K56" i="8"/>
  <c r="E57" i="8"/>
  <c r="I57" i="8"/>
  <c r="J57" i="8"/>
  <c r="K57" i="8"/>
  <c r="E58" i="8"/>
  <c r="I58" i="8"/>
  <c r="J58" i="8"/>
  <c r="K58" i="8"/>
  <c r="E59" i="8"/>
  <c r="I59" i="8"/>
  <c r="J59" i="8"/>
  <c r="K59" i="8"/>
  <c r="E60" i="8"/>
  <c r="I60" i="8"/>
  <c r="J60" i="8"/>
  <c r="K60" i="8"/>
  <c r="E61" i="8"/>
  <c r="I61" i="8"/>
  <c r="J61" i="8"/>
  <c r="K61" i="8"/>
  <c r="E62" i="8"/>
  <c r="I62" i="8"/>
  <c r="J62" i="8"/>
  <c r="K62" i="8"/>
  <c r="E63" i="8"/>
  <c r="I63" i="8"/>
  <c r="J63" i="8"/>
  <c r="K63" i="8"/>
  <c r="E64" i="8"/>
  <c r="I64" i="8"/>
  <c r="J64" i="8"/>
  <c r="K64" i="8"/>
  <c r="E65" i="8"/>
  <c r="I65" i="8"/>
  <c r="J65" i="8"/>
  <c r="K65" i="8"/>
  <c r="E66" i="8"/>
  <c r="I66" i="8"/>
  <c r="J66" i="8"/>
  <c r="K66" i="8"/>
  <c r="E67" i="8"/>
  <c r="I67" i="8"/>
  <c r="J67" i="8"/>
  <c r="K67" i="8"/>
  <c r="E68" i="8"/>
  <c r="I68" i="8"/>
  <c r="J68" i="8"/>
  <c r="K68" i="8"/>
  <c r="E69" i="8"/>
  <c r="I69" i="8"/>
  <c r="J69" i="8"/>
  <c r="K69" i="8"/>
  <c r="E70" i="8"/>
  <c r="I70" i="8"/>
  <c r="J70" i="8"/>
  <c r="K70" i="8"/>
  <c r="E71" i="8"/>
  <c r="I71" i="8"/>
  <c r="J71" i="8"/>
  <c r="K71" i="8"/>
  <c r="E72" i="8"/>
  <c r="I72" i="8"/>
  <c r="J72" i="8"/>
  <c r="K72" i="8"/>
  <c r="E73" i="8"/>
  <c r="I73" i="8"/>
  <c r="J73" i="8"/>
  <c r="K73" i="8"/>
  <c r="E74" i="8"/>
  <c r="I74" i="8"/>
  <c r="J74" i="8"/>
  <c r="K74" i="8"/>
  <c r="E75" i="8"/>
  <c r="I75" i="8"/>
  <c r="J75" i="8"/>
  <c r="K75" i="8"/>
  <c r="E76" i="8"/>
  <c r="I76" i="8"/>
  <c r="J76" i="8"/>
  <c r="K76" i="8"/>
  <c r="E77" i="8"/>
  <c r="I77" i="8"/>
  <c r="J77" i="8"/>
  <c r="K77" i="8"/>
  <c r="E78" i="8"/>
  <c r="I78" i="8"/>
  <c r="J78" i="8"/>
  <c r="K78" i="8"/>
  <c r="E79" i="8"/>
  <c r="I79" i="8"/>
  <c r="J79" i="8"/>
  <c r="K79" i="8"/>
  <c r="E80" i="8"/>
  <c r="I80" i="8"/>
  <c r="J80" i="8"/>
  <c r="K80" i="8"/>
  <c r="E81" i="8"/>
  <c r="I81" i="8"/>
  <c r="J81" i="8"/>
  <c r="K81" i="8"/>
  <c r="E82" i="8"/>
  <c r="I82" i="8"/>
  <c r="J82" i="8"/>
  <c r="K82" i="8"/>
  <c r="E83" i="8"/>
  <c r="I83" i="8"/>
  <c r="J83" i="8"/>
  <c r="K83" i="8"/>
  <c r="E84" i="8"/>
  <c r="I84" i="8"/>
  <c r="J84" i="8"/>
  <c r="K84" i="8"/>
  <c r="E85" i="8"/>
  <c r="I85" i="8"/>
  <c r="J85" i="8"/>
  <c r="K85" i="8"/>
  <c r="E86" i="8"/>
  <c r="I86" i="8"/>
  <c r="J86" i="8"/>
  <c r="K86" i="8"/>
  <c r="E87" i="8"/>
  <c r="I87" i="8"/>
  <c r="J87" i="8"/>
  <c r="K87" i="8"/>
  <c r="E88" i="8"/>
  <c r="I88" i="8"/>
  <c r="J88" i="8"/>
  <c r="K88" i="8"/>
  <c r="E89" i="8"/>
  <c r="I89" i="8"/>
  <c r="J89" i="8"/>
  <c r="K89" i="8"/>
  <c r="E90" i="8"/>
  <c r="I90" i="8"/>
  <c r="J90" i="8"/>
  <c r="K90" i="8"/>
  <c r="E91" i="8"/>
  <c r="I91" i="8"/>
  <c r="J91" i="8"/>
  <c r="K91" i="8"/>
  <c r="E92" i="8"/>
  <c r="I92" i="8"/>
  <c r="J92" i="8"/>
  <c r="K92" i="8"/>
  <c r="E93" i="8"/>
  <c r="I93" i="8"/>
  <c r="J93" i="8"/>
  <c r="K93" i="8"/>
  <c r="E94" i="8"/>
  <c r="I94" i="8"/>
  <c r="J94" i="8"/>
  <c r="K94" i="8"/>
  <c r="E95" i="8"/>
  <c r="I95" i="8"/>
  <c r="J95" i="8"/>
  <c r="K95" i="8"/>
  <c r="E96" i="8"/>
  <c r="I96" i="8"/>
  <c r="J96" i="8"/>
  <c r="K96" i="8"/>
  <c r="E97" i="8"/>
  <c r="I97" i="8"/>
  <c r="J97" i="8"/>
  <c r="K97" i="8"/>
  <c r="E98" i="8"/>
  <c r="I98" i="8"/>
  <c r="J98" i="8"/>
  <c r="K98" i="8"/>
  <c r="E99" i="8"/>
  <c r="I99" i="8"/>
  <c r="J99" i="8"/>
  <c r="K99" i="8"/>
  <c r="E100" i="8"/>
  <c r="I100" i="8"/>
  <c r="J100" i="8"/>
  <c r="K100" i="8"/>
  <c r="E101" i="8"/>
  <c r="I101" i="8"/>
  <c r="J101" i="8"/>
  <c r="K101" i="8"/>
  <c r="E102" i="8"/>
  <c r="I102" i="8"/>
  <c r="J102" i="8"/>
  <c r="K102" i="8"/>
  <c r="E103" i="8"/>
  <c r="I103" i="8"/>
  <c r="J103" i="8"/>
  <c r="K103" i="8"/>
  <c r="B8" i="13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B7" i="13"/>
  <c r="H4" i="9"/>
  <c r="J4" i="9"/>
  <c r="H5" i="9"/>
  <c r="J5" i="9"/>
  <c r="H6" i="9"/>
  <c r="J6" i="9"/>
  <c r="H7" i="9"/>
  <c r="J7" i="9"/>
  <c r="H8" i="9"/>
  <c r="J8" i="9"/>
  <c r="H9" i="9"/>
  <c r="J9" i="9"/>
  <c r="H10" i="9"/>
  <c r="J10" i="9"/>
  <c r="H11" i="9"/>
  <c r="J11" i="9"/>
  <c r="H12" i="9"/>
  <c r="J12" i="9"/>
  <c r="H13" i="9"/>
  <c r="J13" i="9"/>
  <c r="H14" i="9"/>
  <c r="J14" i="9"/>
  <c r="H15" i="9"/>
  <c r="J15" i="9"/>
  <c r="H16" i="9"/>
  <c r="J16" i="9"/>
  <c r="H17" i="9"/>
  <c r="J17" i="9"/>
  <c r="H18" i="9"/>
  <c r="J18" i="9"/>
  <c r="H19" i="9"/>
  <c r="J19" i="9"/>
  <c r="H20" i="9"/>
  <c r="J20" i="9"/>
  <c r="H21" i="9"/>
  <c r="J21" i="9"/>
  <c r="H22" i="9"/>
  <c r="J22" i="9"/>
  <c r="H23" i="9"/>
  <c r="J23" i="9"/>
  <c r="H24" i="9"/>
  <c r="J24" i="9"/>
  <c r="H25" i="9"/>
  <c r="J25" i="9"/>
  <c r="H26" i="9"/>
  <c r="J26" i="9"/>
  <c r="H27" i="9"/>
  <c r="J27" i="9"/>
  <c r="H28" i="9"/>
  <c r="J28" i="9"/>
  <c r="H29" i="9"/>
  <c r="J29" i="9"/>
  <c r="H30" i="9"/>
  <c r="J30" i="9"/>
  <c r="H31" i="9"/>
  <c r="J31" i="9"/>
  <c r="H32" i="9"/>
  <c r="J32" i="9"/>
  <c r="H33" i="9"/>
  <c r="J33" i="9"/>
  <c r="H34" i="9"/>
  <c r="J34" i="9"/>
  <c r="H35" i="9"/>
  <c r="J35" i="9"/>
  <c r="H36" i="9"/>
  <c r="J36" i="9"/>
  <c r="H37" i="9"/>
  <c r="J37" i="9"/>
  <c r="H38" i="9"/>
  <c r="J38" i="9"/>
  <c r="H39" i="9"/>
  <c r="J39" i="9"/>
  <c r="H40" i="9"/>
  <c r="J40" i="9"/>
  <c r="H41" i="9"/>
  <c r="J41" i="9"/>
  <c r="H42" i="9"/>
  <c r="J42" i="9"/>
  <c r="H43" i="9"/>
  <c r="J43" i="9"/>
  <c r="H44" i="9"/>
  <c r="J44" i="9"/>
  <c r="H45" i="9"/>
  <c r="J45" i="9"/>
  <c r="H46" i="9"/>
  <c r="J46" i="9"/>
  <c r="H47" i="9"/>
  <c r="J47" i="9"/>
  <c r="H48" i="9"/>
  <c r="J48" i="9"/>
  <c r="H49" i="9"/>
  <c r="J49" i="9"/>
  <c r="H50" i="9"/>
  <c r="J50" i="9"/>
  <c r="H51" i="9"/>
  <c r="J51" i="9"/>
  <c r="H52" i="9"/>
  <c r="J52" i="9"/>
  <c r="H53" i="9"/>
  <c r="J53" i="9"/>
  <c r="H54" i="9"/>
  <c r="J54" i="9"/>
  <c r="H55" i="9"/>
  <c r="J55" i="9"/>
  <c r="H56" i="9"/>
  <c r="J56" i="9"/>
  <c r="H57" i="9"/>
  <c r="J57" i="9"/>
  <c r="H58" i="9"/>
  <c r="J58" i="9"/>
  <c r="H59" i="9"/>
  <c r="J59" i="9"/>
  <c r="H60" i="9"/>
  <c r="J60" i="9"/>
  <c r="H61" i="9"/>
  <c r="J61" i="9"/>
  <c r="H62" i="9"/>
  <c r="J62" i="9"/>
  <c r="H63" i="9"/>
  <c r="J63" i="9"/>
  <c r="H64" i="9"/>
  <c r="J64" i="9"/>
  <c r="H65" i="9"/>
  <c r="J65" i="9"/>
  <c r="H66" i="9"/>
  <c r="J66" i="9"/>
  <c r="H67" i="9"/>
  <c r="J67" i="9"/>
  <c r="H68" i="9"/>
  <c r="J68" i="9"/>
  <c r="H69" i="9"/>
  <c r="J69" i="9"/>
  <c r="H70" i="9"/>
  <c r="J70" i="9"/>
  <c r="H71" i="9"/>
  <c r="J71" i="9"/>
  <c r="H72" i="9"/>
  <c r="J72" i="9"/>
  <c r="H73" i="9"/>
  <c r="J73" i="9"/>
  <c r="H74" i="9"/>
  <c r="J74" i="9"/>
  <c r="H75" i="9"/>
  <c r="J75" i="9"/>
  <c r="H76" i="9"/>
  <c r="J76" i="9"/>
  <c r="H77" i="9"/>
  <c r="J77" i="9"/>
  <c r="H78" i="9"/>
  <c r="J78" i="9"/>
  <c r="H79" i="9"/>
  <c r="J79" i="9"/>
  <c r="H80" i="9"/>
  <c r="J80" i="9"/>
  <c r="H81" i="9"/>
  <c r="J81" i="9"/>
  <c r="H82" i="9"/>
  <c r="J82" i="9"/>
  <c r="H83" i="9"/>
  <c r="J83" i="9"/>
  <c r="H84" i="9"/>
  <c r="J84" i="9"/>
  <c r="H85" i="9"/>
  <c r="J85" i="9"/>
  <c r="H86" i="9"/>
  <c r="J86" i="9"/>
  <c r="H87" i="9"/>
  <c r="J87" i="9"/>
  <c r="H88" i="9"/>
  <c r="J88" i="9"/>
  <c r="H89" i="9"/>
  <c r="J89" i="9"/>
  <c r="H90" i="9"/>
  <c r="J90" i="9"/>
  <c r="H91" i="9"/>
  <c r="J91" i="9"/>
  <c r="H92" i="9"/>
  <c r="J92" i="9"/>
  <c r="H93" i="9"/>
  <c r="J93" i="9"/>
  <c r="H94" i="9"/>
  <c r="J94" i="9"/>
  <c r="H95" i="9"/>
  <c r="J95" i="9"/>
  <c r="H96" i="9"/>
  <c r="J96" i="9"/>
  <c r="H97" i="9"/>
  <c r="J97" i="9"/>
  <c r="H98" i="9"/>
  <c r="J98" i="9"/>
  <c r="H99" i="9"/>
  <c r="J99" i="9"/>
  <c r="H100" i="9"/>
  <c r="J100" i="9"/>
  <c r="H101" i="9"/>
  <c r="J101" i="9"/>
  <c r="H102" i="9"/>
  <c r="J102" i="9"/>
  <c r="H103" i="9"/>
  <c r="J103" i="9"/>
  <c r="B6" i="13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B5" i="13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B4" i="13"/>
  <c r="G109" i="12"/>
  <c r="J109" i="12"/>
  <c r="I109" i="12"/>
  <c r="G108" i="12"/>
  <c r="J108" i="12"/>
  <c r="I108" i="12"/>
  <c r="G107" i="12"/>
  <c r="J107" i="12"/>
  <c r="I107" i="12"/>
  <c r="G106" i="12"/>
  <c r="J106" i="12"/>
  <c r="I106" i="12"/>
  <c r="G105" i="12"/>
  <c r="J105" i="12"/>
  <c r="I105" i="12"/>
  <c r="G104" i="12"/>
  <c r="J104" i="12"/>
  <c r="I104" i="12"/>
  <c r="G103" i="12"/>
  <c r="J103" i="12"/>
  <c r="I103" i="12"/>
  <c r="G102" i="12"/>
  <c r="J102" i="12"/>
  <c r="I102" i="12"/>
  <c r="G101" i="12"/>
  <c r="J101" i="12"/>
  <c r="I101" i="12"/>
  <c r="G100" i="12"/>
  <c r="J100" i="12"/>
  <c r="I100" i="12"/>
  <c r="G99" i="12"/>
  <c r="J99" i="12"/>
  <c r="I99" i="12"/>
  <c r="G98" i="12"/>
  <c r="J98" i="12"/>
  <c r="I98" i="12"/>
  <c r="G97" i="12"/>
  <c r="J97" i="12"/>
  <c r="I97" i="12"/>
  <c r="G96" i="12"/>
  <c r="J96" i="12"/>
  <c r="I96" i="12"/>
  <c r="G95" i="12"/>
  <c r="J95" i="12"/>
  <c r="I95" i="12"/>
  <c r="G94" i="12"/>
  <c r="J94" i="12"/>
  <c r="I94" i="12"/>
  <c r="G93" i="12"/>
  <c r="J93" i="12"/>
  <c r="I93" i="12"/>
  <c r="G92" i="12"/>
  <c r="J92" i="12"/>
  <c r="I92" i="12"/>
  <c r="G91" i="12"/>
  <c r="J91" i="12"/>
  <c r="I91" i="12"/>
  <c r="G90" i="12"/>
  <c r="J90" i="12"/>
  <c r="I90" i="12"/>
  <c r="G89" i="12"/>
  <c r="J89" i="12"/>
  <c r="I89" i="12"/>
  <c r="G88" i="12"/>
  <c r="J88" i="12"/>
  <c r="I88" i="12"/>
  <c r="G87" i="12"/>
  <c r="J87" i="12"/>
  <c r="I87" i="12"/>
  <c r="G86" i="12"/>
  <c r="J86" i="12"/>
  <c r="I86" i="12"/>
  <c r="G85" i="12"/>
  <c r="J85" i="12"/>
  <c r="I85" i="12"/>
  <c r="G84" i="12"/>
  <c r="J84" i="12"/>
  <c r="I84" i="12"/>
  <c r="G83" i="12"/>
  <c r="J83" i="12"/>
  <c r="I83" i="12"/>
  <c r="G82" i="12"/>
  <c r="J82" i="12"/>
  <c r="I82" i="12"/>
  <c r="G81" i="12"/>
  <c r="J81" i="12"/>
  <c r="I81" i="12"/>
  <c r="G80" i="12"/>
  <c r="J80" i="12"/>
  <c r="I80" i="12"/>
  <c r="G79" i="12"/>
  <c r="J79" i="12"/>
  <c r="I79" i="12"/>
  <c r="G78" i="12"/>
  <c r="J78" i="12"/>
  <c r="I78" i="12"/>
  <c r="G77" i="12"/>
  <c r="J77" i="12"/>
  <c r="I77" i="12"/>
  <c r="G76" i="12"/>
  <c r="J76" i="12"/>
  <c r="I76" i="12"/>
  <c r="G75" i="12"/>
  <c r="J75" i="12"/>
  <c r="I75" i="12"/>
  <c r="G74" i="12"/>
  <c r="J74" i="12"/>
  <c r="I74" i="12"/>
  <c r="G73" i="12"/>
  <c r="J73" i="12"/>
  <c r="I73" i="12"/>
  <c r="G72" i="12"/>
  <c r="J72" i="12"/>
  <c r="I72" i="12"/>
  <c r="G71" i="12"/>
  <c r="J71" i="12"/>
  <c r="I71" i="12"/>
  <c r="G70" i="12"/>
  <c r="J70" i="12"/>
  <c r="I70" i="12"/>
  <c r="G69" i="12"/>
  <c r="J69" i="12"/>
  <c r="I69" i="12"/>
  <c r="G68" i="12"/>
  <c r="J68" i="12"/>
  <c r="I68" i="12"/>
  <c r="G67" i="12"/>
  <c r="J67" i="12"/>
  <c r="I67" i="12"/>
  <c r="G66" i="12"/>
  <c r="J66" i="12"/>
  <c r="I66" i="12"/>
  <c r="G65" i="12"/>
  <c r="J65" i="12"/>
  <c r="I65" i="12"/>
  <c r="G64" i="12"/>
  <c r="J64" i="12"/>
  <c r="I64" i="12"/>
  <c r="G63" i="12"/>
  <c r="J63" i="12"/>
  <c r="I63" i="12"/>
  <c r="G62" i="12"/>
  <c r="J62" i="12"/>
  <c r="I62" i="12"/>
  <c r="G61" i="12"/>
  <c r="J61" i="12"/>
  <c r="I61" i="12"/>
  <c r="G60" i="12"/>
  <c r="J60" i="12"/>
  <c r="I60" i="12"/>
  <c r="G59" i="12"/>
  <c r="J59" i="12"/>
  <c r="I59" i="12"/>
  <c r="G58" i="12"/>
  <c r="J58" i="12"/>
  <c r="I58" i="12"/>
  <c r="G57" i="12"/>
  <c r="J57" i="12"/>
  <c r="I57" i="12"/>
  <c r="G56" i="12"/>
  <c r="J56" i="12"/>
  <c r="I56" i="12"/>
  <c r="G55" i="12"/>
  <c r="J55" i="12"/>
  <c r="I55" i="12"/>
  <c r="G54" i="12"/>
  <c r="J54" i="12"/>
  <c r="I54" i="12"/>
  <c r="G53" i="12"/>
  <c r="J53" i="12"/>
  <c r="I53" i="12"/>
  <c r="G52" i="12"/>
  <c r="J52" i="12"/>
  <c r="I52" i="12"/>
  <c r="G51" i="12"/>
  <c r="J51" i="12"/>
  <c r="I51" i="12"/>
  <c r="G50" i="12"/>
  <c r="J50" i="12"/>
  <c r="I50" i="12"/>
  <c r="G49" i="12"/>
  <c r="J49" i="12"/>
  <c r="I49" i="12"/>
  <c r="G48" i="12"/>
  <c r="J48" i="12"/>
  <c r="I48" i="12"/>
  <c r="G47" i="12"/>
  <c r="J47" i="12"/>
  <c r="I47" i="12"/>
  <c r="G46" i="12"/>
  <c r="J46" i="12"/>
  <c r="I46" i="12"/>
  <c r="G45" i="12"/>
  <c r="J45" i="12"/>
  <c r="I45" i="12"/>
  <c r="G44" i="12"/>
  <c r="J44" i="12"/>
  <c r="I44" i="12"/>
  <c r="G43" i="12"/>
  <c r="J43" i="12"/>
  <c r="I43" i="12"/>
  <c r="G42" i="12"/>
  <c r="J42" i="12"/>
  <c r="I42" i="12"/>
  <c r="G41" i="12"/>
  <c r="J41" i="12"/>
  <c r="I41" i="12"/>
  <c r="G40" i="12"/>
  <c r="J40" i="12"/>
  <c r="I40" i="12"/>
  <c r="G39" i="12"/>
  <c r="J39" i="12"/>
  <c r="I39" i="12"/>
  <c r="G38" i="12"/>
  <c r="J38" i="12"/>
  <c r="I38" i="12"/>
  <c r="G37" i="12"/>
  <c r="J37" i="12"/>
  <c r="I37" i="12"/>
  <c r="G36" i="12"/>
  <c r="J36" i="12"/>
  <c r="I36" i="12"/>
  <c r="G35" i="12"/>
  <c r="J35" i="12"/>
  <c r="I35" i="12"/>
  <c r="G34" i="12"/>
  <c r="J34" i="12"/>
  <c r="I34" i="12"/>
  <c r="G33" i="12"/>
  <c r="J33" i="12"/>
  <c r="I33" i="12"/>
  <c r="G32" i="12"/>
  <c r="J32" i="12"/>
  <c r="I32" i="12"/>
  <c r="G31" i="12"/>
  <c r="J31" i="12"/>
  <c r="I31" i="12"/>
  <c r="G30" i="12"/>
  <c r="J30" i="12"/>
  <c r="I30" i="12"/>
  <c r="G29" i="12"/>
  <c r="J29" i="12"/>
  <c r="I29" i="12"/>
  <c r="G28" i="12"/>
  <c r="J28" i="12"/>
  <c r="I28" i="12"/>
  <c r="G27" i="12"/>
  <c r="J27" i="12"/>
  <c r="I27" i="12"/>
  <c r="G26" i="12"/>
  <c r="J26" i="12"/>
  <c r="I26" i="12"/>
  <c r="G25" i="12"/>
  <c r="J25" i="12"/>
  <c r="I25" i="12"/>
  <c r="G24" i="12"/>
  <c r="J24" i="12"/>
  <c r="I24" i="12"/>
  <c r="G23" i="12"/>
  <c r="J23" i="12"/>
  <c r="I23" i="12"/>
  <c r="G22" i="12"/>
  <c r="J22" i="12"/>
  <c r="I22" i="12"/>
  <c r="G21" i="12"/>
  <c r="J21" i="12"/>
  <c r="I21" i="12"/>
  <c r="G20" i="12"/>
  <c r="J20" i="12"/>
  <c r="I20" i="12"/>
  <c r="G19" i="12"/>
  <c r="J19" i="12"/>
  <c r="I19" i="12"/>
  <c r="G18" i="12"/>
  <c r="J18" i="12"/>
  <c r="I18" i="12"/>
  <c r="G17" i="12"/>
  <c r="J17" i="12"/>
  <c r="I17" i="12"/>
  <c r="G16" i="12"/>
  <c r="J16" i="12"/>
  <c r="I16" i="12"/>
  <c r="G15" i="12"/>
  <c r="J15" i="12"/>
  <c r="I15" i="12"/>
  <c r="G14" i="12"/>
  <c r="J14" i="12"/>
  <c r="I14" i="12"/>
  <c r="G13" i="12"/>
  <c r="J13" i="12"/>
  <c r="I13" i="12"/>
  <c r="G12" i="12"/>
  <c r="J12" i="12"/>
  <c r="I12" i="12"/>
  <c r="G11" i="12"/>
  <c r="J11" i="12"/>
  <c r="I11" i="12"/>
  <c r="G10" i="12"/>
  <c r="J10" i="12"/>
  <c r="I10" i="12"/>
  <c r="J103" i="11"/>
  <c r="H103" i="11"/>
  <c r="G103" i="11"/>
  <c r="J102" i="11"/>
  <c r="H102" i="11"/>
  <c r="G102" i="11"/>
  <c r="J101" i="11"/>
  <c r="H101" i="11"/>
  <c r="G101" i="11"/>
  <c r="J100" i="11"/>
  <c r="H100" i="11"/>
  <c r="G100" i="11"/>
  <c r="J99" i="11"/>
  <c r="H99" i="11"/>
  <c r="G99" i="11"/>
  <c r="J98" i="11"/>
  <c r="H98" i="11"/>
  <c r="G98" i="11"/>
  <c r="J97" i="11"/>
  <c r="H97" i="11"/>
  <c r="G97" i="11"/>
  <c r="J96" i="11"/>
  <c r="H96" i="11"/>
  <c r="G96" i="11"/>
  <c r="J95" i="11"/>
  <c r="H95" i="11"/>
  <c r="G95" i="11"/>
  <c r="J94" i="11"/>
  <c r="H94" i="11"/>
  <c r="G94" i="11"/>
  <c r="J93" i="11"/>
  <c r="H93" i="11"/>
  <c r="G93" i="11"/>
  <c r="J92" i="11"/>
  <c r="H92" i="11"/>
  <c r="G92" i="11"/>
  <c r="J91" i="11"/>
  <c r="H91" i="11"/>
  <c r="G91" i="11"/>
  <c r="J90" i="11"/>
  <c r="H90" i="11"/>
  <c r="G90" i="11"/>
  <c r="J89" i="11"/>
  <c r="H89" i="11"/>
  <c r="G89" i="11"/>
  <c r="J88" i="11"/>
  <c r="H88" i="11"/>
  <c r="G88" i="11"/>
  <c r="J87" i="11"/>
  <c r="H87" i="11"/>
  <c r="G87" i="11"/>
  <c r="J86" i="11"/>
  <c r="H86" i="11"/>
  <c r="G86" i="11"/>
  <c r="J85" i="11"/>
  <c r="H85" i="11"/>
  <c r="G85" i="11"/>
  <c r="J84" i="11"/>
  <c r="H84" i="11"/>
  <c r="G84" i="11"/>
  <c r="J83" i="11"/>
  <c r="H83" i="11"/>
  <c r="G83" i="11"/>
  <c r="J82" i="11"/>
  <c r="H82" i="11"/>
  <c r="G82" i="11"/>
  <c r="J81" i="11"/>
  <c r="H81" i="11"/>
  <c r="G81" i="11"/>
  <c r="J80" i="11"/>
  <c r="H80" i="11"/>
  <c r="G80" i="11"/>
  <c r="J79" i="11"/>
  <c r="H79" i="11"/>
  <c r="G79" i="11"/>
  <c r="J78" i="11"/>
  <c r="H78" i="11"/>
  <c r="G78" i="11"/>
  <c r="J77" i="11"/>
  <c r="H77" i="11"/>
  <c r="G77" i="11"/>
  <c r="J76" i="11"/>
  <c r="H76" i="11"/>
  <c r="G76" i="11"/>
  <c r="J75" i="11"/>
  <c r="H75" i="11"/>
  <c r="G75" i="11"/>
  <c r="J74" i="11"/>
  <c r="H74" i="11"/>
  <c r="G74" i="11"/>
  <c r="J73" i="11"/>
  <c r="H73" i="11"/>
  <c r="G73" i="11"/>
  <c r="J72" i="11"/>
  <c r="H72" i="11"/>
  <c r="G72" i="11"/>
  <c r="J71" i="11"/>
  <c r="H71" i="11"/>
  <c r="G71" i="11"/>
  <c r="J70" i="11"/>
  <c r="H70" i="11"/>
  <c r="G70" i="11"/>
  <c r="J69" i="11"/>
  <c r="H69" i="11"/>
  <c r="G69" i="11"/>
  <c r="J68" i="11"/>
  <c r="H68" i="11"/>
  <c r="G68" i="11"/>
  <c r="J67" i="11"/>
  <c r="H67" i="11"/>
  <c r="G67" i="11"/>
  <c r="J66" i="11"/>
  <c r="H66" i="11"/>
  <c r="G66" i="11"/>
  <c r="J65" i="11"/>
  <c r="H65" i="11"/>
  <c r="G65" i="11"/>
  <c r="J64" i="11"/>
  <c r="H64" i="11"/>
  <c r="G64" i="11"/>
  <c r="J63" i="11"/>
  <c r="H63" i="11"/>
  <c r="G63" i="11"/>
  <c r="J62" i="11"/>
  <c r="H62" i="11"/>
  <c r="G62" i="11"/>
  <c r="J61" i="11"/>
  <c r="H61" i="11"/>
  <c r="G61" i="11"/>
  <c r="J60" i="11"/>
  <c r="H60" i="11"/>
  <c r="G60" i="11"/>
  <c r="J59" i="11"/>
  <c r="H59" i="11"/>
  <c r="G59" i="11"/>
  <c r="J58" i="11"/>
  <c r="H58" i="11"/>
  <c r="G58" i="11"/>
  <c r="J57" i="11"/>
  <c r="H57" i="11"/>
  <c r="G57" i="11"/>
  <c r="J56" i="11"/>
  <c r="H56" i="11"/>
  <c r="G56" i="11"/>
  <c r="J55" i="11"/>
  <c r="H55" i="11"/>
  <c r="G55" i="11"/>
  <c r="J54" i="11"/>
  <c r="H54" i="11"/>
  <c r="G54" i="11"/>
  <c r="J53" i="11"/>
  <c r="H53" i="11"/>
  <c r="G53" i="11"/>
  <c r="J52" i="11"/>
  <c r="H52" i="11"/>
  <c r="G52" i="11"/>
  <c r="J51" i="11"/>
  <c r="H51" i="11"/>
  <c r="G51" i="11"/>
  <c r="J50" i="11"/>
  <c r="H50" i="11"/>
  <c r="G50" i="11"/>
  <c r="J49" i="11"/>
  <c r="H49" i="11"/>
  <c r="G49" i="11"/>
  <c r="J48" i="11"/>
  <c r="H48" i="11"/>
  <c r="G48" i="11"/>
  <c r="J47" i="11"/>
  <c r="H47" i="11"/>
  <c r="G47" i="11"/>
  <c r="J46" i="11"/>
  <c r="H46" i="11"/>
  <c r="G46" i="11"/>
  <c r="J45" i="11"/>
  <c r="H45" i="11"/>
  <c r="G45" i="11"/>
  <c r="J44" i="11"/>
  <c r="H44" i="11"/>
  <c r="G44" i="11"/>
  <c r="J43" i="11"/>
  <c r="H43" i="11"/>
  <c r="G43" i="11"/>
  <c r="J42" i="11"/>
  <c r="H42" i="11"/>
  <c r="G42" i="11"/>
  <c r="J41" i="11"/>
  <c r="H41" i="11"/>
  <c r="G41" i="11"/>
  <c r="J40" i="11"/>
  <c r="H40" i="11"/>
  <c r="G40" i="11"/>
  <c r="J39" i="11"/>
  <c r="H39" i="11"/>
  <c r="G39" i="11"/>
  <c r="J38" i="11"/>
  <c r="H38" i="11"/>
  <c r="G38" i="11"/>
  <c r="J37" i="11"/>
  <c r="H37" i="11"/>
  <c r="G37" i="11"/>
  <c r="J36" i="11"/>
  <c r="H36" i="11"/>
  <c r="G36" i="11"/>
  <c r="J35" i="11"/>
  <c r="H35" i="11"/>
  <c r="G35" i="11"/>
  <c r="J34" i="11"/>
  <c r="H34" i="11"/>
  <c r="G34" i="11"/>
  <c r="J33" i="11"/>
  <c r="H33" i="11"/>
  <c r="G33" i="11"/>
  <c r="J32" i="11"/>
  <c r="H32" i="11"/>
  <c r="G32" i="11"/>
  <c r="J31" i="11"/>
  <c r="H31" i="11"/>
  <c r="G31" i="11"/>
  <c r="J30" i="11"/>
  <c r="H30" i="11"/>
  <c r="G30" i="11"/>
  <c r="J29" i="11"/>
  <c r="H29" i="11"/>
  <c r="G29" i="11"/>
  <c r="J28" i="11"/>
  <c r="H28" i="11"/>
  <c r="G28" i="11"/>
  <c r="J27" i="11"/>
  <c r="H27" i="11"/>
  <c r="G27" i="11"/>
  <c r="J26" i="11"/>
  <c r="H26" i="11"/>
  <c r="G26" i="11"/>
  <c r="J25" i="11"/>
  <c r="H25" i="11"/>
  <c r="G25" i="11"/>
  <c r="J24" i="11"/>
  <c r="H24" i="11"/>
  <c r="G24" i="11"/>
  <c r="J23" i="11"/>
  <c r="H23" i="11"/>
  <c r="G23" i="11"/>
  <c r="J22" i="11"/>
  <c r="H22" i="11"/>
  <c r="G22" i="11"/>
  <c r="J21" i="11"/>
  <c r="H21" i="11"/>
  <c r="G21" i="11"/>
  <c r="J20" i="11"/>
  <c r="H20" i="11"/>
  <c r="G20" i="11"/>
  <c r="J19" i="11"/>
  <c r="H19" i="11"/>
  <c r="G19" i="11"/>
  <c r="J18" i="11"/>
  <c r="H18" i="11"/>
  <c r="G18" i="11"/>
  <c r="J17" i="11"/>
  <c r="H17" i="11"/>
  <c r="G17" i="11"/>
  <c r="J16" i="11"/>
  <c r="H16" i="11"/>
  <c r="G16" i="11"/>
  <c r="J15" i="11"/>
  <c r="H15" i="11"/>
  <c r="G15" i="11"/>
  <c r="J14" i="11"/>
  <c r="H14" i="11"/>
  <c r="G14" i="11"/>
  <c r="J13" i="11"/>
  <c r="H13" i="11"/>
  <c r="G13" i="11"/>
  <c r="J12" i="11"/>
  <c r="H12" i="11"/>
  <c r="G12" i="11"/>
  <c r="J11" i="11"/>
  <c r="H11" i="11"/>
  <c r="G11" i="11"/>
  <c r="J10" i="11"/>
  <c r="H10" i="11"/>
  <c r="G10" i="11"/>
  <c r="J9" i="11"/>
  <c r="H9" i="11"/>
  <c r="G9" i="11"/>
  <c r="J8" i="11"/>
  <c r="H8" i="11"/>
  <c r="G8" i="11"/>
  <c r="J7" i="11"/>
  <c r="H7" i="11"/>
  <c r="G7" i="11"/>
  <c r="J6" i="11"/>
  <c r="H6" i="11"/>
  <c r="G6" i="11"/>
  <c r="J5" i="11"/>
  <c r="H5" i="11"/>
  <c r="G5" i="11"/>
  <c r="J4" i="11"/>
  <c r="H4" i="11"/>
  <c r="G4" i="11"/>
  <c r="G103" i="10"/>
  <c r="I103" i="10"/>
  <c r="H103" i="10"/>
  <c r="F103" i="10"/>
  <c r="G102" i="10"/>
  <c r="I102" i="10"/>
  <c r="H102" i="10"/>
  <c r="F102" i="10"/>
  <c r="G101" i="10"/>
  <c r="I101" i="10"/>
  <c r="H101" i="10"/>
  <c r="F101" i="10"/>
  <c r="G100" i="10"/>
  <c r="I100" i="10"/>
  <c r="H100" i="10"/>
  <c r="F100" i="10"/>
  <c r="G99" i="10"/>
  <c r="I99" i="10"/>
  <c r="H99" i="10"/>
  <c r="F99" i="10"/>
  <c r="G98" i="10"/>
  <c r="I98" i="10"/>
  <c r="H98" i="10"/>
  <c r="F98" i="10"/>
  <c r="G97" i="10"/>
  <c r="I97" i="10"/>
  <c r="H97" i="10"/>
  <c r="F97" i="10"/>
  <c r="G96" i="10"/>
  <c r="I96" i="10"/>
  <c r="H96" i="10"/>
  <c r="F96" i="10"/>
  <c r="G95" i="10"/>
  <c r="I95" i="10"/>
  <c r="H95" i="10"/>
  <c r="F95" i="10"/>
  <c r="G94" i="10"/>
  <c r="I94" i="10"/>
  <c r="H94" i="10"/>
  <c r="F94" i="10"/>
  <c r="G93" i="10"/>
  <c r="I93" i="10"/>
  <c r="H93" i="10"/>
  <c r="F93" i="10"/>
  <c r="G92" i="10"/>
  <c r="I92" i="10"/>
  <c r="H92" i="10"/>
  <c r="F92" i="10"/>
  <c r="G91" i="10"/>
  <c r="I91" i="10"/>
  <c r="H91" i="10"/>
  <c r="F91" i="10"/>
  <c r="G90" i="10"/>
  <c r="I90" i="10"/>
  <c r="H90" i="10"/>
  <c r="F90" i="10"/>
  <c r="G89" i="10"/>
  <c r="I89" i="10"/>
  <c r="H89" i="10"/>
  <c r="F89" i="10"/>
  <c r="G88" i="10"/>
  <c r="I88" i="10"/>
  <c r="H88" i="10"/>
  <c r="F88" i="10"/>
  <c r="G87" i="10"/>
  <c r="I87" i="10"/>
  <c r="H87" i="10"/>
  <c r="F87" i="10"/>
  <c r="G86" i="10"/>
  <c r="I86" i="10"/>
  <c r="H86" i="10"/>
  <c r="F86" i="10"/>
  <c r="G85" i="10"/>
  <c r="I85" i="10"/>
  <c r="H85" i="10"/>
  <c r="F85" i="10"/>
  <c r="G84" i="10"/>
  <c r="I84" i="10"/>
  <c r="H84" i="10"/>
  <c r="F84" i="10"/>
  <c r="G83" i="10"/>
  <c r="I83" i="10"/>
  <c r="H83" i="10"/>
  <c r="F83" i="10"/>
  <c r="G82" i="10"/>
  <c r="I82" i="10"/>
  <c r="H82" i="10"/>
  <c r="F82" i="10"/>
  <c r="G81" i="10"/>
  <c r="I81" i="10"/>
  <c r="H81" i="10"/>
  <c r="F81" i="10"/>
  <c r="G80" i="10"/>
  <c r="I80" i="10"/>
  <c r="H80" i="10"/>
  <c r="F80" i="10"/>
  <c r="G79" i="10"/>
  <c r="I79" i="10"/>
  <c r="H79" i="10"/>
  <c r="F79" i="10"/>
  <c r="G78" i="10"/>
  <c r="I78" i="10"/>
  <c r="H78" i="10"/>
  <c r="F78" i="10"/>
  <c r="G77" i="10"/>
  <c r="I77" i="10"/>
  <c r="H77" i="10"/>
  <c r="F77" i="10"/>
  <c r="G76" i="10"/>
  <c r="I76" i="10"/>
  <c r="H76" i="10"/>
  <c r="F76" i="10"/>
  <c r="G75" i="10"/>
  <c r="I75" i="10"/>
  <c r="H75" i="10"/>
  <c r="F75" i="10"/>
  <c r="G74" i="10"/>
  <c r="I74" i="10"/>
  <c r="H74" i="10"/>
  <c r="F74" i="10"/>
  <c r="G73" i="10"/>
  <c r="I73" i="10"/>
  <c r="H73" i="10"/>
  <c r="F73" i="10"/>
  <c r="G72" i="10"/>
  <c r="I72" i="10"/>
  <c r="H72" i="10"/>
  <c r="F72" i="10"/>
  <c r="G71" i="10"/>
  <c r="I71" i="10"/>
  <c r="H71" i="10"/>
  <c r="F71" i="10"/>
  <c r="G70" i="10"/>
  <c r="I70" i="10"/>
  <c r="H70" i="10"/>
  <c r="F70" i="10"/>
  <c r="G69" i="10"/>
  <c r="I69" i="10"/>
  <c r="H69" i="10"/>
  <c r="F69" i="10"/>
  <c r="G68" i="10"/>
  <c r="I68" i="10"/>
  <c r="H68" i="10"/>
  <c r="F68" i="10"/>
  <c r="G67" i="10"/>
  <c r="I67" i="10"/>
  <c r="H67" i="10"/>
  <c r="F67" i="10"/>
  <c r="G66" i="10"/>
  <c r="I66" i="10"/>
  <c r="H66" i="10"/>
  <c r="F66" i="10"/>
  <c r="G65" i="10"/>
  <c r="I65" i="10"/>
  <c r="H65" i="10"/>
  <c r="F65" i="10"/>
  <c r="G64" i="10"/>
  <c r="I64" i="10"/>
  <c r="H64" i="10"/>
  <c r="F64" i="10"/>
  <c r="G63" i="10"/>
  <c r="I63" i="10"/>
  <c r="H63" i="10"/>
  <c r="F63" i="10"/>
  <c r="G62" i="10"/>
  <c r="I62" i="10"/>
  <c r="H62" i="10"/>
  <c r="F62" i="10"/>
  <c r="G61" i="10"/>
  <c r="I61" i="10"/>
  <c r="H61" i="10"/>
  <c r="F61" i="10"/>
  <c r="G60" i="10"/>
  <c r="I60" i="10"/>
  <c r="H60" i="10"/>
  <c r="F60" i="10"/>
  <c r="G59" i="10"/>
  <c r="I59" i="10"/>
  <c r="H59" i="10"/>
  <c r="F59" i="10"/>
  <c r="G58" i="10"/>
  <c r="I58" i="10"/>
  <c r="H58" i="10"/>
  <c r="F58" i="10"/>
  <c r="G57" i="10"/>
  <c r="I57" i="10"/>
  <c r="H57" i="10"/>
  <c r="F57" i="10"/>
  <c r="G56" i="10"/>
  <c r="I56" i="10"/>
  <c r="H56" i="10"/>
  <c r="F56" i="10"/>
  <c r="G55" i="10"/>
  <c r="I55" i="10"/>
  <c r="H55" i="10"/>
  <c r="F55" i="10"/>
  <c r="G54" i="10"/>
  <c r="I54" i="10"/>
  <c r="H54" i="10"/>
  <c r="F54" i="10"/>
  <c r="G53" i="10"/>
  <c r="I53" i="10"/>
  <c r="H53" i="10"/>
  <c r="F53" i="10"/>
  <c r="G52" i="10"/>
  <c r="I52" i="10"/>
  <c r="H52" i="10"/>
  <c r="F52" i="10"/>
  <c r="G51" i="10"/>
  <c r="I51" i="10"/>
  <c r="H51" i="10"/>
  <c r="F51" i="10"/>
  <c r="G50" i="10"/>
  <c r="I50" i="10"/>
  <c r="H50" i="10"/>
  <c r="F50" i="10"/>
  <c r="G49" i="10"/>
  <c r="I49" i="10"/>
  <c r="H49" i="10"/>
  <c r="F49" i="10"/>
  <c r="G48" i="10"/>
  <c r="I48" i="10"/>
  <c r="H48" i="10"/>
  <c r="F48" i="10"/>
  <c r="G47" i="10"/>
  <c r="I47" i="10"/>
  <c r="H47" i="10"/>
  <c r="F47" i="10"/>
  <c r="G46" i="10"/>
  <c r="I46" i="10"/>
  <c r="H46" i="10"/>
  <c r="F46" i="10"/>
  <c r="G45" i="10"/>
  <c r="I45" i="10"/>
  <c r="H45" i="10"/>
  <c r="F45" i="10"/>
  <c r="G44" i="10"/>
  <c r="I44" i="10"/>
  <c r="H44" i="10"/>
  <c r="F44" i="10"/>
  <c r="G43" i="10"/>
  <c r="I43" i="10"/>
  <c r="H43" i="10"/>
  <c r="F43" i="10"/>
  <c r="G42" i="10"/>
  <c r="I42" i="10"/>
  <c r="H42" i="10"/>
  <c r="F42" i="10"/>
  <c r="G41" i="10"/>
  <c r="I41" i="10"/>
  <c r="H41" i="10"/>
  <c r="F41" i="10"/>
  <c r="G40" i="10"/>
  <c r="I40" i="10"/>
  <c r="H40" i="10"/>
  <c r="F40" i="10"/>
  <c r="G39" i="10"/>
  <c r="I39" i="10"/>
  <c r="H39" i="10"/>
  <c r="F39" i="10"/>
  <c r="G38" i="10"/>
  <c r="I38" i="10"/>
  <c r="H38" i="10"/>
  <c r="F38" i="10"/>
  <c r="G37" i="10"/>
  <c r="I37" i="10"/>
  <c r="H37" i="10"/>
  <c r="F37" i="10"/>
  <c r="G36" i="10"/>
  <c r="I36" i="10"/>
  <c r="H36" i="10"/>
  <c r="F36" i="10"/>
  <c r="G35" i="10"/>
  <c r="I35" i="10"/>
  <c r="H35" i="10"/>
  <c r="F35" i="10"/>
  <c r="G34" i="10"/>
  <c r="I34" i="10"/>
  <c r="H34" i="10"/>
  <c r="F34" i="10"/>
  <c r="G33" i="10"/>
  <c r="I33" i="10"/>
  <c r="H33" i="10"/>
  <c r="F33" i="10"/>
  <c r="G32" i="10"/>
  <c r="I32" i="10"/>
  <c r="H32" i="10"/>
  <c r="F32" i="10"/>
  <c r="G31" i="10"/>
  <c r="I31" i="10"/>
  <c r="H31" i="10"/>
  <c r="F31" i="10"/>
  <c r="G30" i="10"/>
  <c r="I30" i="10"/>
  <c r="H30" i="10"/>
  <c r="F30" i="10"/>
  <c r="G29" i="10"/>
  <c r="I29" i="10"/>
  <c r="H29" i="10"/>
  <c r="F29" i="10"/>
  <c r="G28" i="10"/>
  <c r="I28" i="10"/>
  <c r="H28" i="10"/>
  <c r="F28" i="10"/>
  <c r="G27" i="10"/>
  <c r="I27" i="10"/>
  <c r="H27" i="10"/>
  <c r="F27" i="10"/>
  <c r="G26" i="10"/>
  <c r="I26" i="10"/>
  <c r="H26" i="10"/>
  <c r="F26" i="10"/>
  <c r="G25" i="10"/>
  <c r="I25" i="10"/>
  <c r="H25" i="10"/>
  <c r="F25" i="10"/>
  <c r="G24" i="10"/>
  <c r="I24" i="10"/>
  <c r="H24" i="10"/>
  <c r="F24" i="10"/>
  <c r="G23" i="10"/>
  <c r="I23" i="10"/>
  <c r="H23" i="10"/>
  <c r="F23" i="10"/>
  <c r="G22" i="10"/>
  <c r="I22" i="10"/>
  <c r="H22" i="10"/>
  <c r="F22" i="10"/>
  <c r="G21" i="10"/>
  <c r="I21" i="10"/>
  <c r="H21" i="10"/>
  <c r="F21" i="10"/>
  <c r="G20" i="10"/>
  <c r="I20" i="10"/>
  <c r="H20" i="10"/>
  <c r="F20" i="10"/>
  <c r="G19" i="10"/>
  <c r="I19" i="10"/>
  <c r="H19" i="10"/>
  <c r="F19" i="10"/>
  <c r="G18" i="10"/>
  <c r="I18" i="10"/>
  <c r="H18" i="10"/>
  <c r="F18" i="10"/>
  <c r="G17" i="10"/>
  <c r="I17" i="10"/>
  <c r="H17" i="10"/>
  <c r="F17" i="10"/>
  <c r="G16" i="10"/>
  <c r="I16" i="10"/>
  <c r="H16" i="10"/>
  <c r="F16" i="10"/>
  <c r="G15" i="10"/>
  <c r="I15" i="10"/>
  <c r="H15" i="10"/>
  <c r="F15" i="10"/>
  <c r="G14" i="10"/>
  <c r="I14" i="10"/>
  <c r="H14" i="10"/>
  <c r="F14" i="10"/>
  <c r="G13" i="10"/>
  <c r="I13" i="10"/>
  <c r="H13" i="10"/>
  <c r="F13" i="10"/>
  <c r="G12" i="10"/>
  <c r="I12" i="10"/>
  <c r="H12" i="10"/>
  <c r="F12" i="10"/>
  <c r="G11" i="10"/>
  <c r="I11" i="10"/>
  <c r="H11" i="10"/>
  <c r="F11" i="10"/>
  <c r="G10" i="10"/>
  <c r="I10" i="10"/>
  <c r="H10" i="10"/>
  <c r="F10" i="10"/>
  <c r="G9" i="10"/>
  <c r="I9" i="10"/>
  <c r="H9" i="10"/>
  <c r="F9" i="10"/>
  <c r="G8" i="10"/>
  <c r="I8" i="10"/>
  <c r="H8" i="10"/>
  <c r="F8" i="10"/>
  <c r="G7" i="10"/>
  <c r="I7" i="10"/>
  <c r="H7" i="10"/>
  <c r="F7" i="10"/>
  <c r="G6" i="10"/>
  <c r="I6" i="10"/>
  <c r="H6" i="10"/>
  <c r="F6" i="10"/>
  <c r="G5" i="10"/>
  <c r="I5" i="10"/>
  <c r="H5" i="10"/>
  <c r="F5" i="10"/>
  <c r="G4" i="10"/>
  <c r="I4" i="10"/>
  <c r="H4" i="10"/>
  <c r="F4" i="10"/>
  <c r="K103" i="9"/>
  <c r="K102" i="9"/>
  <c r="K101" i="9"/>
  <c r="K100" i="9"/>
  <c r="K99" i="9"/>
  <c r="K98" i="9"/>
  <c r="K97" i="9"/>
  <c r="K96" i="9"/>
  <c r="K95" i="9"/>
  <c r="K94" i="9"/>
  <c r="K93" i="9"/>
  <c r="K92" i="9"/>
  <c r="K91" i="9"/>
  <c r="K90" i="9"/>
  <c r="K89" i="9"/>
  <c r="K88" i="9"/>
  <c r="K87" i="9"/>
  <c r="K86" i="9"/>
  <c r="K85" i="9"/>
  <c r="K84" i="9"/>
  <c r="K83" i="9"/>
  <c r="K82" i="9"/>
  <c r="K81" i="9"/>
  <c r="K80" i="9"/>
  <c r="K79" i="9"/>
  <c r="K78" i="9"/>
  <c r="K77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H103" i="7"/>
  <c r="J103" i="7"/>
  <c r="H102" i="7"/>
  <c r="J102" i="7"/>
  <c r="H101" i="7"/>
  <c r="J101" i="7"/>
  <c r="H100" i="7"/>
  <c r="J100" i="7"/>
  <c r="H99" i="7"/>
  <c r="J99" i="7"/>
  <c r="H98" i="7"/>
  <c r="J98" i="7"/>
  <c r="H97" i="7"/>
  <c r="J97" i="7"/>
  <c r="H96" i="7"/>
  <c r="J96" i="7"/>
  <c r="H95" i="7"/>
  <c r="J95" i="7"/>
  <c r="H94" i="7"/>
  <c r="J94" i="7"/>
  <c r="H93" i="7"/>
  <c r="J93" i="7"/>
  <c r="H92" i="7"/>
  <c r="J92" i="7"/>
  <c r="H91" i="7"/>
  <c r="J91" i="7"/>
  <c r="H90" i="7"/>
  <c r="J90" i="7"/>
  <c r="H89" i="7"/>
  <c r="J89" i="7"/>
  <c r="H88" i="7"/>
  <c r="J88" i="7"/>
  <c r="H87" i="7"/>
  <c r="J87" i="7"/>
  <c r="H86" i="7"/>
  <c r="J86" i="7"/>
  <c r="H85" i="7"/>
  <c r="J85" i="7"/>
  <c r="H84" i="7"/>
  <c r="J84" i="7"/>
  <c r="H83" i="7"/>
  <c r="J83" i="7"/>
  <c r="H82" i="7"/>
  <c r="J82" i="7"/>
  <c r="H81" i="7"/>
  <c r="J81" i="7"/>
  <c r="H80" i="7"/>
  <c r="J80" i="7"/>
  <c r="H79" i="7"/>
  <c r="J79" i="7"/>
  <c r="H78" i="7"/>
  <c r="J78" i="7"/>
  <c r="H77" i="7"/>
  <c r="J77" i="7"/>
  <c r="H76" i="7"/>
  <c r="J76" i="7"/>
  <c r="H75" i="7"/>
  <c r="J75" i="7"/>
  <c r="H74" i="7"/>
  <c r="J74" i="7"/>
  <c r="H73" i="7"/>
  <c r="J73" i="7"/>
  <c r="H72" i="7"/>
  <c r="J72" i="7"/>
  <c r="H71" i="7"/>
  <c r="J71" i="7"/>
  <c r="H70" i="7"/>
  <c r="J70" i="7"/>
  <c r="H69" i="7"/>
  <c r="J69" i="7"/>
  <c r="H68" i="7"/>
  <c r="J68" i="7"/>
  <c r="H67" i="7"/>
  <c r="J67" i="7"/>
  <c r="H66" i="7"/>
  <c r="J66" i="7"/>
  <c r="H65" i="7"/>
  <c r="J65" i="7"/>
  <c r="H64" i="7"/>
  <c r="J64" i="7"/>
  <c r="H63" i="7"/>
  <c r="J63" i="7"/>
  <c r="H62" i="7"/>
  <c r="J62" i="7"/>
  <c r="H61" i="7"/>
  <c r="J61" i="7"/>
  <c r="H60" i="7"/>
  <c r="J60" i="7"/>
  <c r="H59" i="7"/>
  <c r="J59" i="7"/>
  <c r="H58" i="7"/>
  <c r="J58" i="7"/>
  <c r="H57" i="7"/>
  <c r="J57" i="7"/>
  <c r="H56" i="7"/>
  <c r="J56" i="7"/>
  <c r="H55" i="7"/>
  <c r="J55" i="7"/>
  <c r="H54" i="7"/>
  <c r="J54" i="7"/>
  <c r="H53" i="7"/>
  <c r="J53" i="7"/>
  <c r="H52" i="7"/>
  <c r="J52" i="7"/>
  <c r="H51" i="7"/>
  <c r="J51" i="7"/>
  <c r="H50" i="7"/>
  <c r="J50" i="7"/>
  <c r="H49" i="7"/>
  <c r="J49" i="7"/>
  <c r="H48" i="7"/>
  <c r="J48" i="7"/>
  <c r="H47" i="7"/>
  <c r="J47" i="7"/>
  <c r="H46" i="7"/>
  <c r="J46" i="7"/>
  <c r="H45" i="7"/>
  <c r="J45" i="7"/>
  <c r="H44" i="7"/>
  <c r="J44" i="7"/>
  <c r="H43" i="7"/>
  <c r="J43" i="7"/>
  <c r="H42" i="7"/>
  <c r="J42" i="7"/>
  <c r="H41" i="7"/>
  <c r="J41" i="7"/>
  <c r="H40" i="7"/>
  <c r="J40" i="7"/>
  <c r="H39" i="7"/>
  <c r="J39" i="7"/>
  <c r="H38" i="7"/>
  <c r="J38" i="7"/>
  <c r="H37" i="7"/>
  <c r="J37" i="7"/>
  <c r="H36" i="7"/>
  <c r="J36" i="7"/>
  <c r="H35" i="7"/>
  <c r="J35" i="7"/>
  <c r="H34" i="7"/>
  <c r="J34" i="7"/>
  <c r="H33" i="7"/>
  <c r="J33" i="7"/>
  <c r="H32" i="7"/>
  <c r="J32" i="7"/>
  <c r="H31" i="7"/>
  <c r="J31" i="7"/>
  <c r="H30" i="7"/>
  <c r="J30" i="7"/>
  <c r="H29" i="7"/>
  <c r="J29" i="7"/>
  <c r="H28" i="7"/>
  <c r="J28" i="7"/>
  <c r="H27" i="7"/>
  <c r="J27" i="7"/>
  <c r="H26" i="7"/>
  <c r="J26" i="7"/>
  <c r="H25" i="7"/>
  <c r="J25" i="7"/>
  <c r="H24" i="7"/>
  <c r="J24" i="7"/>
  <c r="H23" i="7"/>
  <c r="J23" i="7"/>
  <c r="H22" i="7"/>
  <c r="J22" i="7"/>
  <c r="H21" i="7"/>
  <c r="J21" i="7"/>
  <c r="H20" i="7"/>
  <c r="J20" i="7"/>
  <c r="H19" i="7"/>
  <c r="J19" i="7"/>
  <c r="H18" i="7"/>
  <c r="J18" i="7"/>
  <c r="H17" i="7"/>
  <c r="J17" i="7"/>
  <c r="H16" i="7"/>
  <c r="J16" i="7"/>
  <c r="H15" i="7"/>
  <c r="J15" i="7"/>
  <c r="H14" i="7"/>
  <c r="J14" i="7"/>
  <c r="H13" i="7"/>
  <c r="J13" i="7"/>
  <c r="H12" i="7"/>
  <c r="J12" i="7"/>
  <c r="H11" i="7"/>
  <c r="J11" i="7"/>
  <c r="H10" i="7"/>
  <c r="J10" i="7"/>
  <c r="H9" i="7"/>
  <c r="J9" i="7"/>
  <c r="H8" i="7"/>
  <c r="J8" i="7"/>
  <c r="H7" i="7"/>
  <c r="J7" i="7"/>
  <c r="H6" i="7"/>
  <c r="J6" i="7"/>
  <c r="H5" i="7"/>
  <c r="J5" i="7"/>
  <c r="H4" i="7"/>
  <c r="J4" i="7"/>
  <c r="N203" i="5"/>
  <c r="N202" i="5"/>
  <c r="N201" i="5"/>
  <c r="N200" i="5"/>
  <c r="N199" i="5"/>
  <c r="N198" i="5"/>
  <c r="N197" i="5"/>
  <c r="N196" i="5"/>
  <c r="N195" i="5"/>
  <c r="N194" i="5"/>
  <c r="N193" i="5"/>
  <c r="N192" i="5"/>
  <c r="N191" i="5"/>
  <c r="N190" i="5"/>
  <c r="N189" i="5"/>
  <c r="N188" i="5"/>
  <c r="N187" i="5"/>
  <c r="N186" i="5"/>
  <c r="N185" i="5"/>
  <c r="N184" i="5"/>
  <c r="N183" i="5"/>
  <c r="N182" i="5"/>
  <c r="N181" i="5"/>
  <c r="N180" i="5"/>
  <c r="N179" i="5"/>
  <c r="N178" i="5"/>
  <c r="N177" i="5"/>
  <c r="N176" i="5"/>
  <c r="N175" i="5"/>
  <c r="N174" i="5"/>
  <c r="N173" i="5"/>
  <c r="N172" i="5"/>
  <c r="N171" i="5"/>
  <c r="N170" i="5"/>
  <c r="N169" i="5"/>
  <c r="N168" i="5"/>
  <c r="N167" i="5"/>
  <c r="N166" i="5"/>
  <c r="N165" i="5"/>
  <c r="N164" i="5"/>
  <c r="N163" i="5"/>
  <c r="N162" i="5"/>
  <c r="N161" i="5"/>
  <c r="N160" i="5"/>
  <c r="N159" i="5"/>
  <c r="N158" i="5"/>
  <c r="N157" i="5"/>
  <c r="N156" i="5"/>
  <c r="N155" i="5"/>
  <c r="N154" i="5"/>
  <c r="N153" i="5"/>
  <c r="N152" i="5"/>
  <c r="N151" i="5"/>
  <c r="N150" i="5"/>
  <c r="N149" i="5"/>
  <c r="N148" i="5"/>
  <c r="N147" i="5"/>
  <c r="N146" i="5"/>
  <c r="N145" i="5"/>
  <c r="N144" i="5"/>
  <c r="N143" i="5"/>
  <c r="N142" i="5"/>
  <c r="N141" i="5"/>
  <c r="N140" i="5"/>
  <c r="N139" i="5"/>
  <c r="N138" i="5"/>
  <c r="N137" i="5"/>
  <c r="N136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G8" i="1"/>
  <c r="E8" i="1"/>
  <c r="C8" i="1"/>
  <c r="A8" i="1"/>
  <c r="G4" i="1"/>
  <c r="E4" i="1"/>
  <c r="C4" i="1"/>
  <c r="A4" i="1"/>
</calcChain>
</file>

<file path=xl/sharedStrings.xml><?xml version="1.0" encoding="utf-8"?>
<sst xmlns="http://schemas.openxmlformats.org/spreadsheetml/2006/main" count="475" uniqueCount="162">
  <si>
    <t>نظام إدارة المخزون والمستودعات — Dashboard</t>
  </si>
  <si>
    <t>إجمالي المشتريات</t>
  </si>
  <si>
    <t>إجمالي تكلفة المنصرف</t>
  </si>
  <si>
    <t>قيمة المخزون بعد NRV</t>
  </si>
  <si>
    <t>انخفاض قيمة المخزون</t>
  </si>
  <si>
    <t>عدد الأصناف</t>
  </si>
  <si>
    <t>عدد المستودعات</t>
  </si>
  <si>
    <t>أصناف تحتاج إعادة طلب</t>
  </si>
  <si>
    <t>بنود عليها انخفاض NRV</t>
  </si>
  <si>
    <t>التصنيف</t>
  </si>
  <si>
    <t>قيمة المخزون</t>
  </si>
  <si>
    <t>ملاحظات</t>
  </si>
  <si>
    <t>1) أدخل البيانات في الصفحات التشغيلية واترك خلايا المعادلات كما هي.</t>
  </si>
  <si>
    <t>2) Valuation يطبق الأقل من التكلفة وNRV وفق IAS 2.</t>
  </si>
  <si>
    <t>3) FIFO والمتوسط المرجح والتحديد المحدد هي صيغ تكلفة متاحة حسب طبيعة الأصناف.</t>
  </si>
  <si>
    <t>4) Reorder وAging أدوات تشغيلية؛ لا تعتبر وحدها قواعد قياس محاسبي.</t>
  </si>
  <si>
    <t>5) الملف أداة مساعدة ولا يحل محل السياسات المحاسبية أو الحكم المهني.</t>
  </si>
  <si>
    <t>حالة الصنف</t>
  </si>
  <si>
    <t>نوع الصنف</t>
  </si>
  <si>
    <t>وحدة القياس</t>
  </si>
  <si>
    <t>طريقة التقييم</t>
  </si>
  <si>
    <t>نوع الحركة</t>
  </si>
  <si>
    <t>نشط</t>
  </si>
  <si>
    <t>بضاعة تامة للمتاجرة</t>
  </si>
  <si>
    <t>قطعة</t>
  </si>
  <si>
    <t>FIFO</t>
  </si>
  <si>
    <t>مشتريات</t>
  </si>
  <si>
    <t>غير نشط</t>
  </si>
  <si>
    <t>مواد خام</t>
  </si>
  <si>
    <t>كجم</t>
  </si>
  <si>
    <t>المتوسط المرجح</t>
  </si>
  <si>
    <t>منصرف/مبيعات</t>
  </si>
  <si>
    <t>إنتاج تحت التشغيل</t>
  </si>
  <si>
    <t>جرام</t>
  </si>
  <si>
    <t>التحديد المحدد</t>
  </si>
  <si>
    <t>مرتجع شراء</t>
  </si>
  <si>
    <t>منتج تام</t>
  </si>
  <si>
    <t>لتر</t>
  </si>
  <si>
    <t>مرتجع بيع</t>
  </si>
  <si>
    <t>مستلزمات تشغيل</t>
  </si>
  <si>
    <t>متر</t>
  </si>
  <si>
    <t>تسوية زيادة</t>
  </si>
  <si>
    <t>كرتونة</t>
  </si>
  <si>
    <t>تسوية عجز</t>
  </si>
  <si>
    <t>Item Master</t>
  </si>
  <si>
    <t>كود الصنف</t>
  </si>
  <si>
    <t>اسم الصنف</t>
  </si>
  <si>
    <t>الوحدة</t>
  </si>
  <si>
    <t>المستودع الافتراضي</t>
  </si>
  <si>
    <t>الحد الأدنى</t>
  </si>
  <si>
    <t>نقطة إعادة الطلب</t>
  </si>
  <si>
    <t>الحد الأقصى</t>
  </si>
  <si>
    <t>المورد الرئيسي</t>
  </si>
  <si>
    <t>باركود</t>
  </si>
  <si>
    <t>Warehouses</t>
  </si>
  <si>
    <t>كود المستودع</t>
  </si>
  <si>
    <t>اسم المستودع</t>
  </si>
  <si>
    <t>الموقع</t>
  </si>
  <si>
    <t>المسؤول</t>
  </si>
  <si>
    <t>نوع المستودع</t>
  </si>
  <si>
    <t>السعة</t>
  </si>
  <si>
    <t>الحالة</t>
  </si>
  <si>
    <t>Purchases</t>
  </si>
  <si>
    <t>رقم الحركة</t>
  </si>
  <si>
    <t>التاريخ</t>
  </si>
  <si>
    <t>رقم فاتورة المورد</t>
  </si>
  <si>
    <t>كود المورد</t>
  </si>
  <si>
    <t>اسم المورد</t>
  </si>
  <si>
    <t>المستودع</t>
  </si>
  <si>
    <t>الكمية</t>
  </si>
  <si>
    <t>سعر الوحدة</t>
  </si>
  <si>
    <t>خصم</t>
  </si>
  <si>
    <t>نقل/مناولة مباشرة</t>
  </si>
  <si>
    <t>تكلفة الشراء الصافية</t>
  </si>
  <si>
    <t>تكلفة الوحدة الفعلية</t>
  </si>
  <si>
    <t>Batch/Lot</t>
  </si>
  <si>
    <t>تاريخ الانتهاء</t>
  </si>
  <si>
    <t>أمر الشراء</t>
  </si>
  <si>
    <t>Issues</t>
  </si>
  <si>
    <t>رقم المستند</t>
  </si>
  <si>
    <t>كود العميل/الجهة</t>
  </si>
  <si>
    <t>تكلفة الوحدة</t>
  </si>
  <si>
    <t>قيمة التكلفة</t>
  </si>
  <si>
    <t>فاتورة البيع</t>
  </si>
  <si>
    <t>مركز التكلفة</t>
  </si>
  <si>
    <t>Adjustments</t>
  </si>
  <si>
    <t>رقم التسوية</t>
  </si>
  <si>
    <t>الرصيد الدفتري</t>
  </si>
  <si>
    <t>الكمية الفعلية</t>
  </si>
  <si>
    <t>الفرق</t>
  </si>
  <si>
    <t>قيمة الفرق</t>
  </si>
  <si>
    <t>سبب التسوية</t>
  </si>
  <si>
    <t>Valuation</t>
  </si>
  <si>
    <t>التكلفة/الوحدة</t>
  </si>
  <si>
    <t>إجمالي التكلفة</t>
  </si>
  <si>
    <t>سعر البيع المتوقع/الوحدة</t>
  </si>
  <si>
    <t>تكلفة الإكمال/الوحدة</t>
  </si>
  <si>
    <t>تكاليف البيع اللازمة/الوحدة</t>
  </si>
  <si>
    <t>NRV/الوحدة</t>
  </si>
  <si>
    <t>إجمالي NRV</t>
  </si>
  <si>
    <t>القيمة الدفترية</t>
  </si>
  <si>
    <t>انخفاض القيمة</t>
  </si>
  <si>
    <t>عكس انخفاض سابق</t>
  </si>
  <si>
    <t>Stock Count</t>
  </si>
  <si>
    <t>رقم الجرد</t>
  </si>
  <si>
    <t>حالة المطابقة</t>
  </si>
  <si>
    <t>سبب/إجراء</t>
  </si>
  <si>
    <t>Aging</t>
  </si>
  <si>
    <t>تاريخ أقدم رصيد/دفعة</t>
  </si>
  <si>
    <t>العمر بالأيام</t>
  </si>
  <si>
    <t>شريحة العمر</t>
  </si>
  <si>
    <t>مؤشر مراجعة NRV</t>
  </si>
  <si>
    <t>Reorder</t>
  </si>
  <si>
    <t>الرصيد الحالي</t>
  </si>
  <si>
    <t>حالة المخزون</t>
  </si>
  <si>
    <t>الكمية المقترحة للطلب</t>
  </si>
  <si>
    <t>متوسط الاستهلاك اليومي</t>
  </si>
  <si>
    <t>أيام التغطية</t>
  </si>
  <si>
    <t>Stock Card</t>
  </si>
  <si>
    <t>الوارد</t>
  </si>
  <si>
    <t>المنصرف</t>
  </si>
  <si>
    <t>التسوية</t>
  </si>
  <si>
    <t>الرصيد</t>
  </si>
  <si>
    <t>قيمة الحركة</t>
  </si>
  <si>
    <t>قيمة الرصيد</t>
  </si>
  <si>
    <t>من تاريخ</t>
  </si>
  <si>
    <t>إلى تاريخ</t>
  </si>
  <si>
    <t>Reports</t>
  </si>
  <si>
    <t>البند</t>
  </si>
  <si>
    <t>القيمة</t>
  </si>
  <si>
    <t>إجمالي فروقات الجرد</t>
  </si>
  <si>
    <t>إجمالي انخفاض المخزون</t>
  </si>
  <si>
    <t>إجمالي القيمة الدفترية</t>
  </si>
  <si>
    <t>دليل الاستخدام والمعالجة المحاسبية — عربي</t>
  </si>
  <si>
    <t>الهدف</t>
  </si>
  <si>
    <t>إدارة حركة المخزون والمستودعات مع طبقة تقييم ومراجعة وفق المبادئ ذات الصلة بـ IAS 2.</t>
  </si>
  <si>
    <t>المخزون</t>
  </si>
  <si>
    <t>أصول محتفظ بها للبيع في النشاط العادي، أو تحت الإنتاج للبيع، أو مواد ومستلزمات ستستهلك في الإنتاج أو تقديم الخدمات.</t>
  </si>
  <si>
    <t>القياس</t>
  </si>
  <si>
    <t>الأقل من التكلفة وصافي القيمة القابلة للتحقق (NRV).</t>
  </si>
  <si>
    <t>التكلفة</t>
  </si>
  <si>
    <t>تكاليف الشراء والتحويل والتكاليف الأخرى اللازمة للوصول بالمخزون إلى موقعه وحالته الحالية، مع مراعاة استبعادات المعيار.</t>
  </si>
  <si>
    <t>صيغ التكلفة</t>
  </si>
  <si>
    <t>التحديد المحدد للحالات المناسبة؛ وFIFO أو المتوسط المرجح للأصناف القابلة للتبادل عادةً.</t>
  </si>
  <si>
    <t>NRV</t>
  </si>
  <si>
    <t>سعر البيع المقدر ناقص تكاليف الإكمال وتكاليف البيع اللازمة المقدرة.</t>
  </si>
  <si>
    <t>الانخفاض</t>
  </si>
  <si>
    <t>إذا كانت NRV أقل من التكلفة، تخفض القيمة إلى NRV ويعترف بالانخفاض وفق IAS 2.</t>
  </si>
  <si>
    <t>العكس</t>
  </si>
  <si>
    <t>عند ارتفاع NRV لاحقًا، يكون العكس في حدود الانخفاض السابق وفق متطلبات IAS 2.</t>
  </si>
  <si>
    <t>الجرد</t>
  </si>
  <si>
    <t>استخدم Stock Count لمقارنة الرصيد الدفتري بالكمية الفعلية وتوثيق الفروقات.</t>
  </si>
  <si>
    <t>حدود الملف</t>
  </si>
  <si>
    <t>لا يغطي تلقائيًا كل الحالات الخاصة بالصناعات أو المخزونات ذات متطلبات القياس المختلفة؛ يجب مراجعة المعيار والسياسة المحاسبية.</t>
  </si>
  <si>
    <t>ملاحظات IAS 2 — مرجع مختصر</t>
  </si>
  <si>
    <t>المعيار المرجعي</t>
  </si>
  <si>
    <t>IAS 2 Inventories</t>
  </si>
  <si>
    <t>تكاليف الشراء + تكاليف التحويل + التكاليف الأخرى اللازمة للوصول بالمخزون إلى موقعه وحالته الحالية، وفق شروط المعيار.</t>
  </si>
  <si>
    <t>الإفصاح</t>
  </si>
  <si>
    <t>تشمل متطلبات IAS 2 سياسات القياس وصيغة التكلفة والقيم والانخفاضات/العكوسات وغيرها من الإفصاحات المطلوبة.</t>
  </si>
  <si>
    <t>المصدر الرسمي</t>
  </si>
  <si>
    <t>https://www.ifrs.org/issued-standards/list-of-standards/ias-2-inventories/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</si>
</sst>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8"/>
      <color rgb="FFFFFFFF"/>
      <name val="Arial"/>
    </font>
    <font>
      <b/>
      <sz val="11"/>
      <color rgb="FF17365D"/>
      <name val="Arial"/>
    </font>
    <font>
      <b/>
      <sz val="11"/>
      <name val="Arial"/>
    </font>
    <font>
      <b/>
      <sz val="15"/>
      <name val="Arial"/>
    </font>
    <font>
      <b/>
      <sz val="14"/>
      <name val="Arial"/>
    </font>
    <font>
      <b/>
      <sz val="14"/>
      <color rgb="FF17365D"/>
      <name val="Arial"/>
    </font>
  </fonts>
  <fills count="8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17365D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C00000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</cellXfs>
  <cellStyles count="1">
    <cellStyle name="عادي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19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r-EG"/>
              <a:t>قيمة المخزون حسب التصنيف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Dashboard!B11</c:f>
              <c:strCache>
                <c:ptCount val="1"/>
                <c:pt idx="0">
                  <c:v>قيمة المخزون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Dashboard!$A$12:$A$21</c:f>
              <c:numCache>
                <c:formatCode>General</c:formatCode>
                <c:ptCount val="10"/>
              </c:numCache>
            </c:numRef>
          </c:cat>
          <c:val>
            <c:numRef>
              <c:f>Dashboard!$B$12:$B$21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0629-6048-96C9-D400EAE0F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10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_Master" displayName="Item_Master" ref="A3:N103">
  <autoFilter ref="A3:N103" xr:uid="{00000000-0009-0000-0100-000001000000}"/>
  <tableColumns count="14">
    <tableColumn id="1" xr3:uid="{00000000-0010-0000-0000-000001000000}" name="كود الصنف"/>
    <tableColumn id="2" xr3:uid="{00000000-0010-0000-0000-000002000000}" name="اسم الصنف"/>
    <tableColumn id="3" xr3:uid="{00000000-0010-0000-0000-000003000000}" name="نوع الصنف"/>
    <tableColumn id="4" xr3:uid="{00000000-0010-0000-0000-000004000000}" name="الوحدة"/>
    <tableColumn id="5" xr3:uid="{00000000-0010-0000-0000-000005000000}" name="التصنيف"/>
    <tableColumn id="6" xr3:uid="{00000000-0010-0000-0000-000006000000}" name="المستودع الافتراضي"/>
    <tableColumn id="7" xr3:uid="{00000000-0010-0000-0000-000007000000}" name="الحد الأدنى"/>
    <tableColumn id="8" xr3:uid="{00000000-0010-0000-0000-000008000000}" name="نقطة إعادة الطلب"/>
    <tableColumn id="9" xr3:uid="{00000000-0010-0000-0000-000009000000}" name="الحد الأقصى"/>
    <tableColumn id="10" xr3:uid="{00000000-0010-0000-0000-00000A000000}" name="طريقة التقييم"/>
    <tableColumn id="11" xr3:uid="{00000000-0010-0000-0000-00000B000000}" name="المورد الرئيسي"/>
    <tableColumn id="12" xr3:uid="{00000000-0010-0000-0000-00000C000000}" name="باركود"/>
    <tableColumn id="13" xr3:uid="{00000000-0010-0000-0000-00000D000000}" name="حالة الصنف"/>
    <tableColumn id="14" xr3:uid="{00000000-0010-0000-0000-00000E000000}" name="ملاحظات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arehouses" displayName="Warehouses" ref="A3:H53">
  <autoFilter ref="A3:H53" xr:uid="{00000000-0009-0000-0100-000002000000}"/>
  <tableColumns count="8">
    <tableColumn id="1" xr3:uid="{00000000-0010-0000-0100-000001000000}" name="كود المستودع"/>
    <tableColumn id="2" xr3:uid="{00000000-0010-0000-0100-000002000000}" name="اسم المستودع"/>
    <tableColumn id="3" xr3:uid="{00000000-0010-0000-0100-000003000000}" name="الموقع"/>
    <tableColumn id="4" xr3:uid="{00000000-0010-0000-0100-000004000000}" name="المسؤول"/>
    <tableColumn id="5" xr3:uid="{00000000-0010-0000-0100-000005000000}" name="نوع المستودع"/>
    <tableColumn id="6" xr3:uid="{00000000-0010-0000-0100-000006000000}" name="السعة"/>
    <tableColumn id="7" xr3:uid="{00000000-0010-0000-0100-000007000000}" name="الحالة"/>
    <tableColumn id="8" xr3:uid="{00000000-0010-0000-0100-000008000000}" name="ملاحظات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urchases" displayName="Purchases" ref="A3:R203">
  <autoFilter ref="A3:R203" xr:uid="{00000000-0009-0000-0100-000003000000}"/>
  <tableColumns count="18">
    <tableColumn id="1" xr3:uid="{00000000-0010-0000-0200-000001000000}" name="رقم الحركة"/>
    <tableColumn id="2" xr3:uid="{00000000-0010-0000-0200-000002000000}" name="التاريخ"/>
    <tableColumn id="3" xr3:uid="{00000000-0010-0000-0200-000003000000}" name="رقم فاتورة المورد"/>
    <tableColumn id="4" xr3:uid="{00000000-0010-0000-0200-000004000000}" name="كود المورد"/>
    <tableColumn id="5" xr3:uid="{00000000-0010-0000-0200-000005000000}" name="اسم المورد"/>
    <tableColumn id="6" xr3:uid="{00000000-0010-0000-0200-000006000000}" name="كود الصنف"/>
    <tableColumn id="7" xr3:uid="{00000000-0010-0000-0200-000007000000}" name="اسم الصنف"/>
    <tableColumn id="8" xr3:uid="{00000000-0010-0000-0200-000008000000}" name="المستودع"/>
    <tableColumn id="9" xr3:uid="{00000000-0010-0000-0200-000009000000}" name="الكمية"/>
    <tableColumn id="10" xr3:uid="{00000000-0010-0000-0200-00000A000000}" name="سعر الوحدة"/>
    <tableColumn id="11" xr3:uid="{00000000-0010-0000-0200-00000B000000}" name="خصم"/>
    <tableColumn id="12" xr3:uid="{00000000-0010-0000-0200-00000C000000}" name="نقل/مناولة مباشرة"/>
    <tableColumn id="13" xr3:uid="{00000000-0010-0000-0200-00000D000000}" name="تكلفة الشراء الصافية"/>
    <tableColumn id="14" xr3:uid="{00000000-0010-0000-0200-00000E000000}" name="تكلفة الوحدة الفعلية"/>
    <tableColumn id="15" xr3:uid="{00000000-0010-0000-0200-00000F000000}" name="Batch/Lot"/>
    <tableColumn id="16" xr3:uid="{00000000-0010-0000-0200-000010000000}" name="تاريخ الانتهاء"/>
    <tableColumn id="17" xr3:uid="{00000000-0010-0000-0200-000011000000}" name="أمر الشراء"/>
    <tableColumn id="18" xr3:uid="{00000000-0010-0000-0200-000012000000}" name="ملاحظات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ssues" displayName="Issues" ref="A3:O203">
  <autoFilter ref="A3:O203" xr:uid="{00000000-0009-0000-0100-000004000000}"/>
  <tableColumns count="15">
    <tableColumn id="1" xr3:uid="{00000000-0010-0000-0300-000001000000}" name="رقم الحركة"/>
    <tableColumn id="2" xr3:uid="{00000000-0010-0000-0300-000002000000}" name="التاريخ"/>
    <tableColumn id="3" xr3:uid="{00000000-0010-0000-0300-000003000000}" name="رقم المستند"/>
    <tableColumn id="4" xr3:uid="{00000000-0010-0000-0300-000004000000}" name="نوع الحركة"/>
    <tableColumn id="5" xr3:uid="{00000000-0010-0000-0300-000005000000}" name="كود العميل/الجهة"/>
    <tableColumn id="6" xr3:uid="{00000000-0010-0000-0300-000006000000}" name="كود الصنف"/>
    <tableColumn id="7" xr3:uid="{00000000-0010-0000-0300-000007000000}" name="اسم الصنف"/>
    <tableColumn id="8" xr3:uid="{00000000-0010-0000-0300-000008000000}" name="المستودع"/>
    <tableColumn id="9" xr3:uid="{00000000-0010-0000-0300-000009000000}" name="الكمية"/>
    <tableColumn id="10" xr3:uid="{00000000-0010-0000-0300-00000A000000}" name="تكلفة الوحدة"/>
    <tableColumn id="11" xr3:uid="{00000000-0010-0000-0300-00000B000000}" name="قيمة التكلفة"/>
    <tableColumn id="12" xr3:uid="{00000000-0010-0000-0300-00000C000000}" name="Batch/Lot"/>
    <tableColumn id="13" xr3:uid="{00000000-0010-0000-0300-00000D000000}" name="فاتورة البيع"/>
    <tableColumn id="14" xr3:uid="{00000000-0010-0000-0300-00000E000000}" name="مركز التكلفة"/>
    <tableColumn id="15" xr3:uid="{00000000-0010-0000-0300-00000F000000}" name="ملاحظات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djustments" displayName="Adjustments" ref="A3:L103">
  <autoFilter ref="A3:L103" xr:uid="{00000000-0009-0000-0100-000005000000}"/>
  <tableColumns count="12">
    <tableColumn id="1" xr3:uid="{00000000-0010-0000-0400-000001000000}" name="رقم التسوية"/>
    <tableColumn id="2" xr3:uid="{00000000-0010-0000-0400-000002000000}" name="التاريخ"/>
    <tableColumn id="3" xr3:uid="{00000000-0010-0000-0400-000003000000}" name="المستودع"/>
    <tableColumn id="4" xr3:uid="{00000000-0010-0000-0400-000004000000}" name="كود الصنف"/>
    <tableColumn id="5" xr3:uid="{00000000-0010-0000-0400-000005000000}" name="اسم الصنف"/>
    <tableColumn id="6" xr3:uid="{00000000-0010-0000-0400-000006000000}" name="الرصيد الدفتري"/>
    <tableColumn id="7" xr3:uid="{00000000-0010-0000-0400-000007000000}" name="الكمية الفعلية"/>
    <tableColumn id="8" xr3:uid="{00000000-0010-0000-0400-000008000000}" name="الفرق"/>
    <tableColumn id="9" xr3:uid="{00000000-0010-0000-0400-000009000000}" name="تكلفة الوحدة"/>
    <tableColumn id="10" xr3:uid="{00000000-0010-0000-0400-00000A000000}" name="قيمة الفرق"/>
    <tableColumn id="11" xr3:uid="{00000000-0010-0000-0400-00000B000000}" name="سبب التسوية"/>
    <tableColumn id="12" xr3:uid="{00000000-0010-0000-0400-00000C000000}" name="ملاحظات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aluation" displayName="Valuation" ref="A3:N103">
  <autoFilter ref="A3:N103" xr:uid="{00000000-0009-0000-0100-000006000000}"/>
  <tableColumns count="14">
    <tableColumn id="1" xr3:uid="{00000000-0010-0000-0500-000001000000}" name="كود الصنف"/>
    <tableColumn id="2" xr3:uid="{00000000-0010-0000-0500-000002000000}" name="اسم الصنف"/>
    <tableColumn id="3" xr3:uid="{00000000-0010-0000-0500-000003000000}" name="الكمية"/>
    <tableColumn id="4" xr3:uid="{00000000-0010-0000-0500-000004000000}" name="التكلفة/الوحدة"/>
    <tableColumn id="5" xr3:uid="{00000000-0010-0000-0500-000005000000}" name="إجمالي التكلفة"/>
    <tableColumn id="6" xr3:uid="{00000000-0010-0000-0500-000006000000}" name="سعر البيع المتوقع/الوحدة"/>
    <tableColumn id="7" xr3:uid="{00000000-0010-0000-0500-000007000000}" name="تكلفة الإكمال/الوحدة"/>
    <tableColumn id="8" xr3:uid="{00000000-0010-0000-0500-000008000000}" name="تكاليف البيع اللازمة/الوحدة"/>
    <tableColumn id="9" xr3:uid="{00000000-0010-0000-0500-000009000000}" name="NRV/الوحدة"/>
    <tableColumn id="10" xr3:uid="{00000000-0010-0000-0500-00000A000000}" name="إجمالي NRV"/>
    <tableColumn id="11" xr3:uid="{00000000-0010-0000-0500-00000B000000}" name="القيمة الدفترية"/>
    <tableColumn id="12" xr3:uid="{00000000-0010-0000-0500-00000C000000}" name="انخفاض القيمة"/>
    <tableColumn id="13" xr3:uid="{00000000-0010-0000-0500-00000D000000}" name="عكس انخفاض سابق"/>
    <tableColumn id="14" xr3:uid="{00000000-0010-0000-0500-00000E000000}" name="ملاحظات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tock_Count" displayName="Stock_Count" ref="A3:L103">
  <autoFilter ref="A3:L103" xr:uid="{00000000-0009-0000-0100-000007000000}"/>
  <tableColumns count="12">
    <tableColumn id="1" xr3:uid="{00000000-0010-0000-0600-000001000000}" name="رقم الجرد"/>
    <tableColumn id="2" xr3:uid="{00000000-0010-0000-0600-000002000000}" name="التاريخ"/>
    <tableColumn id="3" xr3:uid="{00000000-0010-0000-0600-000003000000}" name="المستودع"/>
    <tableColumn id="4" xr3:uid="{00000000-0010-0000-0600-000004000000}" name="كود الصنف"/>
    <tableColumn id="5" xr3:uid="{00000000-0010-0000-0600-000005000000}" name="اسم الصنف"/>
    <tableColumn id="6" xr3:uid="{00000000-0010-0000-0600-000006000000}" name="الرصيد الدفتري"/>
    <tableColumn id="7" xr3:uid="{00000000-0010-0000-0600-000007000000}" name="الكمية الفعلية"/>
    <tableColumn id="8" xr3:uid="{00000000-0010-0000-0600-000008000000}" name="الفرق"/>
    <tableColumn id="9" xr3:uid="{00000000-0010-0000-0600-000009000000}" name="تكلفة الوحدة"/>
    <tableColumn id="10" xr3:uid="{00000000-0010-0000-0600-00000A000000}" name="قيمة الفرق"/>
    <tableColumn id="11" xr3:uid="{00000000-0010-0000-0600-00000B000000}" name="حالة المطابقة"/>
    <tableColumn id="12" xr3:uid="{00000000-0010-0000-0600-00000C000000}" name="سبب/إجراء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ging" displayName="Aging" ref="A3:J103">
  <autoFilter ref="A3:J103" xr:uid="{00000000-0009-0000-0100-000008000000}"/>
  <tableColumns count="10">
    <tableColumn id="1" xr3:uid="{00000000-0010-0000-0700-000001000000}" name="كود الصنف"/>
    <tableColumn id="2" xr3:uid="{00000000-0010-0000-0700-000002000000}" name="اسم الصنف"/>
    <tableColumn id="3" xr3:uid="{00000000-0010-0000-0700-000003000000}" name="تاريخ أقدم رصيد/دفعة"/>
    <tableColumn id="4" xr3:uid="{00000000-0010-0000-0700-000004000000}" name="الكمية"/>
    <tableColumn id="5" xr3:uid="{00000000-0010-0000-0700-000005000000}" name="تكلفة الوحدة"/>
    <tableColumn id="6" xr3:uid="{00000000-0010-0000-0700-000006000000}" name="قيمة المخزون"/>
    <tableColumn id="7" xr3:uid="{00000000-0010-0000-0700-000007000000}" name="العمر بالأيام"/>
    <tableColumn id="8" xr3:uid="{00000000-0010-0000-0700-000008000000}" name="شريحة العمر"/>
    <tableColumn id="9" xr3:uid="{00000000-0010-0000-0700-000009000000}" name="مؤشر مراجعة NRV"/>
    <tableColumn id="10" xr3:uid="{00000000-0010-0000-0700-00000A000000}" name="ملاحظات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Reorder" displayName="Reorder" ref="A3:K103">
  <autoFilter ref="A3:K103" xr:uid="{00000000-0009-0000-0100-000009000000}"/>
  <tableColumns count="11">
    <tableColumn id="1" xr3:uid="{00000000-0010-0000-0800-000001000000}" name="كود الصنف"/>
    <tableColumn id="2" xr3:uid="{00000000-0010-0000-0800-000002000000}" name="اسم الصنف"/>
    <tableColumn id="3" xr3:uid="{00000000-0010-0000-0800-000003000000}" name="الرصيد الحالي"/>
    <tableColumn id="4" xr3:uid="{00000000-0010-0000-0800-000004000000}" name="الحد الأدنى"/>
    <tableColumn id="5" xr3:uid="{00000000-0010-0000-0800-000005000000}" name="نقطة إعادة الطلب"/>
    <tableColumn id="6" xr3:uid="{00000000-0010-0000-0800-000006000000}" name="الحد الأقصى"/>
    <tableColumn id="7" xr3:uid="{00000000-0010-0000-0800-000007000000}" name="حالة المخزون"/>
    <tableColumn id="8" xr3:uid="{00000000-0010-0000-0800-000008000000}" name="الكمية المقترحة للطلب"/>
    <tableColumn id="9" xr3:uid="{00000000-0010-0000-0800-000009000000}" name="متوسط الاستهلاك اليومي"/>
    <tableColumn id="10" xr3:uid="{00000000-0010-0000-0800-00000A000000}" name="أيام التغطية"/>
    <tableColumn id="11" xr3:uid="{00000000-0010-0000-0800-00000B000000}" name="ملاحظات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Stock_Card" displayName="Stock_Card" ref="A3:L109">
  <autoFilter ref="A3:L109" xr:uid="{00000000-0009-0000-0100-00000A000000}"/>
  <tableColumns count="12">
    <tableColumn id="1" xr3:uid="{00000000-0010-0000-0900-000001000000}" name="كود الصنف"/>
    <tableColumn id="2" xr3:uid="{00000000-0010-0000-0900-000002000000}" name="نوع الحركة"/>
    <tableColumn id="3" xr3:uid="{00000000-0010-0000-0900-000003000000}" name="رقم المستند"/>
    <tableColumn id="4" xr3:uid="{00000000-0010-0000-0900-000004000000}" name="الوارد"/>
    <tableColumn id="5" xr3:uid="{00000000-0010-0000-0900-000005000000}" name="المنصرف"/>
    <tableColumn id="6" xr3:uid="{00000000-0010-0000-0900-000006000000}" name="التسوية"/>
    <tableColumn id="7" xr3:uid="{00000000-0010-0000-0900-000007000000}" name="الرصيد"/>
    <tableColumn id="8" xr3:uid="{00000000-0010-0000-0900-000008000000}" name="تكلفة الوحدة"/>
    <tableColumn id="9" xr3:uid="{00000000-0010-0000-0900-000009000000}" name="قيمة الحركة"/>
    <tableColumn id="10" xr3:uid="{00000000-0010-0000-0900-00000A000000}" name="قيمة الرصيد"/>
    <tableColumn id="11" xr3:uid="{00000000-0010-0000-0900-00000B000000}" name="Batch/Lot"/>
    <tableColumn id="12" xr3:uid="{00000000-0010-0000-0900-00000C000000}" name="ملاحظات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Reports" displayName="Reports" ref="A3:B10">
  <autoFilter ref="A3:B10" xr:uid="{00000000-0009-0000-0100-00000B000000}"/>
  <tableColumns count="2">
    <tableColumn id="1" xr3:uid="{00000000-0010-0000-0A00-000001000000}" name="البند"/>
    <tableColumn id="2" xr3:uid="{00000000-0010-0000-0A00-000002000000}" name="القيم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showGridLines="0" workbookViewId="0"/>
  </sheetViews>
  <sheetFormatPr defaultRowHeight="13.5" x14ac:dyDescent="0.15"/>
  <sheetData>
    <row r="1" spans="1:10" x14ac:dyDescent="0.15">
      <c r="A1" s="14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1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15">
      <c r="A3" s="12" t="s">
        <v>1</v>
      </c>
      <c r="B3" s="8"/>
      <c r="C3" s="15" t="s">
        <v>2</v>
      </c>
      <c r="D3" s="8"/>
      <c r="E3" s="16" t="s">
        <v>3</v>
      </c>
      <c r="F3" s="8"/>
      <c r="G3" s="13" t="s">
        <v>4</v>
      </c>
      <c r="H3" s="8"/>
      <c r="I3" s="1"/>
      <c r="J3" s="1"/>
    </row>
    <row r="4" spans="1:10" x14ac:dyDescent="0.15">
      <c r="A4" s="10">
        <f>SUM(Purchases!M4:M203)</f>
        <v>0</v>
      </c>
      <c r="B4" s="8"/>
      <c r="C4" s="10">
        <f>SUM(Issues!K4:K203)</f>
        <v>0</v>
      </c>
      <c r="D4" s="8"/>
      <c r="E4" s="10">
        <f>SUM(Valuation!K4:K103)</f>
        <v>0</v>
      </c>
      <c r="F4" s="8"/>
      <c r="G4" s="10">
        <f>SUM(Valuation!L4:L103)</f>
        <v>0</v>
      </c>
      <c r="H4" s="8"/>
      <c r="I4" s="1"/>
      <c r="J4" s="1"/>
    </row>
    <row r="5" spans="1:10" x14ac:dyDescent="0.1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1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15">
      <c r="A7" s="11" t="s">
        <v>5</v>
      </c>
      <c r="B7" s="8"/>
      <c r="C7" s="11" t="s">
        <v>6</v>
      </c>
      <c r="D7" s="8"/>
      <c r="E7" s="11" t="s">
        <v>7</v>
      </c>
      <c r="F7" s="8"/>
      <c r="G7" s="11" t="s">
        <v>8</v>
      </c>
      <c r="H7" s="8"/>
      <c r="I7" s="1"/>
      <c r="J7" s="1"/>
    </row>
    <row r="8" spans="1:10" x14ac:dyDescent="0.15">
      <c r="A8" s="9">
        <f>COUNTA('Item Master'!A4:A103)</f>
        <v>0</v>
      </c>
      <c r="B8" s="8"/>
      <c r="C8" s="9">
        <f>COUNTA(Warehouses!A4:A53)</f>
        <v>0</v>
      </c>
      <c r="D8" s="8"/>
      <c r="E8" s="9">
        <f>COUNTIF('Reorder'!G4:G103,"حرج")+COUNTIF('Reorder'!G4:G103,"إعادة طلب قريبًا")</f>
        <v>0</v>
      </c>
      <c r="F8" s="8"/>
      <c r="G8" s="9">
        <f>COUNTIF(Valuation!L4:L103,"&gt;0")</f>
        <v>0</v>
      </c>
      <c r="H8" s="8"/>
      <c r="I8" s="1"/>
      <c r="J8" s="1"/>
    </row>
    <row r="9" spans="1:10" x14ac:dyDescent="0.1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15">
      <c r="A11" s="2" t="s">
        <v>9</v>
      </c>
      <c r="B11" s="2" t="s">
        <v>10</v>
      </c>
      <c r="C11" s="1"/>
      <c r="D11" s="1"/>
      <c r="E11" s="1"/>
      <c r="F11" s="1"/>
      <c r="G11" s="1"/>
      <c r="H11" s="1"/>
      <c r="I11" s="1"/>
      <c r="J11" s="1"/>
    </row>
    <row r="12" spans="1:10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6.5" x14ac:dyDescent="0.2">
      <c r="A24" s="3" t="s">
        <v>11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15">
      <c r="A25" s="8" t="s">
        <v>12</v>
      </c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15">
      <c r="A26" s="8" t="s">
        <v>13</v>
      </c>
      <c r="B26" s="8"/>
      <c r="C26" s="8"/>
      <c r="D26" s="8"/>
      <c r="E26" s="8"/>
      <c r="F26" s="8"/>
      <c r="G26" s="8"/>
      <c r="H26" s="8"/>
      <c r="I26" s="8"/>
      <c r="J26" s="8"/>
    </row>
    <row r="27" spans="1:10" x14ac:dyDescent="0.15">
      <c r="A27" s="8" t="s">
        <v>14</v>
      </c>
      <c r="B27" s="8"/>
      <c r="C27" s="8"/>
      <c r="D27" s="8"/>
      <c r="E27" s="8"/>
      <c r="F27" s="8"/>
      <c r="G27" s="8"/>
      <c r="H27" s="8"/>
      <c r="I27" s="8"/>
      <c r="J27" s="8"/>
    </row>
    <row r="28" spans="1:10" x14ac:dyDescent="0.15">
      <c r="A28" s="8" t="s">
        <v>15</v>
      </c>
      <c r="B28" s="8"/>
      <c r="C28" s="8"/>
      <c r="D28" s="8"/>
      <c r="E28" s="8"/>
      <c r="F28" s="8"/>
      <c r="G28" s="8"/>
      <c r="H28" s="8"/>
      <c r="I28" s="8"/>
      <c r="J28" s="8"/>
    </row>
    <row r="29" spans="1:10" x14ac:dyDescent="0.15">
      <c r="A29" s="8" t="s">
        <v>16</v>
      </c>
      <c r="B29" s="8"/>
      <c r="C29" s="8"/>
      <c r="D29" s="8"/>
      <c r="E29" s="8"/>
      <c r="F29" s="8"/>
      <c r="G29" s="8"/>
      <c r="H29" s="8"/>
      <c r="I29" s="8"/>
      <c r="J29" s="8"/>
    </row>
  </sheetData>
  <mergeCells count="22">
    <mergeCell ref="A3:B3"/>
    <mergeCell ref="G3:H3"/>
    <mergeCell ref="A1:J1"/>
    <mergeCell ref="A8:B8"/>
    <mergeCell ref="A25:J25"/>
    <mergeCell ref="C8:D8"/>
    <mergeCell ref="A4:B4"/>
    <mergeCell ref="G4:H4"/>
    <mergeCell ref="C7:D7"/>
    <mergeCell ref="E7:F7"/>
    <mergeCell ref="C3:D3"/>
    <mergeCell ref="E3:F3"/>
    <mergeCell ref="A29:J29"/>
    <mergeCell ref="G8:H8"/>
    <mergeCell ref="A28:J28"/>
    <mergeCell ref="E8:F8"/>
    <mergeCell ref="C4:D4"/>
    <mergeCell ref="E4:F4"/>
    <mergeCell ref="A7:B7"/>
    <mergeCell ref="G7:H7"/>
    <mergeCell ref="A27:J27"/>
    <mergeCell ref="A26:J2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showGridLines="0" workbookViewId="0"/>
  </sheetViews>
  <sheetFormatPr defaultRowHeight="13.5" x14ac:dyDescent="0.15"/>
  <cols>
    <col min="1" max="5" width="24.02734375" customWidth="1"/>
  </cols>
  <sheetData>
    <row r="1" spans="1:5" x14ac:dyDescent="0.1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</row>
    <row r="2" spans="1:5" x14ac:dyDescent="0.1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</row>
    <row r="3" spans="1:5" x14ac:dyDescent="0.1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</row>
    <row r="4" spans="1:5" x14ac:dyDescent="0.15">
      <c r="A4" s="1"/>
      <c r="B4" s="1" t="s">
        <v>32</v>
      </c>
      <c r="C4" s="1" t="s">
        <v>33</v>
      </c>
      <c r="D4" s="1" t="s">
        <v>34</v>
      </c>
      <c r="E4" s="1" t="s">
        <v>35</v>
      </c>
    </row>
    <row r="5" spans="1:5" x14ac:dyDescent="0.15">
      <c r="A5" s="1"/>
      <c r="B5" s="1" t="s">
        <v>36</v>
      </c>
      <c r="C5" s="1" t="s">
        <v>37</v>
      </c>
      <c r="D5" s="1"/>
      <c r="E5" s="1" t="s">
        <v>38</v>
      </c>
    </row>
    <row r="6" spans="1:5" x14ac:dyDescent="0.15">
      <c r="A6" s="1"/>
      <c r="B6" s="1" t="s">
        <v>39</v>
      </c>
      <c r="C6" s="1" t="s">
        <v>40</v>
      </c>
      <c r="D6" s="1"/>
      <c r="E6" s="1" t="s">
        <v>41</v>
      </c>
    </row>
    <row r="7" spans="1:5" x14ac:dyDescent="0.15">
      <c r="A7" s="1"/>
      <c r="B7" s="1"/>
      <c r="C7" s="1" t="s">
        <v>42</v>
      </c>
      <c r="D7" s="1"/>
      <c r="E7" s="1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3"/>
  <sheetViews>
    <sheetView showGridLines="0" workbookViewId="0">
      <pane ySplit="3" topLeftCell="A4" activePane="bottomLeft" state="frozen"/>
      <selection pane="bottomLeft"/>
    </sheetView>
  </sheetViews>
  <sheetFormatPr defaultRowHeight="13.5" x14ac:dyDescent="0.15"/>
  <cols>
    <col min="1" max="14" width="19" customWidth="1"/>
  </cols>
  <sheetData>
    <row r="1" spans="1:14" ht="22.5" x14ac:dyDescent="0.15">
      <c r="A1" s="14" t="s">
        <v>44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2" t="s">
        <v>45</v>
      </c>
      <c r="B3" s="2" t="s">
        <v>46</v>
      </c>
      <c r="C3" s="2" t="s">
        <v>18</v>
      </c>
      <c r="D3" s="2" t="s">
        <v>47</v>
      </c>
      <c r="E3" s="2" t="s">
        <v>9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20</v>
      </c>
      <c r="K3" s="2" t="s">
        <v>52</v>
      </c>
      <c r="L3" s="2" t="s">
        <v>53</v>
      </c>
      <c r="M3" s="2" t="s">
        <v>17</v>
      </c>
      <c r="N3" s="2" t="s">
        <v>11</v>
      </c>
    </row>
    <row r="4" spans="1:14" x14ac:dyDescent="0.15">
      <c r="A4" s="1"/>
      <c r="B4" s="1"/>
      <c r="C4" s="1"/>
      <c r="D4" s="1"/>
      <c r="E4" s="1"/>
      <c r="F4" s="1"/>
      <c r="G4" s="1"/>
      <c r="H4" s="1"/>
      <c r="I4" s="1"/>
      <c r="J4" s="1" t="s">
        <v>30</v>
      </c>
      <c r="K4" s="1"/>
      <c r="L4" s="1"/>
      <c r="M4" s="1" t="s">
        <v>22</v>
      </c>
      <c r="N4" s="1"/>
    </row>
    <row r="5" spans="1:14" x14ac:dyDescent="0.15">
      <c r="A5" s="1"/>
      <c r="B5" s="1"/>
      <c r="C5" s="1"/>
      <c r="D5" s="1"/>
      <c r="E5" s="1"/>
      <c r="F5" s="1"/>
      <c r="G5" s="1"/>
      <c r="H5" s="1"/>
      <c r="I5" s="1"/>
      <c r="J5" s="1" t="s">
        <v>30</v>
      </c>
      <c r="K5" s="1"/>
      <c r="L5" s="1"/>
      <c r="M5" s="1" t="s">
        <v>22</v>
      </c>
      <c r="N5" s="1"/>
    </row>
    <row r="6" spans="1:14" x14ac:dyDescent="0.15">
      <c r="A6" s="1"/>
      <c r="B6" s="1"/>
      <c r="C6" s="1"/>
      <c r="D6" s="1"/>
      <c r="E6" s="1"/>
      <c r="F6" s="1"/>
      <c r="G6" s="1"/>
      <c r="H6" s="1"/>
      <c r="I6" s="1"/>
      <c r="J6" s="1" t="s">
        <v>30</v>
      </c>
      <c r="K6" s="1"/>
      <c r="L6" s="1"/>
      <c r="M6" s="1" t="s">
        <v>22</v>
      </c>
      <c r="N6" s="1"/>
    </row>
    <row r="7" spans="1:14" x14ac:dyDescent="0.15">
      <c r="A7" s="1"/>
      <c r="B7" s="1"/>
      <c r="C7" s="1"/>
      <c r="D7" s="1"/>
      <c r="E7" s="1"/>
      <c r="F7" s="1"/>
      <c r="G7" s="1"/>
      <c r="H7" s="1"/>
      <c r="I7" s="1"/>
      <c r="J7" s="1" t="s">
        <v>30</v>
      </c>
      <c r="K7" s="1"/>
      <c r="L7" s="1"/>
      <c r="M7" s="1" t="s">
        <v>22</v>
      </c>
      <c r="N7" s="1"/>
    </row>
    <row r="8" spans="1:14" x14ac:dyDescent="0.15">
      <c r="A8" s="1"/>
      <c r="B8" s="1"/>
      <c r="C8" s="1"/>
      <c r="D8" s="1"/>
      <c r="E8" s="1"/>
      <c r="F8" s="1"/>
      <c r="G8" s="1"/>
      <c r="H8" s="1"/>
      <c r="I8" s="1"/>
      <c r="J8" s="1" t="s">
        <v>30</v>
      </c>
      <c r="K8" s="1"/>
      <c r="L8" s="1"/>
      <c r="M8" s="1" t="s">
        <v>22</v>
      </c>
      <c r="N8" s="1"/>
    </row>
    <row r="9" spans="1:14" x14ac:dyDescent="0.15">
      <c r="A9" s="1"/>
      <c r="B9" s="1"/>
      <c r="C9" s="1"/>
      <c r="D9" s="1"/>
      <c r="E9" s="1"/>
      <c r="F9" s="1"/>
      <c r="G9" s="1"/>
      <c r="H9" s="1"/>
      <c r="I9" s="1"/>
      <c r="J9" s="1" t="s">
        <v>30</v>
      </c>
      <c r="K9" s="1"/>
      <c r="L9" s="1"/>
      <c r="M9" s="1" t="s">
        <v>22</v>
      </c>
      <c r="N9" s="1"/>
    </row>
    <row r="10" spans="1:14" x14ac:dyDescent="0.15">
      <c r="A10" s="1"/>
      <c r="B10" s="1"/>
      <c r="C10" s="1"/>
      <c r="D10" s="1"/>
      <c r="E10" s="1"/>
      <c r="F10" s="1"/>
      <c r="G10" s="1"/>
      <c r="H10" s="1"/>
      <c r="I10" s="1"/>
      <c r="J10" s="1" t="s">
        <v>30</v>
      </c>
      <c r="K10" s="1"/>
      <c r="L10" s="1"/>
      <c r="M10" s="1" t="s">
        <v>22</v>
      </c>
      <c r="N10" s="1"/>
    </row>
    <row r="11" spans="1:14" x14ac:dyDescent="0.15">
      <c r="A11" s="1"/>
      <c r="B11" s="1"/>
      <c r="C11" s="1"/>
      <c r="D11" s="1"/>
      <c r="E11" s="1"/>
      <c r="F11" s="1"/>
      <c r="G11" s="1"/>
      <c r="H11" s="1"/>
      <c r="I11" s="1"/>
      <c r="J11" s="1" t="s">
        <v>30</v>
      </c>
      <c r="K11" s="1"/>
      <c r="L11" s="1"/>
      <c r="M11" s="1" t="s">
        <v>22</v>
      </c>
      <c r="N11" s="1"/>
    </row>
    <row r="12" spans="1:14" x14ac:dyDescent="0.15">
      <c r="A12" s="1"/>
      <c r="B12" s="1"/>
      <c r="C12" s="1"/>
      <c r="D12" s="1"/>
      <c r="E12" s="1"/>
      <c r="F12" s="1"/>
      <c r="G12" s="1"/>
      <c r="H12" s="1"/>
      <c r="I12" s="1"/>
      <c r="J12" s="1" t="s">
        <v>30</v>
      </c>
      <c r="K12" s="1"/>
      <c r="L12" s="1"/>
      <c r="M12" s="1" t="s">
        <v>22</v>
      </c>
      <c r="N12" s="1"/>
    </row>
    <row r="13" spans="1:14" x14ac:dyDescent="0.15">
      <c r="A13" s="1"/>
      <c r="B13" s="1"/>
      <c r="C13" s="1"/>
      <c r="D13" s="1"/>
      <c r="E13" s="1"/>
      <c r="F13" s="1"/>
      <c r="G13" s="1"/>
      <c r="H13" s="1"/>
      <c r="I13" s="1"/>
      <c r="J13" s="1" t="s">
        <v>30</v>
      </c>
      <c r="K13" s="1"/>
      <c r="L13" s="1"/>
      <c r="M13" s="1" t="s">
        <v>22</v>
      </c>
      <c r="N13" s="1"/>
    </row>
    <row r="14" spans="1:14" x14ac:dyDescent="0.15">
      <c r="A14" s="1"/>
      <c r="B14" s="1"/>
      <c r="C14" s="1"/>
      <c r="D14" s="1"/>
      <c r="E14" s="1"/>
      <c r="F14" s="1"/>
      <c r="G14" s="1"/>
      <c r="H14" s="1"/>
      <c r="I14" s="1"/>
      <c r="J14" s="1" t="s">
        <v>30</v>
      </c>
      <c r="K14" s="1"/>
      <c r="L14" s="1"/>
      <c r="M14" s="1" t="s">
        <v>22</v>
      </c>
      <c r="N14" s="1"/>
    </row>
    <row r="15" spans="1:14" x14ac:dyDescent="0.15">
      <c r="A15" s="1"/>
      <c r="B15" s="1"/>
      <c r="C15" s="1"/>
      <c r="D15" s="1"/>
      <c r="E15" s="1"/>
      <c r="F15" s="1"/>
      <c r="G15" s="1"/>
      <c r="H15" s="1"/>
      <c r="I15" s="1"/>
      <c r="J15" s="1" t="s">
        <v>30</v>
      </c>
      <c r="K15" s="1"/>
      <c r="L15" s="1"/>
      <c r="M15" s="1" t="s">
        <v>22</v>
      </c>
      <c r="N15" s="1"/>
    </row>
    <row r="16" spans="1:14" x14ac:dyDescent="0.15">
      <c r="A16" s="1"/>
      <c r="B16" s="1"/>
      <c r="C16" s="1"/>
      <c r="D16" s="1"/>
      <c r="E16" s="1"/>
      <c r="F16" s="1"/>
      <c r="G16" s="1"/>
      <c r="H16" s="1"/>
      <c r="I16" s="1"/>
      <c r="J16" s="1" t="s">
        <v>30</v>
      </c>
      <c r="K16" s="1"/>
      <c r="L16" s="1"/>
      <c r="M16" s="1" t="s">
        <v>22</v>
      </c>
      <c r="N16" s="1"/>
    </row>
    <row r="17" spans="1:14" x14ac:dyDescent="0.15">
      <c r="A17" s="1"/>
      <c r="B17" s="1"/>
      <c r="C17" s="1"/>
      <c r="D17" s="1"/>
      <c r="E17" s="1"/>
      <c r="F17" s="1"/>
      <c r="G17" s="1"/>
      <c r="H17" s="1"/>
      <c r="I17" s="1"/>
      <c r="J17" s="1" t="s">
        <v>30</v>
      </c>
      <c r="K17" s="1"/>
      <c r="L17" s="1"/>
      <c r="M17" s="1" t="s">
        <v>22</v>
      </c>
      <c r="N17" s="1"/>
    </row>
    <row r="18" spans="1:14" x14ac:dyDescent="0.15">
      <c r="A18" s="1"/>
      <c r="B18" s="1"/>
      <c r="C18" s="1"/>
      <c r="D18" s="1"/>
      <c r="E18" s="1"/>
      <c r="F18" s="1"/>
      <c r="G18" s="1"/>
      <c r="H18" s="1"/>
      <c r="I18" s="1"/>
      <c r="J18" s="1" t="s">
        <v>30</v>
      </c>
      <c r="K18" s="1"/>
      <c r="L18" s="1"/>
      <c r="M18" s="1" t="s">
        <v>22</v>
      </c>
      <c r="N18" s="1"/>
    </row>
    <row r="19" spans="1:14" x14ac:dyDescent="0.15">
      <c r="A19" s="1"/>
      <c r="B19" s="1"/>
      <c r="C19" s="1"/>
      <c r="D19" s="1"/>
      <c r="E19" s="1"/>
      <c r="F19" s="1"/>
      <c r="G19" s="1"/>
      <c r="H19" s="1"/>
      <c r="I19" s="1"/>
      <c r="J19" s="1" t="s">
        <v>30</v>
      </c>
      <c r="K19" s="1"/>
      <c r="L19" s="1"/>
      <c r="M19" s="1" t="s">
        <v>22</v>
      </c>
      <c r="N19" s="1"/>
    </row>
    <row r="20" spans="1:14" x14ac:dyDescent="0.15">
      <c r="A20" s="1"/>
      <c r="B20" s="1"/>
      <c r="C20" s="1"/>
      <c r="D20" s="1"/>
      <c r="E20" s="1"/>
      <c r="F20" s="1"/>
      <c r="G20" s="1"/>
      <c r="H20" s="1"/>
      <c r="I20" s="1"/>
      <c r="J20" s="1" t="s">
        <v>30</v>
      </c>
      <c r="K20" s="1"/>
      <c r="L20" s="1"/>
      <c r="M20" s="1" t="s">
        <v>22</v>
      </c>
      <c r="N20" s="1"/>
    </row>
    <row r="21" spans="1:14" x14ac:dyDescent="0.15">
      <c r="A21" s="1"/>
      <c r="B21" s="1"/>
      <c r="C21" s="1"/>
      <c r="D21" s="1"/>
      <c r="E21" s="1"/>
      <c r="F21" s="1"/>
      <c r="G21" s="1"/>
      <c r="H21" s="1"/>
      <c r="I21" s="1"/>
      <c r="J21" s="1" t="s">
        <v>30</v>
      </c>
      <c r="K21" s="1"/>
      <c r="L21" s="1"/>
      <c r="M21" s="1" t="s">
        <v>22</v>
      </c>
      <c r="N21" s="1"/>
    </row>
    <row r="22" spans="1:14" x14ac:dyDescent="0.15">
      <c r="A22" s="1"/>
      <c r="B22" s="1"/>
      <c r="C22" s="1"/>
      <c r="D22" s="1"/>
      <c r="E22" s="1"/>
      <c r="F22" s="1"/>
      <c r="G22" s="1"/>
      <c r="H22" s="1"/>
      <c r="I22" s="1"/>
      <c r="J22" s="1" t="s">
        <v>30</v>
      </c>
      <c r="K22" s="1"/>
      <c r="L22" s="1"/>
      <c r="M22" s="1" t="s">
        <v>22</v>
      </c>
      <c r="N22" s="1"/>
    </row>
    <row r="23" spans="1:14" x14ac:dyDescent="0.15">
      <c r="A23" s="1"/>
      <c r="B23" s="1"/>
      <c r="C23" s="1"/>
      <c r="D23" s="1"/>
      <c r="E23" s="1"/>
      <c r="F23" s="1"/>
      <c r="G23" s="1"/>
      <c r="H23" s="1"/>
      <c r="I23" s="1"/>
      <c r="J23" s="1" t="s">
        <v>30</v>
      </c>
      <c r="K23" s="1"/>
      <c r="L23" s="1"/>
      <c r="M23" s="1" t="s">
        <v>22</v>
      </c>
      <c r="N23" s="1"/>
    </row>
    <row r="24" spans="1:14" x14ac:dyDescent="0.15">
      <c r="A24" s="1"/>
      <c r="B24" s="1"/>
      <c r="C24" s="1"/>
      <c r="D24" s="1"/>
      <c r="E24" s="1"/>
      <c r="F24" s="1"/>
      <c r="G24" s="1"/>
      <c r="H24" s="1"/>
      <c r="I24" s="1"/>
      <c r="J24" s="1" t="s">
        <v>30</v>
      </c>
      <c r="K24" s="1"/>
      <c r="L24" s="1"/>
      <c r="M24" s="1" t="s">
        <v>22</v>
      </c>
      <c r="N24" s="1"/>
    </row>
    <row r="25" spans="1:14" x14ac:dyDescent="0.15">
      <c r="A25" s="1"/>
      <c r="B25" s="1"/>
      <c r="C25" s="1"/>
      <c r="D25" s="1"/>
      <c r="E25" s="1"/>
      <c r="F25" s="1"/>
      <c r="G25" s="1"/>
      <c r="H25" s="1"/>
      <c r="I25" s="1"/>
      <c r="J25" s="1" t="s">
        <v>30</v>
      </c>
      <c r="K25" s="1"/>
      <c r="L25" s="1"/>
      <c r="M25" s="1" t="s">
        <v>22</v>
      </c>
      <c r="N25" s="1"/>
    </row>
    <row r="26" spans="1:14" x14ac:dyDescent="0.15">
      <c r="A26" s="1"/>
      <c r="B26" s="1"/>
      <c r="C26" s="1"/>
      <c r="D26" s="1"/>
      <c r="E26" s="1"/>
      <c r="F26" s="1"/>
      <c r="G26" s="1"/>
      <c r="H26" s="1"/>
      <c r="I26" s="1"/>
      <c r="J26" s="1" t="s">
        <v>30</v>
      </c>
      <c r="K26" s="1"/>
      <c r="L26" s="1"/>
      <c r="M26" s="1" t="s">
        <v>22</v>
      </c>
      <c r="N26" s="1"/>
    </row>
    <row r="27" spans="1:14" x14ac:dyDescent="0.15">
      <c r="A27" s="1"/>
      <c r="B27" s="1"/>
      <c r="C27" s="1"/>
      <c r="D27" s="1"/>
      <c r="E27" s="1"/>
      <c r="F27" s="1"/>
      <c r="G27" s="1"/>
      <c r="H27" s="1"/>
      <c r="I27" s="1"/>
      <c r="J27" s="1" t="s">
        <v>30</v>
      </c>
      <c r="K27" s="1"/>
      <c r="L27" s="1"/>
      <c r="M27" s="1" t="s">
        <v>22</v>
      </c>
      <c r="N27" s="1"/>
    </row>
    <row r="28" spans="1:14" x14ac:dyDescent="0.15">
      <c r="A28" s="1"/>
      <c r="B28" s="1"/>
      <c r="C28" s="1"/>
      <c r="D28" s="1"/>
      <c r="E28" s="1"/>
      <c r="F28" s="1"/>
      <c r="G28" s="1"/>
      <c r="H28" s="1"/>
      <c r="I28" s="1"/>
      <c r="J28" s="1" t="s">
        <v>30</v>
      </c>
      <c r="K28" s="1"/>
      <c r="L28" s="1"/>
      <c r="M28" s="1" t="s">
        <v>22</v>
      </c>
      <c r="N28" s="1"/>
    </row>
    <row r="29" spans="1:14" x14ac:dyDescent="0.15">
      <c r="A29" s="1"/>
      <c r="B29" s="1"/>
      <c r="C29" s="1"/>
      <c r="D29" s="1"/>
      <c r="E29" s="1"/>
      <c r="F29" s="1"/>
      <c r="G29" s="1"/>
      <c r="H29" s="1"/>
      <c r="I29" s="1"/>
      <c r="J29" s="1" t="s">
        <v>30</v>
      </c>
      <c r="K29" s="1"/>
      <c r="L29" s="1"/>
      <c r="M29" s="1" t="s">
        <v>22</v>
      </c>
      <c r="N29" s="1"/>
    </row>
    <row r="30" spans="1:14" x14ac:dyDescent="0.15">
      <c r="A30" s="1"/>
      <c r="B30" s="1"/>
      <c r="C30" s="1"/>
      <c r="D30" s="1"/>
      <c r="E30" s="1"/>
      <c r="F30" s="1"/>
      <c r="G30" s="1"/>
      <c r="H30" s="1"/>
      <c r="I30" s="1"/>
      <c r="J30" s="1" t="s">
        <v>30</v>
      </c>
      <c r="K30" s="1"/>
      <c r="L30" s="1"/>
      <c r="M30" s="1" t="s">
        <v>22</v>
      </c>
      <c r="N30" s="1"/>
    </row>
    <row r="31" spans="1:14" x14ac:dyDescent="0.15">
      <c r="A31" s="1"/>
      <c r="B31" s="1"/>
      <c r="C31" s="1"/>
      <c r="D31" s="1"/>
      <c r="E31" s="1"/>
      <c r="F31" s="1"/>
      <c r="G31" s="1"/>
      <c r="H31" s="1"/>
      <c r="I31" s="1"/>
      <c r="J31" s="1" t="s">
        <v>30</v>
      </c>
      <c r="K31" s="1"/>
      <c r="L31" s="1"/>
      <c r="M31" s="1" t="s">
        <v>22</v>
      </c>
      <c r="N31" s="1"/>
    </row>
    <row r="32" spans="1:14" x14ac:dyDescent="0.15">
      <c r="A32" s="1"/>
      <c r="B32" s="1"/>
      <c r="C32" s="1"/>
      <c r="D32" s="1"/>
      <c r="E32" s="1"/>
      <c r="F32" s="1"/>
      <c r="G32" s="1"/>
      <c r="H32" s="1"/>
      <c r="I32" s="1"/>
      <c r="J32" s="1" t="s">
        <v>30</v>
      </c>
      <c r="K32" s="1"/>
      <c r="L32" s="1"/>
      <c r="M32" s="1" t="s">
        <v>22</v>
      </c>
      <c r="N32" s="1"/>
    </row>
    <row r="33" spans="1:14" x14ac:dyDescent="0.15">
      <c r="A33" s="1"/>
      <c r="B33" s="1"/>
      <c r="C33" s="1"/>
      <c r="D33" s="1"/>
      <c r="E33" s="1"/>
      <c r="F33" s="1"/>
      <c r="G33" s="1"/>
      <c r="H33" s="1"/>
      <c r="I33" s="1"/>
      <c r="J33" s="1" t="s">
        <v>30</v>
      </c>
      <c r="K33" s="1"/>
      <c r="L33" s="1"/>
      <c r="M33" s="1" t="s">
        <v>22</v>
      </c>
      <c r="N33" s="1"/>
    </row>
    <row r="34" spans="1:14" x14ac:dyDescent="0.15">
      <c r="A34" s="1"/>
      <c r="B34" s="1"/>
      <c r="C34" s="1"/>
      <c r="D34" s="1"/>
      <c r="E34" s="1"/>
      <c r="F34" s="1"/>
      <c r="G34" s="1"/>
      <c r="H34" s="1"/>
      <c r="I34" s="1"/>
      <c r="J34" s="1" t="s">
        <v>30</v>
      </c>
      <c r="K34" s="1"/>
      <c r="L34" s="1"/>
      <c r="M34" s="1" t="s">
        <v>22</v>
      </c>
      <c r="N34" s="1"/>
    </row>
    <row r="35" spans="1:14" x14ac:dyDescent="0.15">
      <c r="A35" s="1"/>
      <c r="B35" s="1"/>
      <c r="C35" s="1"/>
      <c r="D35" s="1"/>
      <c r="E35" s="1"/>
      <c r="F35" s="1"/>
      <c r="G35" s="1"/>
      <c r="H35" s="1"/>
      <c r="I35" s="1"/>
      <c r="J35" s="1" t="s">
        <v>30</v>
      </c>
      <c r="K35" s="1"/>
      <c r="L35" s="1"/>
      <c r="M35" s="1" t="s">
        <v>22</v>
      </c>
      <c r="N35" s="1"/>
    </row>
    <row r="36" spans="1:14" x14ac:dyDescent="0.15">
      <c r="A36" s="1"/>
      <c r="B36" s="1"/>
      <c r="C36" s="1"/>
      <c r="D36" s="1"/>
      <c r="E36" s="1"/>
      <c r="F36" s="1"/>
      <c r="G36" s="1"/>
      <c r="H36" s="1"/>
      <c r="I36" s="1"/>
      <c r="J36" s="1" t="s">
        <v>30</v>
      </c>
      <c r="K36" s="1"/>
      <c r="L36" s="1"/>
      <c r="M36" s="1" t="s">
        <v>22</v>
      </c>
      <c r="N36" s="1"/>
    </row>
    <row r="37" spans="1:14" x14ac:dyDescent="0.15">
      <c r="A37" s="1"/>
      <c r="B37" s="1"/>
      <c r="C37" s="1"/>
      <c r="D37" s="1"/>
      <c r="E37" s="1"/>
      <c r="F37" s="1"/>
      <c r="G37" s="1"/>
      <c r="H37" s="1"/>
      <c r="I37" s="1"/>
      <c r="J37" s="1" t="s">
        <v>30</v>
      </c>
      <c r="K37" s="1"/>
      <c r="L37" s="1"/>
      <c r="M37" s="1" t="s">
        <v>22</v>
      </c>
      <c r="N37" s="1"/>
    </row>
    <row r="38" spans="1:14" x14ac:dyDescent="0.15">
      <c r="A38" s="1"/>
      <c r="B38" s="1"/>
      <c r="C38" s="1"/>
      <c r="D38" s="1"/>
      <c r="E38" s="1"/>
      <c r="F38" s="1"/>
      <c r="G38" s="1"/>
      <c r="H38" s="1"/>
      <c r="I38" s="1"/>
      <c r="J38" s="1" t="s">
        <v>30</v>
      </c>
      <c r="K38" s="1"/>
      <c r="L38" s="1"/>
      <c r="M38" s="1" t="s">
        <v>22</v>
      </c>
      <c r="N38" s="1"/>
    </row>
    <row r="39" spans="1:14" x14ac:dyDescent="0.15">
      <c r="A39" s="1"/>
      <c r="B39" s="1"/>
      <c r="C39" s="1"/>
      <c r="D39" s="1"/>
      <c r="E39" s="1"/>
      <c r="F39" s="1"/>
      <c r="G39" s="1"/>
      <c r="H39" s="1"/>
      <c r="I39" s="1"/>
      <c r="J39" s="1" t="s">
        <v>30</v>
      </c>
      <c r="K39" s="1"/>
      <c r="L39" s="1"/>
      <c r="M39" s="1" t="s">
        <v>22</v>
      </c>
      <c r="N39" s="1"/>
    </row>
    <row r="40" spans="1:14" x14ac:dyDescent="0.15">
      <c r="A40" s="1"/>
      <c r="B40" s="1"/>
      <c r="C40" s="1"/>
      <c r="D40" s="1"/>
      <c r="E40" s="1"/>
      <c r="F40" s="1"/>
      <c r="G40" s="1"/>
      <c r="H40" s="1"/>
      <c r="I40" s="1"/>
      <c r="J40" s="1" t="s">
        <v>30</v>
      </c>
      <c r="K40" s="1"/>
      <c r="L40" s="1"/>
      <c r="M40" s="1" t="s">
        <v>22</v>
      </c>
      <c r="N40" s="1"/>
    </row>
    <row r="41" spans="1:14" x14ac:dyDescent="0.15">
      <c r="A41" s="1"/>
      <c r="B41" s="1"/>
      <c r="C41" s="1"/>
      <c r="D41" s="1"/>
      <c r="E41" s="1"/>
      <c r="F41" s="1"/>
      <c r="G41" s="1"/>
      <c r="H41" s="1"/>
      <c r="I41" s="1"/>
      <c r="J41" s="1" t="s">
        <v>30</v>
      </c>
      <c r="K41" s="1"/>
      <c r="L41" s="1"/>
      <c r="M41" s="1" t="s">
        <v>22</v>
      </c>
      <c r="N41" s="1"/>
    </row>
    <row r="42" spans="1:14" x14ac:dyDescent="0.15">
      <c r="A42" s="1"/>
      <c r="B42" s="1"/>
      <c r="C42" s="1"/>
      <c r="D42" s="1"/>
      <c r="E42" s="1"/>
      <c r="F42" s="1"/>
      <c r="G42" s="1"/>
      <c r="H42" s="1"/>
      <c r="I42" s="1"/>
      <c r="J42" s="1" t="s">
        <v>30</v>
      </c>
      <c r="K42" s="1"/>
      <c r="L42" s="1"/>
      <c r="M42" s="1" t="s">
        <v>22</v>
      </c>
      <c r="N42" s="1"/>
    </row>
    <row r="43" spans="1:14" x14ac:dyDescent="0.15">
      <c r="A43" s="1"/>
      <c r="B43" s="1"/>
      <c r="C43" s="1"/>
      <c r="D43" s="1"/>
      <c r="E43" s="1"/>
      <c r="F43" s="1"/>
      <c r="G43" s="1"/>
      <c r="H43" s="1"/>
      <c r="I43" s="1"/>
      <c r="J43" s="1" t="s">
        <v>30</v>
      </c>
      <c r="K43" s="1"/>
      <c r="L43" s="1"/>
      <c r="M43" s="1" t="s">
        <v>22</v>
      </c>
      <c r="N43" s="1"/>
    </row>
    <row r="44" spans="1:14" x14ac:dyDescent="0.15">
      <c r="A44" s="1"/>
      <c r="B44" s="1"/>
      <c r="C44" s="1"/>
      <c r="D44" s="1"/>
      <c r="E44" s="1"/>
      <c r="F44" s="1"/>
      <c r="G44" s="1"/>
      <c r="H44" s="1"/>
      <c r="I44" s="1"/>
      <c r="J44" s="1" t="s">
        <v>30</v>
      </c>
      <c r="K44" s="1"/>
      <c r="L44" s="1"/>
      <c r="M44" s="1" t="s">
        <v>22</v>
      </c>
      <c r="N44" s="1"/>
    </row>
    <row r="45" spans="1:14" x14ac:dyDescent="0.15">
      <c r="A45" s="1"/>
      <c r="B45" s="1"/>
      <c r="C45" s="1"/>
      <c r="D45" s="1"/>
      <c r="E45" s="1"/>
      <c r="F45" s="1"/>
      <c r="G45" s="1"/>
      <c r="H45" s="1"/>
      <c r="I45" s="1"/>
      <c r="J45" s="1" t="s">
        <v>30</v>
      </c>
      <c r="K45" s="1"/>
      <c r="L45" s="1"/>
      <c r="M45" s="1" t="s">
        <v>22</v>
      </c>
      <c r="N45" s="1"/>
    </row>
    <row r="46" spans="1:14" x14ac:dyDescent="0.15">
      <c r="A46" s="1"/>
      <c r="B46" s="1"/>
      <c r="C46" s="1"/>
      <c r="D46" s="1"/>
      <c r="E46" s="1"/>
      <c r="F46" s="1"/>
      <c r="G46" s="1"/>
      <c r="H46" s="1"/>
      <c r="I46" s="1"/>
      <c r="J46" s="1" t="s">
        <v>30</v>
      </c>
      <c r="K46" s="1"/>
      <c r="L46" s="1"/>
      <c r="M46" s="1" t="s">
        <v>22</v>
      </c>
      <c r="N46" s="1"/>
    </row>
    <row r="47" spans="1:14" x14ac:dyDescent="0.15">
      <c r="A47" s="1"/>
      <c r="B47" s="1"/>
      <c r="C47" s="1"/>
      <c r="D47" s="1"/>
      <c r="E47" s="1"/>
      <c r="F47" s="1"/>
      <c r="G47" s="1"/>
      <c r="H47" s="1"/>
      <c r="I47" s="1"/>
      <c r="J47" s="1" t="s">
        <v>30</v>
      </c>
      <c r="K47" s="1"/>
      <c r="L47" s="1"/>
      <c r="M47" s="1" t="s">
        <v>22</v>
      </c>
      <c r="N47" s="1"/>
    </row>
    <row r="48" spans="1:14" x14ac:dyDescent="0.15">
      <c r="A48" s="1"/>
      <c r="B48" s="1"/>
      <c r="C48" s="1"/>
      <c r="D48" s="1"/>
      <c r="E48" s="1"/>
      <c r="F48" s="1"/>
      <c r="G48" s="1"/>
      <c r="H48" s="1"/>
      <c r="I48" s="1"/>
      <c r="J48" s="1" t="s">
        <v>30</v>
      </c>
      <c r="K48" s="1"/>
      <c r="L48" s="1"/>
      <c r="M48" s="1" t="s">
        <v>22</v>
      </c>
      <c r="N48" s="1"/>
    </row>
    <row r="49" spans="1:14" x14ac:dyDescent="0.15">
      <c r="A49" s="1"/>
      <c r="B49" s="1"/>
      <c r="C49" s="1"/>
      <c r="D49" s="1"/>
      <c r="E49" s="1"/>
      <c r="F49" s="1"/>
      <c r="G49" s="1"/>
      <c r="H49" s="1"/>
      <c r="I49" s="1"/>
      <c r="J49" s="1" t="s">
        <v>30</v>
      </c>
      <c r="K49" s="1"/>
      <c r="L49" s="1"/>
      <c r="M49" s="1" t="s">
        <v>22</v>
      </c>
      <c r="N49" s="1"/>
    </row>
    <row r="50" spans="1:14" x14ac:dyDescent="0.15">
      <c r="A50" s="1"/>
      <c r="B50" s="1"/>
      <c r="C50" s="1"/>
      <c r="D50" s="1"/>
      <c r="E50" s="1"/>
      <c r="F50" s="1"/>
      <c r="G50" s="1"/>
      <c r="H50" s="1"/>
      <c r="I50" s="1"/>
      <c r="J50" s="1" t="s">
        <v>30</v>
      </c>
      <c r="K50" s="1"/>
      <c r="L50" s="1"/>
      <c r="M50" s="1" t="s">
        <v>22</v>
      </c>
      <c r="N50" s="1"/>
    </row>
    <row r="51" spans="1:14" x14ac:dyDescent="0.15">
      <c r="A51" s="1"/>
      <c r="B51" s="1"/>
      <c r="C51" s="1"/>
      <c r="D51" s="1"/>
      <c r="E51" s="1"/>
      <c r="F51" s="1"/>
      <c r="G51" s="1"/>
      <c r="H51" s="1"/>
      <c r="I51" s="1"/>
      <c r="J51" s="1" t="s">
        <v>30</v>
      </c>
      <c r="K51" s="1"/>
      <c r="L51" s="1"/>
      <c r="M51" s="1" t="s">
        <v>22</v>
      </c>
      <c r="N51" s="1"/>
    </row>
    <row r="52" spans="1:14" x14ac:dyDescent="0.15">
      <c r="A52" s="1"/>
      <c r="B52" s="1"/>
      <c r="C52" s="1"/>
      <c r="D52" s="1"/>
      <c r="E52" s="1"/>
      <c r="F52" s="1"/>
      <c r="G52" s="1"/>
      <c r="H52" s="1"/>
      <c r="I52" s="1"/>
      <c r="J52" s="1" t="s">
        <v>30</v>
      </c>
      <c r="K52" s="1"/>
      <c r="L52" s="1"/>
      <c r="M52" s="1" t="s">
        <v>22</v>
      </c>
      <c r="N52" s="1"/>
    </row>
    <row r="53" spans="1:14" x14ac:dyDescent="0.15">
      <c r="A53" s="1"/>
      <c r="B53" s="1"/>
      <c r="C53" s="1"/>
      <c r="D53" s="1"/>
      <c r="E53" s="1"/>
      <c r="F53" s="1"/>
      <c r="G53" s="1"/>
      <c r="H53" s="1"/>
      <c r="I53" s="1"/>
      <c r="J53" s="1" t="s">
        <v>30</v>
      </c>
      <c r="K53" s="1"/>
      <c r="L53" s="1"/>
      <c r="M53" s="1" t="s">
        <v>22</v>
      </c>
      <c r="N53" s="1"/>
    </row>
    <row r="54" spans="1:14" x14ac:dyDescent="0.15">
      <c r="A54" s="1"/>
      <c r="B54" s="1"/>
      <c r="C54" s="1"/>
      <c r="D54" s="1"/>
      <c r="E54" s="1"/>
      <c r="F54" s="1"/>
      <c r="G54" s="1"/>
      <c r="H54" s="1"/>
      <c r="I54" s="1"/>
      <c r="J54" s="1" t="s">
        <v>30</v>
      </c>
      <c r="K54" s="1"/>
      <c r="L54" s="1"/>
      <c r="M54" s="1" t="s">
        <v>22</v>
      </c>
      <c r="N54" s="1"/>
    </row>
    <row r="55" spans="1:14" x14ac:dyDescent="0.15">
      <c r="A55" s="1"/>
      <c r="B55" s="1"/>
      <c r="C55" s="1"/>
      <c r="D55" s="1"/>
      <c r="E55" s="1"/>
      <c r="F55" s="1"/>
      <c r="G55" s="1"/>
      <c r="H55" s="1"/>
      <c r="I55" s="1"/>
      <c r="J55" s="1" t="s">
        <v>30</v>
      </c>
      <c r="K55" s="1"/>
      <c r="L55" s="1"/>
      <c r="M55" s="1" t="s">
        <v>22</v>
      </c>
      <c r="N55" s="1"/>
    </row>
    <row r="56" spans="1:14" x14ac:dyDescent="0.15">
      <c r="A56" s="1"/>
      <c r="B56" s="1"/>
      <c r="C56" s="1"/>
      <c r="D56" s="1"/>
      <c r="E56" s="1"/>
      <c r="F56" s="1"/>
      <c r="G56" s="1"/>
      <c r="H56" s="1"/>
      <c r="I56" s="1"/>
      <c r="J56" s="1" t="s">
        <v>30</v>
      </c>
      <c r="K56" s="1"/>
      <c r="L56" s="1"/>
      <c r="M56" s="1" t="s">
        <v>22</v>
      </c>
      <c r="N56" s="1"/>
    </row>
    <row r="57" spans="1:14" x14ac:dyDescent="0.15">
      <c r="A57" s="1"/>
      <c r="B57" s="1"/>
      <c r="C57" s="1"/>
      <c r="D57" s="1"/>
      <c r="E57" s="1"/>
      <c r="F57" s="1"/>
      <c r="G57" s="1"/>
      <c r="H57" s="1"/>
      <c r="I57" s="1"/>
      <c r="J57" s="1" t="s">
        <v>30</v>
      </c>
      <c r="K57" s="1"/>
      <c r="L57" s="1"/>
      <c r="M57" s="1" t="s">
        <v>22</v>
      </c>
      <c r="N57" s="1"/>
    </row>
    <row r="58" spans="1:14" x14ac:dyDescent="0.15">
      <c r="A58" s="1"/>
      <c r="B58" s="1"/>
      <c r="C58" s="1"/>
      <c r="D58" s="1"/>
      <c r="E58" s="1"/>
      <c r="F58" s="1"/>
      <c r="G58" s="1"/>
      <c r="H58" s="1"/>
      <c r="I58" s="1"/>
      <c r="J58" s="1" t="s">
        <v>30</v>
      </c>
      <c r="K58" s="1"/>
      <c r="L58" s="1"/>
      <c r="M58" s="1" t="s">
        <v>22</v>
      </c>
      <c r="N58" s="1"/>
    </row>
    <row r="59" spans="1:14" x14ac:dyDescent="0.15">
      <c r="A59" s="1"/>
      <c r="B59" s="1"/>
      <c r="C59" s="1"/>
      <c r="D59" s="1"/>
      <c r="E59" s="1"/>
      <c r="F59" s="1"/>
      <c r="G59" s="1"/>
      <c r="H59" s="1"/>
      <c r="I59" s="1"/>
      <c r="J59" s="1" t="s">
        <v>30</v>
      </c>
      <c r="K59" s="1"/>
      <c r="L59" s="1"/>
      <c r="M59" s="1" t="s">
        <v>22</v>
      </c>
      <c r="N59" s="1"/>
    </row>
    <row r="60" spans="1:14" x14ac:dyDescent="0.15">
      <c r="A60" s="1"/>
      <c r="B60" s="1"/>
      <c r="C60" s="1"/>
      <c r="D60" s="1"/>
      <c r="E60" s="1"/>
      <c r="F60" s="1"/>
      <c r="G60" s="1"/>
      <c r="H60" s="1"/>
      <c r="I60" s="1"/>
      <c r="J60" s="1" t="s">
        <v>30</v>
      </c>
      <c r="K60" s="1"/>
      <c r="L60" s="1"/>
      <c r="M60" s="1" t="s">
        <v>22</v>
      </c>
      <c r="N60" s="1"/>
    </row>
    <row r="61" spans="1:14" x14ac:dyDescent="0.15">
      <c r="A61" s="1"/>
      <c r="B61" s="1"/>
      <c r="C61" s="1"/>
      <c r="D61" s="1"/>
      <c r="E61" s="1"/>
      <c r="F61" s="1"/>
      <c r="G61" s="1"/>
      <c r="H61" s="1"/>
      <c r="I61" s="1"/>
      <c r="J61" s="1" t="s">
        <v>30</v>
      </c>
      <c r="K61" s="1"/>
      <c r="L61" s="1"/>
      <c r="M61" s="1" t="s">
        <v>22</v>
      </c>
      <c r="N61" s="1"/>
    </row>
    <row r="62" spans="1:14" x14ac:dyDescent="0.15">
      <c r="A62" s="1"/>
      <c r="B62" s="1"/>
      <c r="C62" s="1"/>
      <c r="D62" s="1"/>
      <c r="E62" s="1"/>
      <c r="F62" s="1"/>
      <c r="G62" s="1"/>
      <c r="H62" s="1"/>
      <c r="I62" s="1"/>
      <c r="J62" s="1" t="s">
        <v>30</v>
      </c>
      <c r="K62" s="1"/>
      <c r="L62" s="1"/>
      <c r="M62" s="1" t="s">
        <v>22</v>
      </c>
      <c r="N62" s="1"/>
    </row>
    <row r="63" spans="1:14" x14ac:dyDescent="0.15">
      <c r="A63" s="1"/>
      <c r="B63" s="1"/>
      <c r="C63" s="1"/>
      <c r="D63" s="1"/>
      <c r="E63" s="1"/>
      <c r="F63" s="1"/>
      <c r="G63" s="1"/>
      <c r="H63" s="1"/>
      <c r="I63" s="1"/>
      <c r="J63" s="1" t="s">
        <v>30</v>
      </c>
      <c r="K63" s="1"/>
      <c r="L63" s="1"/>
      <c r="M63" s="1" t="s">
        <v>22</v>
      </c>
      <c r="N63" s="1"/>
    </row>
    <row r="64" spans="1:14" x14ac:dyDescent="0.15">
      <c r="A64" s="1"/>
      <c r="B64" s="1"/>
      <c r="C64" s="1"/>
      <c r="D64" s="1"/>
      <c r="E64" s="1"/>
      <c r="F64" s="1"/>
      <c r="G64" s="1"/>
      <c r="H64" s="1"/>
      <c r="I64" s="1"/>
      <c r="J64" s="1" t="s">
        <v>30</v>
      </c>
      <c r="K64" s="1"/>
      <c r="L64" s="1"/>
      <c r="M64" s="1" t="s">
        <v>22</v>
      </c>
      <c r="N64" s="1"/>
    </row>
    <row r="65" spans="1:14" x14ac:dyDescent="0.15">
      <c r="A65" s="1"/>
      <c r="B65" s="1"/>
      <c r="C65" s="1"/>
      <c r="D65" s="1"/>
      <c r="E65" s="1"/>
      <c r="F65" s="1"/>
      <c r="G65" s="1"/>
      <c r="H65" s="1"/>
      <c r="I65" s="1"/>
      <c r="J65" s="1" t="s">
        <v>30</v>
      </c>
      <c r="K65" s="1"/>
      <c r="L65" s="1"/>
      <c r="M65" s="1" t="s">
        <v>22</v>
      </c>
      <c r="N65" s="1"/>
    </row>
    <row r="66" spans="1:14" x14ac:dyDescent="0.15">
      <c r="A66" s="1"/>
      <c r="B66" s="1"/>
      <c r="C66" s="1"/>
      <c r="D66" s="1"/>
      <c r="E66" s="1"/>
      <c r="F66" s="1"/>
      <c r="G66" s="1"/>
      <c r="H66" s="1"/>
      <c r="I66" s="1"/>
      <c r="J66" s="1" t="s">
        <v>30</v>
      </c>
      <c r="K66" s="1"/>
      <c r="L66" s="1"/>
      <c r="M66" s="1" t="s">
        <v>22</v>
      </c>
      <c r="N66" s="1"/>
    </row>
    <row r="67" spans="1:14" x14ac:dyDescent="0.15">
      <c r="A67" s="1"/>
      <c r="B67" s="1"/>
      <c r="C67" s="1"/>
      <c r="D67" s="1"/>
      <c r="E67" s="1"/>
      <c r="F67" s="1"/>
      <c r="G67" s="1"/>
      <c r="H67" s="1"/>
      <c r="I67" s="1"/>
      <c r="J67" s="1" t="s">
        <v>30</v>
      </c>
      <c r="K67" s="1"/>
      <c r="L67" s="1"/>
      <c r="M67" s="1" t="s">
        <v>22</v>
      </c>
      <c r="N67" s="1"/>
    </row>
    <row r="68" spans="1:14" x14ac:dyDescent="0.15">
      <c r="A68" s="1"/>
      <c r="B68" s="1"/>
      <c r="C68" s="1"/>
      <c r="D68" s="1"/>
      <c r="E68" s="1"/>
      <c r="F68" s="1"/>
      <c r="G68" s="1"/>
      <c r="H68" s="1"/>
      <c r="I68" s="1"/>
      <c r="J68" s="1" t="s">
        <v>30</v>
      </c>
      <c r="K68" s="1"/>
      <c r="L68" s="1"/>
      <c r="M68" s="1" t="s">
        <v>22</v>
      </c>
      <c r="N68" s="1"/>
    </row>
    <row r="69" spans="1:14" x14ac:dyDescent="0.15">
      <c r="A69" s="1"/>
      <c r="B69" s="1"/>
      <c r="C69" s="1"/>
      <c r="D69" s="1"/>
      <c r="E69" s="1"/>
      <c r="F69" s="1"/>
      <c r="G69" s="1"/>
      <c r="H69" s="1"/>
      <c r="I69" s="1"/>
      <c r="J69" s="1" t="s">
        <v>30</v>
      </c>
      <c r="K69" s="1"/>
      <c r="L69" s="1"/>
      <c r="M69" s="1" t="s">
        <v>22</v>
      </c>
      <c r="N69" s="1"/>
    </row>
    <row r="70" spans="1:14" x14ac:dyDescent="0.15">
      <c r="A70" s="1"/>
      <c r="B70" s="1"/>
      <c r="C70" s="1"/>
      <c r="D70" s="1"/>
      <c r="E70" s="1"/>
      <c r="F70" s="1"/>
      <c r="G70" s="1"/>
      <c r="H70" s="1"/>
      <c r="I70" s="1"/>
      <c r="J70" s="1" t="s">
        <v>30</v>
      </c>
      <c r="K70" s="1"/>
      <c r="L70" s="1"/>
      <c r="M70" s="1" t="s">
        <v>22</v>
      </c>
      <c r="N70" s="1"/>
    </row>
    <row r="71" spans="1:14" x14ac:dyDescent="0.15">
      <c r="A71" s="1"/>
      <c r="B71" s="1"/>
      <c r="C71" s="1"/>
      <c r="D71" s="1"/>
      <c r="E71" s="1"/>
      <c r="F71" s="1"/>
      <c r="G71" s="1"/>
      <c r="H71" s="1"/>
      <c r="I71" s="1"/>
      <c r="J71" s="1" t="s">
        <v>30</v>
      </c>
      <c r="K71" s="1"/>
      <c r="L71" s="1"/>
      <c r="M71" s="1" t="s">
        <v>22</v>
      </c>
      <c r="N71" s="1"/>
    </row>
    <row r="72" spans="1:14" x14ac:dyDescent="0.15">
      <c r="A72" s="1"/>
      <c r="B72" s="1"/>
      <c r="C72" s="1"/>
      <c r="D72" s="1"/>
      <c r="E72" s="1"/>
      <c r="F72" s="1"/>
      <c r="G72" s="1"/>
      <c r="H72" s="1"/>
      <c r="I72" s="1"/>
      <c r="J72" s="1" t="s">
        <v>30</v>
      </c>
      <c r="K72" s="1"/>
      <c r="L72" s="1"/>
      <c r="M72" s="1" t="s">
        <v>22</v>
      </c>
      <c r="N72" s="1"/>
    </row>
    <row r="73" spans="1:14" x14ac:dyDescent="0.15">
      <c r="A73" s="1"/>
      <c r="B73" s="1"/>
      <c r="C73" s="1"/>
      <c r="D73" s="1"/>
      <c r="E73" s="1"/>
      <c r="F73" s="1"/>
      <c r="G73" s="1"/>
      <c r="H73" s="1"/>
      <c r="I73" s="1"/>
      <c r="J73" s="1" t="s">
        <v>30</v>
      </c>
      <c r="K73" s="1"/>
      <c r="L73" s="1"/>
      <c r="M73" s="1" t="s">
        <v>22</v>
      </c>
      <c r="N73" s="1"/>
    </row>
    <row r="74" spans="1:14" x14ac:dyDescent="0.15">
      <c r="A74" s="1"/>
      <c r="B74" s="1"/>
      <c r="C74" s="1"/>
      <c r="D74" s="1"/>
      <c r="E74" s="1"/>
      <c r="F74" s="1"/>
      <c r="G74" s="1"/>
      <c r="H74" s="1"/>
      <c r="I74" s="1"/>
      <c r="J74" s="1" t="s">
        <v>30</v>
      </c>
      <c r="K74" s="1"/>
      <c r="L74" s="1"/>
      <c r="M74" s="1" t="s">
        <v>22</v>
      </c>
      <c r="N74" s="1"/>
    </row>
    <row r="75" spans="1:14" x14ac:dyDescent="0.15">
      <c r="A75" s="1"/>
      <c r="B75" s="1"/>
      <c r="C75" s="1"/>
      <c r="D75" s="1"/>
      <c r="E75" s="1"/>
      <c r="F75" s="1"/>
      <c r="G75" s="1"/>
      <c r="H75" s="1"/>
      <c r="I75" s="1"/>
      <c r="J75" s="1" t="s">
        <v>30</v>
      </c>
      <c r="K75" s="1"/>
      <c r="L75" s="1"/>
      <c r="M75" s="1" t="s">
        <v>22</v>
      </c>
      <c r="N75" s="1"/>
    </row>
    <row r="76" spans="1:14" x14ac:dyDescent="0.15">
      <c r="A76" s="1"/>
      <c r="B76" s="1"/>
      <c r="C76" s="1"/>
      <c r="D76" s="1"/>
      <c r="E76" s="1"/>
      <c r="F76" s="1"/>
      <c r="G76" s="1"/>
      <c r="H76" s="1"/>
      <c r="I76" s="1"/>
      <c r="J76" s="1" t="s">
        <v>30</v>
      </c>
      <c r="K76" s="1"/>
      <c r="L76" s="1"/>
      <c r="M76" s="1" t="s">
        <v>22</v>
      </c>
      <c r="N76" s="1"/>
    </row>
    <row r="77" spans="1:14" x14ac:dyDescent="0.15">
      <c r="A77" s="1"/>
      <c r="B77" s="1"/>
      <c r="C77" s="1"/>
      <c r="D77" s="1"/>
      <c r="E77" s="1"/>
      <c r="F77" s="1"/>
      <c r="G77" s="1"/>
      <c r="H77" s="1"/>
      <c r="I77" s="1"/>
      <c r="J77" s="1" t="s">
        <v>30</v>
      </c>
      <c r="K77" s="1"/>
      <c r="L77" s="1"/>
      <c r="M77" s="1" t="s">
        <v>22</v>
      </c>
      <c r="N77" s="1"/>
    </row>
    <row r="78" spans="1:14" x14ac:dyDescent="0.15">
      <c r="A78" s="1"/>
      <c r="B78" s="1"/>
      <c r="C78" s="1"/>
      <c r="D78" s="1"/>
      <c r="E78" s="1"/>
      <c r="F78" s="1"/>
      <c r="G78" s="1"/>
      <c r="H78" s="1"/>
      <c r="I78" s="1"/>
      <c r="J78" s="1" t="s">
        <v>30</v>
      </c>
      <c r="K78" s="1"/>
      <c r="L78" s="1"/>
      <c r="M78" s="1" t="s">
        <v>22</v>
      </c>
      <c r="N78" s="1"/>
    </row>
    <row r="79" spans="1:14" x14ac:dyDescent="0.15">
      <c r="A79" s="1"/>
      <c r="B79" s="1"/>
      <c r="C79" s="1"/>
      <c r="D79" s="1"/>
      <c r="E79" s="1"/>
      <c r="F79" s="1"/>
      <c r="G79" s="1"/>
      <c r="H79" s="1"/>
      <c r="I79" s="1"/>
      <c r="J79" s="1" t="s">
        <v>30</v>
      </c>
      <c r="K79" s="1"/>
      <c r="L79" s="1"/>
      <c r="M79" s="1" t="s">
        <v>22</v>
      </c>
      <c r="N79" s="1"/>
    </row>
    <row r="80" spans="1:14" x14ac:dyDescent="0.15">
      <c r="A80" s="1"/>
      <c r="B80" s="1"/>
      <c r="C80" s="1"/>
      <c r="D80" s="1"/>
      <c r="E80" s="1"/>
      <c r="F80" s="1"/>
      <c r="G80" s="1"/>
      <c r="H80" s="1"/>
      <c r="I80" s="1"/>
      <c r="J80" s="1" t="s">
        <v>30</v>
      </c>
      <c r="K80" s="1"/>
      <c r="L80" s="1"/>
      <c r="M80" s="1" t="s">
        <v>22</v>
      </c>
      <c r="N80" s="1"/>
    </row>
    <row r="81" spans="1:14" x14ac:dyDescent="0.15">
      <c r="A81" s="1"/>
      <c r="B81" s="1"/>
      <c r="C81" s="1"/>
      <c r="D81" s="1"/>
      <c r="E81" s="1"/>
      <c r="F81" s="1"/>
      <c r="G81" s="1"/>
      <c r="H81" s="1"/>
      <c r="I81" s="1"/>
      <c r="J81" s="1" t="s">
        <v>30</v>
      </c>
      <c r="K81" s="1"/>
      <c r="L81" s="1"/>
      <c r="M81" s="1" t="s">
        <v>22</v>
      </c>
      <c r="N81" s="1"/>
    </row>
    <row r="82" spans="1:14" x14ac:dyDescent="0.15">
      <c r="A82" s="1"/>
      <c r="B82" s="1"/>
      <c r="C82" s="1"/>
      <c r="D82" s="1"/>
      <c r="E82" s="1"/>
      <c r="F82" s="1"/>
      <c r="G82" s="1"/>
      <c r="H82" s="1"/>
      <c r="I82" s="1"/>
      <c r="J82" s="1" t="s">
        <v>30</v>
      </c>
      <c r="K82" s="1"/>
      <c r="L82" s="1"/>
      <c r="M82" s="1" t="s">
        <v>22</v>
      </c>
      <c r="N82" s="1"/>
    </row>
    <row r="83" spans="1:14" x14ac:dyDescent="0.15">
      <c r="A83" s="1"/>
      <c r="B83" s="1"/>
      <c r="C83" s="1"/>
      <c r="D83" s="1"/>
      <c r="E83" s="1"/>
      <c r="F83" s="1"/>
      <c r="G83" s="1"/>
      <c r="H83" s="1"/>
      <c r="I83" s="1"/>
      <c r="J83" s="1" t="s">
        <v>30</v>
      </c>
      <c r="K83" s="1"/>
      <c r="L83" s="1"/>
      <c r="M83" s="1" t="s">
        <v>22</v>
      </c>
      <c r="N83" s="1"/>
    </row>
    <row r="84" spans="1:14" x14ac:dyDescent="0.15">
      <c r="A84" s="1"/>
      <c r="B84" s="1"/>
      <c r="C84" s="1"/>
      <c r="D84" s="1"/>
      <c r="E84" s="1"/>
      <c r="F84" s="1"/>
      <c r="G84" s="1"/>
      <c r="H84" s="1"/>
      <c r="I84" s="1"/>
      <c r="J84" s="1" t="s">
        <v>30</v>
      </c>
      <c r="K84" s="1"/>
      <c r="L84" s="1"/>
      <c r="M84" s="1" t="s">
        <v>22</v>
      </c>
      <c r="N84" s="1"/>
    </row>
    <row r="85" spans="1:14" x14ac:dyDescent="0.15">
      <c r="A85" s="1"/>
      <c r="B85" s="1"/>
      <c r="C85" s="1"/>
      <c r="D85" s="1"/>
      <c r="E85" s="1"/>
      <c r="F85" s="1"/>
      <c r="G85" s="1"/>
      <c r="H85" s="1"/>
      <c r="I85" s="1"/>
      <c r="J85" s="1" t="s">
        <v>30</v>
      </c>
      <c r="K85" s="1"/>
      <c r="L85" s="1"/>
      <c r="M85" s="1" t="s">
        <v>22</v>
      </c>
      <c r="N85" s="1"/>
    </row>
    <row r="86" spans="1:14" x14ac:dyDescent="0.15">
      <c r="A86" s="1"/>
      <c r="B86" s="1"/>
      <c r="C86" s="1"/>
      <c r="D86" s="1"/>
      <c r="E86" s="1"/>
      <c r="F86" s="1"/>
      <c r="G86" s="1"/>
      <c r="H86" s="1"/>
      <c r="I86" s="1"/>
      <c r="J86" s="1" t="s">
        <v>30</v>
      </c>
      <c r="K86" s="1"/>
      <c r="L86" s="1"/>
      <c r="M86" s="1" t="s">
        <v>22</v>
      </c>
      <c r="N86" s="1"/>
    </row>
    <row r="87" spans="1:14" x14ac:dyDescent="0.15">
      <c r="A87" s="1"/>
      <c r="B87" s="1"/>
      <c r="C87" s="1"/>
      <c r="D87" s="1"/>
      <c r="E87" s="1"/>
      <c r="F87" s="1"/>
      <c r="G87" s="1"/>
      <c r="H87" s="1"/>
      <c r="I87" s="1"/>
      <c r="J87" s="1" t="s">
        <v>30</v>
      </c>
      <c r="K87" s="1"/>
      <c r="L87" s="1"/>
      <c r="M87" s="1" t="s">
        <v>22</v>
      </c>
      <c r="N87" s="1"/>
    </row>
    <row r="88" spans="1:14" x14ac:dyDescent="0.15">
      <c r="A88" s="1"/>
      <c r="B88" s="1"/>
      <c r="C88" s="1"/>
      <c r="D88" s="1"/>
      <c r="E88" s="1"/>
      <c r="F88" s="1"/>
      <c r="G88" s="1"/>
      <c r="H88" s="1"/>
      <c r="I88" s="1"/>
      <c r="J88" s="1" t="s">
        <v>30</v>
      </c>
      <c r="K88" s="1"/>
      <c r="L88" s="1"/>
      <c r="M88" s="1" t="s">
        <v>22</v>
      </c>
      <c r="N88" s="1"/>
    </row>
    <row r="89" spans="1:14" x14ac:dyDescent="0.15">
      <c r="A89" s="1"/>
      <c r="B89" s="1"/>
      <c r="C89" s="1"/>
      <c r="D89" s="1"/>
      <c r="E89" s="1"/>
      <c r="F89" s="1"/>
      <c r="G89" s="1"/>
      <c r="H89" s="1"/>
      <c r="I89" s="1"/>
      <c r="J89" s="1" t="s">
        <v>30</v>
      </c>
      <c r="K89" s="1"/>
      <c r="L89" s="1"/>
      <c r="M89" s="1" t="s">
        <v>22</v>
      </c>
      <c r="N89" s="1"/>
    </row>
    <row r="90" spans="1:14" x14ac:dyDescent="0.15">
      <c r="A90" s="1"/>
      <c r="B90" s="1"/>
      <c r="C90" s="1"/>
      <c r="D90" s="1"/>
      <c r="E90" s="1"/>
      <c r="F90" s="1"/>
      <c r="G90" s="1"/>
      <c r="H90" s="1"/>
      <c r="I90" s="1"/>
      <c r="J90" s="1" t="s">
        <v>30</v>
      </c>
      <c r="K90" s="1"/>
      <c r="L90" s="1"/>
      <c r="M90" s="1" t="s">
        <v>22</v>
      </c>
      <c r="N90" s="1"/>
    </row>
    <row r="91" spans="1:14" x14ac:dyDescent="0.15">
      <c r="A91" s="1"/>
      <c r="B91" s="1"/>
      <c r="C91" s="1"/>
      <c r="D91" s="1"/>
      <c r="E91" s="1"/>
      <c r="F91" s="1"/>
      <c r="G91" s="1"/>
      <c r="H91" s="1"/>
      <c r="I91" s="1"/>
      <c r="J91" s="1" t="s">
        <v>30</v>
      </c>
      <c r="K91" s="1"/>
      <c r="L91" s="1"/>
      <c r="M91" s="1" t="s">
        <v>22</v>
      </c>
      <c r="N91" s="1"/>
    </row>
    <row r="92" spans="1:14" x14ac:dyDescent="0.15">
      <c r="A92" s="1"/>
      <c r="B92" s="1"/>
      <c r="C92" s="1"/>
      <c r="D92" s="1"/>
      <c r="E92" s="1"/>
      <c r="F92" s="1"/>
      <c r="G92" s="1"/>
      <c r="H92" s="1"/>
      <c r="I92" s="1"/>
      <c r="J92" s="1" t="s">
        <v>30</v>
      </c>
      <c r="K92" s="1"/>
      <c r="L92" s="1"/>
      <c r="M92" s="1" t="s">
        <v>22</v>
      </c>
      <c r="N92" s="1"/>
    </row>
    <row r="93" spans="1:14" x14ac:dyDescent="0.15">
      <c r="A93" s="1"/>
      <c r="B93" s="1"/>
      <c r="C93" s="1"/>
      <c r="D93" s="1"/>
      <c r="E93" s="1"/>
      <c r="F93" s="1"/>
      <c r="G93" s="1"/>
      <c r="H93" s="1"/>
      <c r="I93" s="1"/>
      <c r="J93" s="1" t="s">
        <v>30</v>
      </c>
      <c r="K93" s="1"/>
      <c r="L93" s="1"/>
      <c r="M93" s="1" t="s">
        <v>22</v>
      </c>
      <c r="N93" s="1"/>
    </row>
    <row r="94" spans="1:14" x14ac:dyDescent="0.15">
      <c r="A94" s="1"/>
      <c r="B94" s="1"/>
      <c r="C94" s="1"/>
      <c r="D94" s="1"/>
      <c r="E94" s="1"/>
      <c r="F94" s="1"/>
      <c r="G94" s="1"/>
      <c r="H94" s="1"/>
      <c r="I94" s="1"/>
      <c r="J94" s="1" t="s">
        <v>30</v>
      </c>
      <c r="K94" s="1"/>
      <c r="L94" s="1"/>
      <c r="M94" s="1" t="s">
        <v>22</v>
      </c>
      <c r="N94" s="1"/>
    </row>
    <row r="95" spans="1:14" x14ac:dyDescent="0.15">
      <c r="A95" s="1"/>
      <c r="B95" s="1"/>
      <c r="C95" s="1"/>
      <c r="D95" s="1"/>
      <c r="E95" s="1"/>
      <c r="F95" s="1"/>
      <c r="G95" s="1"/>
      <c r="H95" s="1"/>
      <c r="I95" s="1"/>
      <c r="J95" s="1" t="s">
        <v>30</v>
      </c>
      <c r="K95" s="1"/>
      <c r="L95" s="1"/>
      <c r="M95" s="1" t="s">
        <v>22</v>
      </c>
      <c r="N95" s="1"/>
    </row>
    <row r="96" spans="1:14" x14ac:dyDescent="0.15">
      <c r="A96" s="1"/>
      <c r="B96" s="1"/>
      <c r="C96" s="1"/>
      <c r="D96" s="1"/>
      <c r="E96" s="1"/>
      <c r="F96" s="1"/>
      <c r="G96" s="1"/>
      <c r="H96" s="1"/>
      <c r="I96" s="1"/>
      <c r="J96" s="1" t="s">
        <v>30</v>
      </c>
      <c r="K96" s="1"/>
      <c r="L96" s="1"/>
      <c r="M96" s="1" t="s">
        <v>22</v>
      </c>
      <c r="N96" s="1"/>
    </row>
    <row r="97" spans="1:14" x14ac:dyDescent="0.15">
      <c r="A97" s="1"/>
      <c r="B97" s="1"/>
      <c r="C97" s="1"/>
      <c r="D97" s="1"/>
      <c r="E97" s="1"/>
      <c r="F97" s="1"/>
      <c r="G97" s="1"/>
      <c r="H97" s="1"/>
      <c r="I97" s="1"/>
      <c r="J97" s="1" t="s">
        <v>30</v>
      </c>
      <c r="K97" s="1"/>
      <c r="L97" s="1"/>
      <c r="M97" s="1" t="s">
        <v>22</v>
      </c>
      <c r="N97" s="1"/>
    </row>
    <row r="98" spans="1:14" x14ac:dyDescent="0.15">
      <c r="A98" s="1"/>
      <c r="B98" s="1"/>
      <c r="C98" s="1"/>
      <c r="D98" s="1"/>
      <c r="E98" s="1"/>
      <c r="F98" s="1"/>
      <c r="G98" s="1"/>
      <c r="H98" s="1"/>
      <c r="I98" s="1"/>
      <c r="J98" s="1" t="s">
        <v>30</v>
      </c>
      <c r="K98" s="1"/>
      <c r="L98" s="1"/>
      <c r="M98" s="1" t="s">
        <v>22</v>
      </c>
      <c r="N98" s="1"/>
    </row>
    <row r="99" spans="1:14" x14ac:dyDescent="0.15">
      <c r="A99" s="1"/>
      <c r="B99" s="1"/>
      <c r="C99" s="1"/>
      <c r="D99" s="1"/>
      <c r="E99" s="1"/>
      <c r="F99" s="1"/>
      <c r="G99" s="1"/>
      <c r="H99" s="1"/>
      <c r="I99" s="1"/>
      <c r="J99" s="1" t="s">
        <v>30</v>
      </c>
      <c r="K99" s="1"/>
      <c r="L99" s="1"/>
      <c r="M99" s="1" t="s">
        <v>22</v>
      </c>
      <c r="N99" s="1"/>
    </row>
    <row r="100" spans="1:14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 t="s">
        <v>30</v>
      </c>
      <c r="K100" s="1"/>
      <c r="L100" s="1"/>
      <c r="M100" s="1" t="s">
        <v>22</v>
      </c>
      <c r="N100" s="1"/>
    </row>
    <row r="101" spans="1:14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 t="s">
        <v>30</v>
      </c>
      <c r="K101" s="1"/>
      <c r="L101" s="1"/>
      <c r="M101" s="1" t="s">
        <v>22</v>
      </c>
      <c r="N101" s="1"/>
    </row>
    <row r="102" spans="1:14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 t="s">
        <v>30</v>
      </c>
      <c r="K102" s="1"/>
      <c r="L102" s="1"/>
      <c r="M102" s="1" t="s">
        <v>22</v>
      </c>
      <c r="N102" s="1"/>
    </row>
    <row r="103" spans="1:14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 t="s">
        <v>30</v>
      </c>
      <c r="K103" s="1"/>
      <c r="L103" s="1"/>
      <c r="M103" s="1" t="s">
        <v>22</v>
      </c>
      <c r="N103" s="1"/>
    </row>
  </sheetData>
  <mergeCells count="1">
    <mergeCell ref="A1:N1"/>
  </mergeCell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200-000000000000}">
          <x14:formula1>
            <xm:f>Lists!$A$2:$A$3</xm:f>
          </x14:formula1>
          <xm:sqref>M4:M103</xm:sqref>
        </x14:dataValidation>
        <x14:dataValidation type="list" allowBlank="1" xr:uid="{00000000-0002-0000-0200-000001000000}">
          <x14:formula1>
            <xm:f>Lists!$B$2:$B$6</xm:f>
          </x14:formula1>
          <xm:sqref>C4:C103</xm:sqref>
        </x14:dataValidation>
        <x14:dataValidation type="list" allowBlank="1" xr:uid="{00000000-0002-0000-0200-000002000000}">
          <x14:formula1>
            <xm:f>Lists!$C$2:$C$7</xm:f>
          </x14:formula1>
          <xm:sqref>D4:D103</xm:sqref>
        </x14:dataValidation>
        <x14:dataValidation type="list" allowBlank="1" xr:uid="{00000000-0002-0000-0200-000003000000}">
          <x14:formula1>
            <xm:f>Lists!$D$2:$D$4</xm:f>
          </x14:formula1>
          <xm:sqref>J4:J103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3"/>
  <sheetViews>
    <sheetView showGridLines="0" workbookViewId="0">
      <pane ySplit="3" topLeftCell="A4" activePane="bottomLeft" state="frozen"/>
      <selection pane="bottomLeft"/>
    </sheetView>
  </sheetViews>
  <sheetFormatPr defaultRowHeight="13.5" x14ac:dyDescent="0.15"/>
  <cols>
    <col min="1" max="8" width="19" customWidth="1"/>
  </cols>
  <sheetData>
    <row r="1" spans="1:8" ht="22.5" x14ac:dyDescent="0.15">
      <c r="A1" s="14" t="s">
        <v>54</v>
      </c>
      <c r="B1" s="8"/>
      <c r="C1" s="8"/>
      <c r="D1" s="8"/>
      <c r="E1" s="8"/>
      <c r="F1" s="8"/>
      <c r="G1" s="8"/>
      <c r="H1" s="8"/>
    </row>
    <row r="2" spans="1:8" x14ac:dyDescent="0.15">
      <c r="A2" s="1"/>
      <c r="B2" s="1"/>
      <c r="C2" s="1"/>
      <c r="D2" s="1"/>
      <c r="E2" s="1"/>
      <c r="F2" s="1"/>
      <c r="G2" s="1"/>
      <c r="H2" s="1"/>
    </row>
    <row r="3" spans="1:8" x14ac:dyDescent="0.15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60</v>
      </c>
      <c r="G3" s="2" t="s">
        <v>61</v>
      </c>
      <c r="H3" s="2" t="s">
        <v>11</v>
      </c>
    </row>
    <row r="4" spans="1:8" x14ac:dyDescent="0.15">
      <c r="A4" s="1"/>
      <c r="B4" s="1"/>
      <c r="C4" s="1"/>
      <c r="D4" s="1"/>
      <c r="E4" s="1"/>
      <c r="F4" s="1"/>
      <c r="G4" s="1" t="s">
        <v>22</v>
      </c>
      <c r="H4" s="1"/>
    </row>
    <row r="5" spans="1:8" x14ac:dyDescent="0.15">
      <c r="A5" s="1"/>
      <c r="B5" s="1"/>
      <c r="C5" s="1"/>
      <c r="D5" s="1"/>
      <c r="E5" s="1"/>
      <c r="F5" s="1"/>
      <c r="G5" s="1" t="s">
        <v>22</v>
      </c>
      <c r="H5" s="1"/>
    </row>
    <row r="6" spans="1:8" x14ac:dyDescent="0.15">
      <c r="A6" s="1"/>
      <c r="B6" s="1"/>
      <c r="C6" s="1"/>
      <c r="D6" s="1"/>
      <c r="E6" s="1"/>
      <c r="F6" s="1"/>
      <c r="G6" s="1" t="s">
        <v>22</v>
      </c>
      <c r="H6" s="1"/>
    </row>
    <row r="7" spans="1:8" x14ac:dyDescent="0.15">
      <c r="A7" s="1"/>
      <c r="B7" s="1"/>
      <c r="C7" s="1"/>
      <c r="D7" s="1"/>
      <c r="E7" s="1"/>
      <c r="F7" s="1"/>
      <c r="G7" s="1" t="s">
        <v>22</v>
      </c>
      <c r="H7" s="1"/>
    </row>
    <row r="8" spans="1:8" x14ac:dyDescent="0.15">
      <c r="A8" s="1"/>
      <c r="B8" s="1"/>
      <c r="C8" s="1"/>
      <c r="D8" s="1"/>
      <c r="E8" s="1"/>
      <c r="F8" s="1"/>
      <c r="G8" s="1" t="s">
        <v>22</v>
      </c>
      <c r="H8" s="1"/>
    </row>
    <row r="9" spans="1:8" x14ac:dyDescent="0.15">
      <c r="A9" s="1"/>
      <c r="B9" s="1"/>
      <c r="C9" s="1"/>
      <c r="D9" s="1"/>
      <c r="E9" s="1"/>
      <c r="F9" s="1"/>
      <c r="G9" s="1" t="s">
        <v>22</v>
      </c>
      <c r="H9" s="1"/>
    </row>
    <row r="10" spans="1:8" x14ac:dyDescent="0.15">
      <c r="A10" s="1"/>
      <c r="B10" s="1"/>
      <c r="C10" s="1"/>
      <c r="D10" s="1"/>
      <c r="E10" s="1"/>
      <c r="F10" s="1"/>
      <c r="G10" s="1" t="s">
        <v>22</v>
      </c>
      <c r="H10" s="1"/>
    </row>
    <row r="11" spans="1:8" x14ac:dyDescent="0.15">
      <c r="A11" s="1"/>
      <c r="B11" s="1"/>
      <c r="C11" s="1"/>
      <c r="D11" s="1"/>
      <c r="E11" s="1"/>
      <c r="F11" s="1"/>
      <c r="G11" s="1" t="s">
        <v>22</v>
      </c>
      <c r="H11" s="1"/>
    </row>
    <row r="12" spans="1:8" x14ac:dyDescent="0.15">
      <c r="A12" s="1"/>
      <c r="B12" s="1"/>
      <c r="C12" s="1"/>
      <c r="D12" s="1"/>
      <c r="E12" s="1"/>
      <c r="F12" s="1"/>
      <c r="G12" s="1" t="s">
        <v>22</v>
      </c>
      <c r="H12" s="1"/>
    </row>
    <row r="13" spans="1:8" x14ac:dyDescent="0.15">
      <c r="A13" s="1"/>
      <c r="B13" s="1"/>
      <c r="C13" s="1"/>
      <c r="D13" s="1"/>
      <c r="E13" s="1"/>
      <c r="F13" s="1"/>
      <c r="G13" s="1" t="s">
        <v>22</v>
      </c>
      <c r="H13" s="1"/>
    </row>
    <row r="14" spans="1:8" x14ac:dyDescent="0.15">
      <c r="A14" s="1"/>
      <c r="B14" s="1"/>
      <c r="C14" s="1"/>
      <c r="D14" s="1"/>
      <c r="E14" s="1"/>
      <c r="F14" s="1"/>
      <c r="G14" s="1" t="s">
        <v>22</v>
      </c>
      <c r="H14" s="1"/>
    </row>
    <row r="15" spans="1:8" x14ac:dyDescent="0.15">
      <c r="A15" s="1"/>
      <c r="B15" s="1"/>
      <c r="C15" s="1"/>
      <c r="D15" s="1"/>
      <c r="E15" s="1"/>
      <c r="F15" s="1"/>
      <c r="G15" s="1" t="s">
        <v>22</v>
      </c>
      <c r="H15" s="1"/>
    </row>
    <row r="16" spans="1:8" x14ac:dyDescent="0.15">
      <c r="A16" s="1"/>
      <c r="B16" s="1"/>
      <c r="C16" s="1"/>
      <c r="D16" s="1"/>
      <c r="E16" s="1"/>
      <c r="F16" s="1"/>
      <c r="G16" s="1" t="s">
        <v>22</v>
      </c>
      <c r="H16" s="1"/>
    </row>
    <row r="17" spans="1:8" x14ac:dyDescent="0.15">
      <c r="A17" s="1"/>
      <c r="B17" s="1"/>
      <c r="C17" s="1"/>
      <c r="D17" s="1"/>
      <c r="E17" s="1"/>
      <c r="F17" s="1"/>
      <c r="G17" s="1" t="s">
        <v>22</v>
      </c>
      <c r="H17" s="1"/>
    </row>
    <row r="18" spans="1:8" x14ac:dyDescent="0.15">
      <c r="A18" s="1"/>
      <c r="B18" s="1"/>
      <c r="C18" s="1"/>
      <c r="D18" s="1"/>
      <c r="E18" s="1"/>
      <c r="F18" s="1"/>
      <c r="G18" s="1" t="s">
        <v>22</v>
      </c>
      <c r="H18" s="1"/>
    </row>
    <row r="19" spans="1:8" x14ac:dyDescent="0.15">
      <c r="A19" s="1"/>
      <c r="B19" s="1"/>
      <c r="C19" s="1"/>
      <c r="D19" s="1"/>
      <c r="E19" s="1"/>
      <c r="F19" s="1"/>
      <c r="G19" s="1" t="s">
        <v>22</v>
      </c>
      <c r="H19" s="1"/>
    </row>
    <row r="20" spans="1:8" x14ac:dyDescent="0.15">
      <c r="A20" s="1"/>
      <c r="B20" s="1"/>
      <c r="C20" s="1"/>
      <c r="D20" s="1"/>
      <c r="E20" s="1"/>
      <c r="F20" s="1"/>
      <c r="G20" s="1" t="s">
        <v>22</v>
      </c>
      <c r="H20" s="1"/>
    </row>
    <row r="21" spans="1:8" x14ac:dyDescent="0.15">
      <c r="A21" s="1"/>
      <c r="B21" s="1"/>
      <c r="C21" s="1"/>
      <c r="D21" s="1"/>
      <c r="E21" s="1"/>
      <c r="F21" s="1"/>
      <c r="G21" s="1" t="s">
        <v>22</v>
      </c>
      <c r="H21" s="1"/>
    </row>
    <row r="22" spans="1:8" x14ac:dyDescent="0.15">
      <c r="A22" s="1"/>
      <c r="B22" s="1"/>
      <c r="C22" s="1"/>
      <c r="D22" s="1"/>
      <c r="E22" s="1"/>
      <c r="F22" s="1"/>
      <c r="G22" s="1" t="s">
        <v>22</v>
      </c>
      <c r="H22" s="1"/>
    </row>
    <row r="23" spans="1:8" x14ac:dyDescent="0.15">
      <c r="A23" s="1"/>
      <c r="B23" s="1"/>
      <c r="C23" s="1"/>
      <c r="D23" s="1"/>
      <c r="E23" s="1"/>
      <c r="F23" s="1"/>
      <c r="G23" s="1" t="s">
        <v>22</v>
      </c>
      <c r="H23" s="1"/>
    </row>
    <row r="24" spans="1:8" x14ac:dyDescent="0.15">
      <c r="A24" s="1"/>
      <c r="B24" s="1"/>
      <c r="C24" s="1"/>
      <c r="D24" s="1"/>
      <c r="E24" s="1"/>
      <c r="F24" s="1"/>
      <c r="G24" s="1" t="s">
        <v>22</v>
      </c>
      <c r="H24" s="1"/>
    </row>
    <row r="25" spans="1:8" x14ac:dyDescent="0.15">
      <c r="A25" s="1"/>
      <c r="B25" s="1"/>
      <c r="C25" s="1"/>
      <c r="D25" s="1"/>
      <c r="E25" s="1"/>
      <c r="F25" s="1"/>
      <c r="G25" s="1" t="s">
        <v>22</v>
      </c>
      <c r="H25" s="1"/>
    </row>
    <row r="26" spans="1:8" x14ac:dyDescent="0.15">
      <c r="A26" s="1"/>
      <c r="B26" s="1"/>
      <c r="C26" s="1"/>
      <c r="D26" s="1"/>
      <c r="E26" s="1"/>
      <c r="F26" s="1"/>
      <c r="G26" s="1" t="s">
        <v>22</v>
      </c>
      <c r="H26" s="1"/>
    </row>
    <row r="27" spans="1:8" x14ac:dyDescent="0.15">
      <c r="A27" s="1"/>
      <c r="B27" s="1"/>
      <c r="C27" s="1"/>
      <c r="D27" s="1"/>
      <c r="E27" s="1"/>
      <c r="F27" s="1"/>
      <c r="G27" s="1" t="s">
        <v>22</v>
      </c>
      <c r="H27" s="1"/>
    </row>
    <row r="28" spans="1:8" x14ac:dyDescent="0.15">
      <c r="A28" s="1"/>
      <c r="B28" s="1"/>
      <c r="C28" s="1"/>
      <c r="D28" s="1"/>
      <c r="E28" s="1"/>
      <c r="F28" s="1"/>
      <c r="G28" s="1" t="s">
        <v>22</v>
      </c>
      <c r="H28" s="1"/>
    </row>
    <row r="29" spans="1:8" x14ac:dyDescent="0.15">
      <c r="A29" s="1"/>
      <c r="B29" s="1"/>
      <c r="C29" s="1"/>
      <c r="D29" s="1"/>
      <c r="E29" s="1"/>
      <c r="F29" s="1"/>
      <c r="G29" s="1" t="s">
        <v>22</v>
      </c>
      <c r="H29" s="1"/>
    </row>
    <row r="30" spans="1:8" x14ac:dyDescent="0.15">
      <c r="A30" s="1"/>
      <c r="B30" s="1"/>
      <c r="C30" s="1"/>
      <c r="D30" s="1"/>
      <c r="E30" s="1"/>
      <c r="F30" s="1"/>
      <c r="G30" s="1" t="s">
        <v>22</v>
      </c>
      <c r="H30" s="1"/>
    </row>
    <row r="31" spans="1:8" x14ac:dyDescent="0.15">
      <c r="A31" s="1"/>
      <c r="B31" s="1"/>
      <c r="C31" s="1"/>
      <c r="D31" s="1"/>
      <c r="E31" s="1"/>
      <c r="F31" s="1"/>
      <c r="G31" s="1" t="s">
        <v>22</v>
      </c>
      <c r="H31" s="1"/>
    </row>
    <row r="32" spans="1:8" x14ac:dyDescent="0.15">
      <c r="A32" s="1"/>
      <c r="B32" s="1"/>
      <c r="C32" s="1"/>
      <c r="D32" s="1"/>
      <c r="E32" s="1"/>
      <c r="F32" s="1"/>
      <c r="G32" s="1" t="s">
        <v>22</v>
      </c>
      <c r="H32" s="1"/>
    </row>
    <row r="33" spans="1:8" x14ac:dyDescent="0.15">
      <c r="A33" s="1"/>
      <c r="B33" s="1"/>
      <c r="C33" s="1"/>
      <c r="D33" s="1"/>
      <c r="E33" s="1"/>
      <c r="F33" s="1"/>
      <c r="G33" s="1" t="s">
        <v>22</v>
      </c>
      <c r="H33" s="1"/>
    </row>
    <row r="34" spans="1:8" x14ac:dyDescent="0.15">
      <c r="A34" s="1"/>
      <c r="B34" s="1"/>
      <c r="C34" s="1"/>
      <c r="D34" s="1"/>
      <c r="E34" s="1"/>
      <c r="F34" s="1"/>
      <c r="G34" s="1" t="s">
        <v>22</v>
      </c>
      <c r="H34" s="1"/>
    </row>
    <row r="35" spans="1:8" x14ac:dyDescent="0.15">
      <c r="A35" s="1"/>
      <c r="B35" s="1"/>
      <c r="C35" s="1"/>
      <c r="D35" s="1"/>
      <c r="E35" s="1"/>
      <c r="F35" s="1"/>
      <c r="G35" s="1" t="s">
        <v>22</v>
      </c>
      <c r="H35" s="1"/>
    </row>
    <row r="36" spans="1:8" x14ac:dyDescent="0.15">
      <c r="A36" s="1"/>
      <c r="B36" s="1"/>
      <c r="C36" s="1"/>
      <c r="D36" s="1"/>
      <c r="E36" s="1"/>
      <c r="F36" s="1"/>
      <c r="G36" s="1" t="s">
        <v>22</v>
      </c>
      <c r="H36" s="1"/>
    </row>
    <row r="37" spans="1:8" x14ac:dyDescent="0.15">
      <c r="A37" s="1"/>
      <c r="B37" s="1"/>
      <c r="C37" s="1"/>
      <c r="D37" s="1"/>
      <c r="E37" s="1"/>
      <c r="F37" s="1"/>
      <c r="G37" s="1" t="s">
        <v>22</v>
      </c>
      <c r="H37" s="1"/>
    </row>
    <row r="38" spans="1:8" x14ac:dyDescent="0.15">
      <c r="A38" s="1"/>
      <c r="B38" s="1"/>
      <c r="C38" s="1"/>
      <c r="D38" s="1"/>
      <c r="E38" s="1"/>
      <c r="F38" s="1"/>
      <c r="G38" s="1" t="s">
        <v>22</v>
      </c>
      <c r="H38" s="1"/>
    </row>
    <row r="39" spans="1:8" x14ac:dyDescent="0.15">
      <c r="A39" s="1"/>
      <c r="B39" s="1"/>
      <c r="C39" s="1"/>
      <c r="D39" s="1"/>
      <c r="E39" s="1"/>
      <c r="F39" s="1"/>
      <c r="G39" s="1" t="s">
        <v>22</v>
      </c>
      <c r="H39" s="1"/>
    </row>
    <row r="40" spans="1:8" x14ac:dyDescent="0.15">
      <c r="A40" s="1"/>
      <c r="B40" s="1"/>
      <c r="C40" s="1"/>
      <c r="D40" s="1"/>
      <c r="E40" s="1"/>
      <c r="F40" s="1"/>
      <c r="G40" s="1" t="s">
        <v>22</v>
      </c>
      <c r="H40" s="1"/>
    </row>
    <row r="41" spans="1:8" x14ac:dyDescent="0.15">
      <c r="A41" s="1"/>
      <c r="B41" s="1"/>
      <c r="C41" s="1"/>
      <c r="D41" s="1"/>
      <c r="E41" s="1"/>
      <c r="F41" s="1"/>
      <c r="G41" s="1" t="s">
        <v>22</v>
      </c>
      <c r="H41" s="1"/>
    </row>
    <row r="42" spans="1:8" x14ac:dyDescent="0.15">
      <c r="A42" s="1"/>
      <c r="B42" s="1"/>
      <c r="C42" s="1"/>
      <c r="D42" s="1"/>
      <c r="E42" s="1"/>
      <c r="F42" s="1"/>
      <c r="G42" s="1" t="s">
        <v>22</v>
      </c>
      <c r="H42" s="1"/>
    </row>
    <row r="43" spans="1:8" x14ac:dyDescent="0.15">
      <c r="A43" s="1"/>
      <c r="B43" s="1"/>
      <c r="C43" s="1"/>
      <c r="D43" s="1"/>
      <c r="E43" s="1"/>
      <c r="F43" s="1"/>
      <c r="G43" s="1" t="s">
        <v>22</v>
      </c>
      <c r="H43" s="1"/>
    </row>
    <row r="44" spans="1:8" x14ac:dyDescent="0.15">
      <c r="A44" s="1"/>
      <c r="B44" s="1"/>
      <c r="C44" s="1"/>
      <c r="D44" s="1"/>
      <c r="E44" s="1"/>
      <c r="F44" s="1"/>
      <c r="G44" s="1" t="s">
        <v>22</v>
      </c>
      <c r="H44" s="1"/>
    </row>
    <row r="45" spans="1:8" x14ac:dyDescent="0.15">
      <c r="A45" s="1"/>
      <c r="B45" s="1"/>
      <c r="C45" s="1"/>
      <c r="D45" s="1"/>
      <c r="E45" s="1"/>
      <c r="F45" s="1"/>
      <c r="G45" s="1" t="s">
        <v>22</v>
      </c>
      <c r="H45" s="1"/>
    </row>
    <row r="46" spans="1:8" x14ac:dyDescent="0.15">
      <c r="A46" s="1"/>
      <c r="B46" s="1"/>
      <c r="C46" s="1"/>
      <c r="D46" s="1"/>
      <c r="E46" s="1"/>
      <c r="F46" s="1"/>
      <c r="G46" s="1" t="s">
        <v>22</v>
      </c>
      <c r="H46" s="1"/>
    </row>
    <row r="47" spans="1:8" x14ac:dyDescent="0.15">
      <c r="A47" s="1"/>
      <c r="B47" s="1"/>
      <c r="C47" s="1"/>
      <c r="D47" s="1"/>
      <c r="E47" s="1"/>
      <c r="F47" s="1"/>
      <c r="G47" s="1" t="s">
        <v>22</v>
      </c>
      <c r="H47" s="1"/>
    </row>
    <row r="48" spans="1:8" x14ac:dyDescent="0.15">
      <c r="A48" s="1"/>
      <c r="B48" s="1"/>
      <c r="C48" s="1"/>
      <c r="D48" s="1"/>
      <c r="E48" s="1"/>
      <c r="F48" s="1"/>
      <c r="G48" s="1" t="s">
        <v>22</v>
      </c>
      <c r="H48" s="1"/>
    </row>
    <row r="49" spans="1:8" x14ac:dyDescent="0.15">
      <c r="A49" s="1"/>
      <c r="B49" s="1"/>
      <c r="C49" s="1"/>
      <c r="D49" s="1"/>
      <c r="E49" s="1"/>
      <c r="F49" s="1"/>
      <c r="G49" s="1" t="s">
        <v>22</v>
      </c>
      <c r="H49" s="1"/>
    </row>
    <row r="50" spans="1:8" x14ac:dyDescent="0.15">
      <c r="A50" s="1"/>
      <c r="B50" s="1"/>
      <c r="C50" s="1"/>
      <c r="D50" s="1"/>
      <c r="E50" s="1"/>
      <c r="F50" s="1"/>
      <c r="G50" s="1" t="s">
        <v>22</v>
      </c>
      <c r="H50" s="1"/>
    </row>
    <row r="51" spans="1:8" x14ac:dyDescent="0.15">
      <c r="A51" s="1"/>
      <c r="B51" s="1"/>
      <c r="C51" s="1"/>
      <c r="D51" s="1"/>
      <c r="E51" s="1"/>
      <c r="F51" s="1"/>
      <c r="G51" s="1" t="s">
        <v>22</v>
      </c>
      <c r="H51" s="1"/>
    </row>
    <row r="52" spans="1:8" x14ac:dyDescent="0.15">
      <c r="A52" s="1"/>
      <c r="B52" s="1"/>
      <c r="C52" s="1"/>
      <c r="D52" s="1"/>
      <c r="E52" s="1"/>
      <c r="F52" s="1"/>
      <c r="G52" s="1" t="s">
        <v>22</v>
      </c>
      <c r="H52" s="1"/>
    </row>
    <row r="53" spans="1:8" x14ac:dyDescent="0.15">
      <c r="A53" s="1"/>
      <c r="B53" s="1"/>
      <c r="C53" s="1"/>
      <c r="D53" s="1"/>
      <c r="E53" s="1"/>
      <c r="F53" s="1"/>
      <c r="G53" s="1" t="s">
        <v>22</v>
      </c>
      <c r="H53" s="1"/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03"/>
  <sheetViews>
    <sheetView showGridLines="0" workbookViewId="0">
      <pane ySplit="3" topLeftCell="A4" activePane="bottomLeft" state="frozen"/>
      <selection pane="bottomLeft"/>
    </sheetView>
  </sheetViews>
  <sheetFormatPr defaultRowHeight="13.5" x14ac:dyDescent="0.15"/>
  <cols>
    <col min="1" max="18" width="19" customWidth="1"/>
  </cols>
  <sheetData>
    <row r="1" spans="1:18" ht="22.5" x14ac:dyDescent="0.15">
      <c r="A1" s="14" t="s">
        <v>62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15">
      <c r="A3" s="2" t="s">
        <v>63</v>
      </c>
      <c r="B3" s="2" t="s">
        <v>64</v>
      </c>
      <c r="C3" s="2" t="s">
        <v>65</v>
      </c>
      <c r="D3" s="2" t="s">
        <v>66</v>
      </c>
      <c r="E3" s="2" t="s">
        <v>67</v>
      </c>
      <c r="F3" s="2" t="s">
        <v>45</v>
      </c>
      <c r="G3" s="2" t="s">
        <v>46</v>
      </c>
      <c r="H3" s="2" t="s">
        <v>68</v>
      </c>
      <c r="I3" s="2" t="s">
        <v>69</v>
      </c>
      <c r="J3" s="2" t="s">
        <v>70</v>
      </c>
      <c r="K3" s="2" t="s">
        <v>71</v>
      </c>
      <c r="L3" s="2" t="s">
        <v>72</v>
      </c>
      <c r="M3" s="2" t="s">
        <v>73</v>
      </c>
      <c r="N3" s="2" t="s">
        <v>74</v>
      </c>
      <c r="O3" s="2" t="s">
        <v>75</v>
      </c>
      <c r="P3" s="2" t="s">
        <v>76</v>
      </c>
      <c r="Q3" s="2" t="s">
        <v>77</v>
      </c>
      <c r="R3" s="2" t="s">
        <v>11</v>
      </c>
    </row>
    <row r="4" spans="1:18" x14ac:dyDescent="0.15">
      <c r="A4" s="1"/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 t="str">
        <f>IF(I4="","",I4*J4-K4+L4)</f>
        <v/>
      </c>
      <c r="N4" s="1" t="str">
        <f>IF(I4=0,"",M4/I4)</f>
        <v/>
      </c>
      <c r="O4" s="1"/>
      <c r="P4" s="4"/>
      <c r="Q4" s="1"/>
      <c r="R4" s="1"/>
    </row>
    <row r="5" spans="1:18" x14ac:dyDescent="0.15">
      <c r="A5" s="1"/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 t="str">
        <f>IF(I5="","",I5*J5-K5+L5)</f>
        <v/>
      </c>
      <c r="N5" s="1" t="str">
        <f>IF(I5=0,"",M5/I5)</f>
        <v/>
      </c>
      <c r="O5" s="1"/>
      <c r="P5" s="4"/>
      <c r="Q5" s="1"/>
      <c r="R5" s="1"/>
    </row>
    <row r="6" spans="1:18" x14ac:dyDescent="0.15">
      <c r="A6" s="1"/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 t="str">
        <f>IF(I6="","",I6*J6-K6+L6)</f>
        <v/>
      </c>
      <c r="N6" s="1" t="str">
        <f>IF(I6=0,"",M6/I6)</f>
        <v/>
      </c>
      <c r="O6" s="1"/>
      <c r="P6" s="4"/>
      <c r="Q6" s="1"/>
      <c r="R6" s="1"/>
    </row>
    <row r="7" spans="1:18" x14ac:dyDescent="0.15">
      <c r="A7" s="1"/>
      <c r="B7" s="4"/>
      <c r="C7" s="1"/>
      <c r="D7" s="1"/>
      <c r="E7" s="1"/>
      <c r="F7" s="1"/>
      <c r="G7" s="1"/>
      <c r="H7" s="1"/>
      <c r="I7" s="1"/>
      <c r="J7" s="1"/>
      <c r="K7" s="1"/>
      <c r="L7" s="1"/>
      <c r="M7" s="1" t="str">
        <f>IF(I7="","",I7*J7-K7+L7)</f>
        <v/>
      </c>
      <c r="N7" s="1" t="str">
        <f>IF(I7=0,"",M7/I7)</f>
        <v/>
      </c>
      <c r="O7" s="1"/>
      <c r="P7" s="4"/>
      <c r="Q7" s="1"/>
      <c r="R7" s="1"/>
    </row>
    <row r="8" spans="1:18" x14ac:dyDescent="0.15">
      <c r="A8" s="1"/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 t="str">
        <f>IF(I8="","",I8*J8-K8+L8)</f>
        <v/>
      </c>
      <c r="N8" s="1" t="str">
        <f>IF(I8=0,"",M8/I8)</f>
        <v/>
      </c>
      <c r="O8" s="1"/>
      <c r="P8" s="4"/>
      <c r="Q8" s="1"/>
      <c r="R8" s="1"/>
    </row>
    <row r="9" spans="1:18" x14ac:dyDescent="0.15">
      <c r="A9" s="1"/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 t="str">
        <f>IF(I9="","",I9*J9-K9+L9)</f>
        <v/>
      </c>
      <c r="N9" s="1" t="str">
        <f>IF(I9=0,"",M9/I9)</f>
        <v/>
      </c>
      <c r="O9" s="1"/>
      <c r="P9" s="4"/>
      <c r="Q9" s="1"/>
      <c r="R9" s="1"/>
    </row>
    <row r="10" spans="1:18" x14ac:dyDescent="0.15">
      <c r="A10" s="1"/>
      <c r="B10" s="4"/>
      <c r="C10" s="1"/>
      <c r="D10" s="1"/>
      <c r="E10" s="1"/>
      <c r="F10" s="1"/>
      <c r="G10" s="1"/>
      <c r="H10" s="1"/>
      <c r="I10" s="1"/>
      <c r="J10" s="1"/>
      <c r="K10" s="1"/>
      <c r="L10" s="1"/>
      <c r="M10" s="1" t="str">
        <f>IF(I10="","",I10*J10-K10+L10)</f>
        <v/>
      </c>
      <c r="N10" s="1" t="str">
        <f>IF(I10=0,"",M10/I10)</f>
        <v/>
      </c>
      <c r="O10" s="1"/>
      <c r="P10" s="4"/>
      <c r="Q10" s="1"/>
      <c r="R10" s="1"/>
    </row>
    <row r="11" spans="1:18" x14ac:dyDescent="0.15">
      <c r="A11" s="1"/>
      <c r="B11" s="4"/>
      <c r="C11" s="1"/>
      <c r="D11" s="1"/>
      <c r="E11" s="1"/>
      <c r="F11" s="1"/>
      <c r="G11" s="1"/>
      <c r="H11" s="1"/>
      <c r="I11" s="1"/>
      <c r="J11" s="1"/>
      <c r="K11" s="1"/>
      <c r="L11" s="1"/>
      <c r="M11" s="1" t="str">
        <f>IF(I11="","",I11*J11-K11+L11)</f>
        <v/>
      </c>
      <c r="N11" s="1" t="str">
        <f>IF(I11=0,"",M11/I11)</f>
        <v/>
      </c>
      <c r="O11" s="1"/>
      <c r="P11" s="4"/>
      <c r="Q11" s="1"/>
      <c r="R11" s="1"/>
    </row>
    <row r="12" spans="1:18" x14ac:dyDescent="0.15">
      <c r="A12" s="1"/>
      <c r="B12" s="4"/>
      <c r="C12" s="1"/>
      <c r="D12" s="1"/>
      <c r="E12" s="1"/>
      <c r="F12" s="1"/>
      <c r="G12" s="1"/>
      <c r="H12" s="1"/>
      <c r="I12" s="1"/>
      <c r="J12" s="1"/>
      <c r="K12" s="1"/>
      <c r="L12" s="1"/>
      <c r="M12" s="1" t="str">
        <f>IF(I12="","",I12*J12-K12+L12)</f>
        <v/>
      </c>
      <c r="N12" s="1" t="str">
        <f>IF(I12=0,"",M12/I12)</f>
        <v/>
      </c>
      <c r="O12" s="1"/>
      <c r="P12" s="4"/>
      <c r="Q12" s="1"/>
      <c r="R12" s="1"/>
    </row>
    <row r="13" spans="1:18" x14ac:dyDescent="0.15">
      <c r="A13" s="1"/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 t="str">
        <f>IF(I13="","",I13*J13-K13+L13)</f>
        <v/>
      </c>
      <c r="N13" s="1" t="str">
        <f>IF(I13=0,"",M13/I13)</f>
        <v/>
      </c>
      <c r="O13" s="1"/>
      <c r="P13" s="4"/>
      <c r="Q13" s="1"/>
      <c r="R13" s="1"/>
    </row>
    <row r="14" spans="1:18" x14ac:dyDescent="0.15">
      <c r="A14" s="1"/>
      <c r="B14" s="4"/>
      <c r="C14" s="1"/>
      <c r="D14" s="1"/>
      <c r="E14" s="1"/>
      <c r="F14" s="1"/>
      <c r="G14" s="1"/>
      <c r="H14" s="1"/>
      <c r="I14" s="1"/>
      <c r="J14" s="1"/>
      <c r="K14" s="1"/>
      <c r="L14" s="1"/>
      <c r="M14" s="1" t="str">
        <f>IF(I14="","",I14*J14-K14+L14)</f>
        <v/>
      </c>
      <c r="N14" s="1" t="str">
        <f>IF(I14=0,"",M14/I14)</f>
        <v/>
      </c>
      <c r="O14" s="1"/>
      <c r="P14" s="4"/>
      <c r="Q14" s="1"/>
      <c r="R14" s="1"/>
    </row>
    <row r="15" spans="1:18" x14ac:dyDescent="0.15">
      <c r="A15" s="1"/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 t="str">
        <f>IF(I15="","",I15*J15-K15+L15)</f>
        <v/>
      </c>
      <c r="N15" s="1" t="str">
        <f>IF(I15=0,"",M15/I15)</f>
        <v/>
      </c>
      <c r="O15" s="1"/>
      <c r="P15" s="4"/>
      <c r="Q15" s="1"/>
      <c r="R15" s="1"/>
    </row>
    <row r="16" spans="1:18" x14ac:dyDescent="0.15">
      <c r="A16" s="1"/>
      <c r="B16" s="4"/>
      <c r="C16" s="1"/>
      <c r="D16" s="1"/>
      <c r="E16" s="1"/>
      <c r="F16" s="1"/>
      <c r="G16" s="1"/>
      <c r="H16" s="1"/>
      <c r="I16" s="1"/>
      <c r="J16" s="1"/>
      <c r="K16" s="1"/>
      <c r="L16" s="1"/>
      <c r="M16" s="1" t="str">
        <f>IF(I16="","",I16*J16-K16+L16)</f>
        <v/>
      </c>
      <c r="N16" s="1" t="str">
        <f>IF(I16=0,"",M16/I16)</f>
        <v/>
      </c>
      <c r="O16" s="1"/>
      <c r="P16" s="4"/>
      <c r="Q16" s="1"/>
      <c r="R16" s="1"/>
    </row>
    <row r="17" spans="1:18" x14ac:dyDescent="0.15">
      <c r="A17" s="1"/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 t="str">
        <f>IF(I17="","",I17*J17-K17+L17)</f>
        <v/>
      </c>
      <c r="N17" s="1" t="str">
        <f>IF(I17=0,"",M17/I17)</f>
        <v/>
      </c>
      <c r="O17" s="1"/>
      <c r="P17" s="4"/>
      <c r="Q17" s="1"/>
      <c r="R17" s="1"/>
    </row>
    <row r="18" spans="1:18" x14ac:dyDescent="0.15">
      <c r="A18" s="1"/>
      <c r="B18" s="4"/>
      <c r="C18" s="1"/>
      <c r="D18" s="1"/>
      <c r="E18" s="1"/>
      <c r="F18" s="1"/>
      <c r="G18" s="1"/>
      <c r="H18" s="1"/>
      <c r="I18" s="1"/>
      <c r="J18" s="1"/>
      <c r="K18" s="1"/>
      <c r="L18" s="1"/>
      <c r="M18" s="1" t="str">
        <f>IF(I18="","",I18*J18-K18+L18)</f>
        <v/>
      </c>
      <c r="N18" s="1" t="str">
        <f>IF(I18=0,"",M18/I18)</f>
        <v/>
      </c>
      <c r="O18" s="1"/>
      <c r="P18" s="4"/>
      <c r="Q18" s="1"/>
      <c r="R18" s="1"/>
    </row>
    <row r="19" spans="1:18" x14ac:dyDescent="0.15">
      <c r="A19" s="1"/>
      <c r="B19" s="4"/>
      <c r="C19" s="1"/>
      <c r="D19" s="1"/>
      <c r="E19" s="1"/>
      <c r="F19" s="1"/>
      <c r="G19" s="1"/>
      <c r="H19" s="1"/>
      <c r="I19" s="1"/>
      <c r="J19" s="1"/>
      <c r="K19" s="1"/>
      <c r="L19" s="1"/>
      <c r="M19" s="1" t="str">
        <f>IF(I19="","",I19*J19-K19+L19)</f>
        <v/>
      </c>
      <c r="N19" s="1" t="str">
        <f>IF(I19=0,"",M19/I19)</f>
        <v/>
      </c>
      <c r="O19" s="1"/>
      <c r="P19" s="4"/>
      <c r="Q19" s="1"/>
      <c r="R19" s="1"/>
    </row>
    <row r="20" spans="1:18" x14ac:dyDescent="0.15">
      <c r="A20" s="1"/>
      <c r="B20" s="4"/>
      <c r="C20" s="1"/>
      <c r="D20" s="1"/>
      <c r="E20" s="1"/>
      <c r="F20" s="1"/>
      <c r="G20" s="1"/>
      <c r="H20" s="1"/>
      <c r="I20" s="1"/>
      <c r="J20" s="1"/>
      <c r="K20" s="1"/>
      <c r="L20" s="1"/>
      <c r="M20" s="1" t="str">
        <f>IF(I20="","",I20*J20-K20+L20)</f>
        <v/>
      </c>
      <c r="N20" s="1" t="str">
        <f>IF(I20=0,"",M20/I20)</f>
        <v/>
      </c>
      <c r="O20" s="1"/>
      <c r="P20" s="4"/>
      <c r="Q20" s="1"/>
      <c r="R20" s="1"/>
    </row>
    <row r="21" spans="1:18" x14ac:dyDescent="0.15">
      <c r="A21" s="1"/>
      <c r="B21" s="4"/>
      <c r="C21" s="1"/>
      <c r="D21" s="1"/>
      <c r="E21" s="1"/>
      <c r="F21" s="1"/>
      <c r="G21" s="1"/>
      <c r="H21" s="1"/>
      <c r="I21" s="1"/>
      <c r="J21" s="1"/>
      <c r="K21" s="1"/>
      <c r="L21" s="1"/>
      <c r="M21" s="1" t="str">
        <f>IF(I21="","",I21*J21-K21+L21)</f>
        <v/>
      </c>
      <c r="N21" s="1" t="str">
        <f>IF(I21=0,"",M21/I21)</f>
        <v/>
      </c>
      <c r="O21" s="1"/>
      <c r="P21" s="4"/>
      <c r="Q21" s="1"/>
      <c r="R21" s="1"/>
    </row>
    <row r="22" spans="1:18" x14ac:dyDescent="0.15">
      <c r="A22" s="1"/>
      <c r="B22" s="4"/>
      <c r="C22" s="1"/>
      <c r="D22" s="1"/>
      <c r="E22" s="1"/>
      <c r="F22" s="1"/>
      <c r="G22" s="1"/>
      <c r="H22" s="1"/>
      <c r="I22" s="1"/>
      <c r="J22" s="1"/>
      <c r="K22" s="1"/>
      <c r="L22" s="1"/>
      <c r="M22" s="1" t="str">
        <f>IF(I22="","",I22*J22-K22+L22)</f>
        <v/>
      </c>
      <c r="N22" s="1" t="str">
        <f>IF(I22=0,"",M22/I22)</f>
        <v/>
      </c>
      <c r="O22" s="1"/>
      <c r="P22" s="4"/>
      <c r="Q22" s="1"/>
      <c r="R22" s="1"/>
    </row>
    <row r="23" spans="1:18" x14ac:dyDescent="0.15">
      <c r="A23" s="1"/>
      <c r="B23" s="4"/>
      <c r="C23" s="1"/>
      <c r="D23" s="1"/>
      <c r="E23" s="1"/>
      <c r="F23" s="1"/>
      <c r="G23" s="1"/>
      <c r="H23" s="1"/>
      <c r="I23" s="1"/>
      <c r="J23" s="1"/>
      <c r="K23" s="1"/>
      <c r="L23" s="1"/>
      <c r="M23" s="1" t="str">
        <f>IF(I23="","",I23*J23-K23+L23)</f>
        <v/>
      </c>
      <c r="N23" s="1" t="str">
        <f>IF(I23=0,"",M23/I23)</f>
        <v/>
      </c>
      <c r="O23" s="1"/>
      <c r="P23" s="4"/>
      <c r="Q23" s="1"/>
      <c r="R23" s="1"/>
    </row>
    <row r="24" spans="1:18" x14ac:dyDescent="0.15">
      <c r="A24" s="1"/>
      <c r="B24" s="4"/>
      <c r="C24" s="1"/>
      <c r="D24" s="1"/>
      <c r="E24" s="1"/>
      <c r="F24" s="1"/>
      <c r="G24" s="1"/>
      <c r="H24" s="1"/>
      <c r="I24" s="1"/>
      <c r="J24" s="1"/>
      <c r="K24" s="1"/>
      <c r="L24" s="1"/>
      <c r="M24" s="1" t="str">
        <f>IF(I24="","",I24*J24-K24+L24)</f>
        <v/>
      </c>
      <c r="N24" s="1" t="str">
        <f>IF(I24=0,"",M24/I24)</f>
        <v/>
      </c>
      <c r="O24" s="1"/>
      <c r="P24" s="4"/>
      <c r="Q24" s="1"/>
      <c r="R24" s="1"/>
    </row>
    <row r="25" spans="1:18" x14ac:dyDescent="0.15">
      <c r="A25" s="1"/>
      <c r="B25" s="4"/>
      <c r="C25" s="1"/>
      <c r="D25" s="1"/>
      <c r="E25" s="1"/>
      <c r="F25" s="1"/>
      <c r="G25" s="1"/>
      <c r="H25" s="1"/>
      <c r="I25" s="1"/>
      <c r="J25" s="1"/>
      <c r="K25" s="1"/>
      <c r="L25" s="1"/>
      <c r="M25" s="1" t="str">
        <f>IF(I25="","",I25*J25-K25+L25)</f>
        <v/>
      </c>
      <c r="N25" s="1" t="str">
        <f>IF(I25=0,"",M25/I25)</f>
        <v/>
      </c>
      <c r="O25" s="1"/>
      <c r="P25" s="4"/>
      <c r="Q25" s="1"/>
      <c r="R25" s="1"/>
    </row>
    <row r="26" spans="1:18" x14ac:dyDescent="0.15">
      <c r="A26" s="1"/>
      <c r="B26" s="4"/>
      <c r="C26" s="1"/>
      <c r="D26" s="1"/>
      <c r="E26" s="1"/>
      <c r="F26" s="1"/>
      <c r="G26" s="1"/>
      <c r="H26" s="1"/>
      <c r="I26" s="1"/>
      <c r="J26" s="1"/>
      <c r="K26" s="1"/>
      <c r="L26" s="1"/>
      <c r="M26" s="1" t="str">
        <f>IF(I26="","",I26*J26-K26+L26)</f>
        <v/>
      </c>
      <c r="N26" s="1" t="str">
        <f>IF(I26=0,"",M26/I26)</f>
        <v/>
      </c>
      <c r="O26" s="1"/>
      <c r="P26" s="4"/>
      <c r="Q26" s="1"/>
      <c r="R26" s="1"/>
    </row>
    <row r="27" spans="1:18" x14ac:dyDescent="0.15">
      <c r="A27" s="1"/>
      <c r="B27" s="4"/>
      <c r="C27" s="1"/>
      <c r="D27" s="1"/>
      <c r="E27" s="1"/>
      <c r="F27" s="1"/>
      <c r="G27" s="1"/>
      <c r="H27" s="1"/>
      <c r="I27" s="1"/>
      <c r="J27" s="1"/>
      <c r="K27" s="1"/>
      <c r="L27" s="1"/>
      <c r="M27" s="1" t="str">
        <f>IF(I27="","",I27*J27-K27+L27)</f>
        <v/>
      </c>
      <c r="N27" s="1" t="str">
        <f>IF(I27=0,"",M27/I27)</f>
        <v/>
      </c>
      <c r="O27" s="1"/>
      <c r="P27" s="4"/>
      <c r="Q27" s="1"/>
      <c r="R27" s="1"/>
    </row>
    <row r="28" spans="1:18" x14ac:dyDescent="0.15">
      <c r="A28" s="1"/>
      <c r="B28" s="4"/>
      <c r="C28" s="1"/>
      <c r="D28" s="1"/>
      <c r="E28" s="1"/>
      <c r="F28" s="1"/>
      <c r="G28" s="1"/>
      <c r="H28" s="1"/>
      <c r="I28" s="1"/>
      <c r="J28" s="1"/>
      <c r="K28" s="1"/>
      <c r="L28" s="1"/>
      <c r="M28" s="1" t="str">
        <f>IF(I28="","",I28*J28-K28+L28)</f>
        <v/>
      </c>
      <c r="N28" s="1" t="str">
        <f>IF(I28=0,"",M28/I28)</f>
        <v/>
      </c>
      <c r="O28" s="1"/>
      <c r="P28" s="4"/>
      <c r="Q28" s="1"/>
      <c r="R28" s="1"/>
    </row>
    <row r="29" spans="1:18" x14ac:dyDescent="0.15">
      <c r="A29" s="1"/>
      <c r="B29" s="4"/>
      <c r="C29" s="1"/>
      <c r="D29" s="1"/>
      <c r="E29" s="1"/>
      <c r="F29" s="1"/>
      <c r="G29" s="1"/>
      <c r="H29" s="1"/>
      <c r="I29" s="1"/>
      <c r="J29" s="1"/>
      <c r="K29" s="1"/>
      <c r="L29" s="1"/>
      <c r="M29" s="1" t="str">
        <f>IF(I29="","",I29*J29-K29+L29)</f>
        <v/>
      </c>
      <c r="N29" s="1" t="str">
        <f>IF(I29=0,"",M29/I29)</f>
        <v/>
      </c>
      <c r="O29" s="1"/>
      <c r="P29" s="4"/>
      <c r="Q29" s="1"/>
      <c r="R29" s="1"/>
    </row>
    <row r="30" spans="1:18" x14ac:dyDescent="0.15">
      <c r="A30" s="1"/>
      <c r="B30" s="4"/>
      <c r="C30" s="1"/>
      <c r="D30" s="1"/>
      <c r="E30" s="1"/>
      <c r="F30" s="1"/>
      <c r="G30" s="1"/>
      <c r="H30" s="1"/>
      <c r="I30" s="1"/>
      <c r="J30" s="1"/>
      <c r="K30" s="1"/>
      <c r="L30" s="1"/>
      <c r="M30" s="1" t="str">
        <f>IF(I30="","",I30*J30-K30+L30)</f>
        <v/>
      </c>
      <c r="N30" s="1" t="str">
        <f>IF(I30=0,"",M30/I30)</f>
        <v/>
      </c>
      <c r="O30" s="1"/>
      <c r="P30" s="4"/>
      <c r="Q30" s="1"/>
      <c r="R30" s="1"/>
    </row>
    <row r="31" spans="1:18" x14ac:dyDescent="0.15">
      <c r="A31" s="1"/>
      <c r="B31" s="4"/>
      <c r="C31" s="1"/>
      <c r="D31" s="1"/>
      <c r="E31" s="1"/>
      <c r="F31" s="1"/>
      <c r="G31" s="1"/>
      <c r="H31" s="1"/>
      <c r="I31" s="1"/>
      <c r="J31" s="1"/>
      <c r="K31" s="1"/>
      <c r="L31" s="1"/>
      <c r="M31" s="1" t="str">
        <f>IF(I31="","",I31*J31-K31+L31)</f>
        <v/>
      </c>
      <c r="N31" s="1" t="str">
        <f>IF(I31=0,"",M31/I31)</f>
        <v/>
      </c>
      <c r="O31" s="1"/>
      <c r="P31" s="4"/>
      <c r="Q31" s="1"/>
      <c r="R31" s="1"/>
    </row>
    <row r="32" spans="1:18" x14ac:dyDescent="0.15">
      <c r="A32" s="1"/>
      <c r="B32" s="4"/>
      <c r="C32" s="1"/>
      <c r="D32" s="1"/>
      <c r="E32" s="1"/>
      <c r="F32" s="1"/>
      <c r="G32" s="1"/>
      <c r="H32" s="1"/>
      <c r="I32" s="1"/>
      <c r="J32" s="1"/>
      <c r="K32" s="1"/>
      <c r="L32" s="1"/>
      <c r="M32" s="1" t="str">
        <f>IF(I32="","",I32*J32-K32+L32)</f>
        <v/>
      </c>
      <c r="N32" s="1" t="str">
        <f>IF(I32=0,"",M32/I32)</f>
        <v/>
      </c>
      <c r="O32" s="1"/>
      <c r="P32" s="4"/>
      <c r="Q32" s="1"/>
      <c r="R32" s="1"/>
    </row>
    <row r="33" spans="1:18" x14ac:dyDescent="0.15">
      <c r="A33" s="1"/>
      <c r="B33" s="4"/>
      <c r="C33" s="1"/>
      <c r="D33" s="1"/>
      <c r="E33" s="1"/>
      <c r="F33" s="1"/>
      <c r="G33" s="1"/>
      <c r="H33" s="1"/>
      <c r="I33" s="1"/>
      <c r="J33" s="1"/>
      <c r="K33" s="1"/>
      <c r="L33" s="1"/>
      <c r="M33" s="1" t="str">
        <f>IF(I33="","",I33*J33-K33+L33)</f>
        <v/>
      </c>
      <c r="N33" s="1" t="str">
        <f>IF(I33=0,"",M33/I33)</f>
        <v/>
      </c>
      <c r="O33" s="1"/>
      <c r="P33" s="4"/>
      <c r="Q33" s="1"/>
      <c r="R33" s="1"/>
    </row>
    <row r="34" spans="1:18" x14ac:dyDescent="0.15">
      <c r="A34" s="1"/>
      <c r="B34" s="4"/>
      <c r="C34" s="1"/>
      <c r="D34" s="1"/>
      <c r="E34" s="1"/>
      <c r="F34" s="1"/>
      <c r="G34" s="1"/>
      <c r="H34" s="1"/>
      <c r="I34" s="1"/>
      <c r="J34" s="1"/>
      <c r="K34" s="1"/>
      <c r="L34" s="1"/>
      <c r="M34" s="1" t="str">
        <f>IF(I34="","",I34*J34-K34+L34)</f>
        <v/>
      </c>
      <c r="N34" s="1" t="str">
        <f>IF(I34=0,"",M34/I34)</f>
        <v/>
      </c>
      <c r="O34" s="1"/>
      <c r="P34" s="4"/>
      <c r="Q34" s="1"/>
      <c r="R34" s="1"/>
    </row>
    <row r="35" spans="1:18" x14ac:dyDescent="0.15">
      <c r="A35" s="1"/>
      <c r="B35" s="4"/>
      <c r="C35" s="1"/>
      <c r="D35" s="1"/>
      <c r="E35" s="1"/>
      <c r="F35" s="1"/>
      <c r="G35" s="1"/>
      <c r="H35" s="1"/>
      <c r="I35" s="1"/>
      <c r="J35" s="1"/>
      <c r="K35" s="1"/>
      <c r="L35" s="1"/>
      <c r="M35" s="1" t="str">
        <f>IF(I35="","",I35*J35-K35+L35)</f>
        <v/>
      </c>
      <c r="N35" s="1" t="str">
        <f>IF(I35=0,"",M35/I35)</f>
        <v/>
      </c>
      <c r="O35" s="1"/>
      <c r="P35" s="4"/>
      <c r="Q35" s="1"/>
      <c r="R35" s="1"/>
    </row>
    <row r="36" spans="1:18" x14ac:dyDescent="0.15">
      <c r="A36" s="1"/>
      <c r="B36" s="4"/>
      <c r="C36" s="1"/>
      <c r="D36" s="1"/>
      <c r="E36" s="1"/>
      <c r="F36" s="1"/>
      <c r="G36" s="1"/>
      <c r="H36" s="1"/>
      <c r="I36" s="1"/>
      <c r="J36" s="1"/>
      <c r="K36" s="1"/>
      <c r="L36" s="1"/>
      <c r="M36" s="1" t="str">
        <f>IF(I36="","",I36*J36-K36+L36)</f>
        <v/>
      </c>
      <c r="N36" s="1" t="str">
        <f>IF(I36=0,"",M36/I36)</f>
        <v/>
      </c>
      <c r="O36" s="1"/>
      <c r="P36" s="4"/>
      <c r="Q36" s="1"/>
      <c r="R36" s="1"/>
    </row>
    <row r="37" spans="1:18" x14ac:dyDescent="0.15">
      <c r="A37" s="1"/>
      <c r="B37" s="4"/>
      <c r="C37" s="1"/>
      <c r="D37" s="1"/>
      <c r="E37" s="1"/>
      <c r="F37" s="1"/>
      <c r="G37" s="1"/>
      <c r="H37" s="1"/>
      <c r="I37" s="1"/>
      <c r="J37" s="1"/>
      <c r="K37" s="1"/>
      <c r="L37" s="1"/>
      <c r="M37" s="1" t="str">
        <f>IF(I37="","",I37*J37-K37+L37)</f>
        <v/>
      </c>
      <c r="N37" s="1" t="str">
        <f>IF(I37=0,"",M37/I37)</f>
        <v/>
      </c>
      <c r="O37" s="1"/>
      <c r="P37" s="4"/>
      <c r="Q37" s="1"/>
      <c r="R37" s="1"/>
    </row>
    <row r="38" spans="1:18" x14ac:dyDescent="0.15">
      <c r="A38" s="1"/>
      <c r="B38" s="4"/>
      <c r="C38" s="1"/>
      <c r="D38" s="1"/>
      <c r="E38" s="1"/>
      <c r="F38" s="1"/>
      <c r="G38" s="1"/>
      <c r="H38" s="1"/>
      <c r="I38" s="1"/>
      <c r="J38" s="1"/>
      <c r="K38" s="1"/>
      <c r="L38" s="1"/>
      <c r="M38" s="1" t="str">
        <f>IF(I38="","",I38*J38-K38+L38)</f>
        <v/>
      </c>
      <c r="N38" s="1" t="str">
        <f>IF(I38=0,"",M38/I38)</f>
        <v/>
      </c>
      <c r="O38" s="1"/>
      <c r="P38" s="4"/>
      <c r="Q38" s="1"/>
      <c r="R38" s="1"/>
    </row>
    <row r="39" spans="1:18" x14ac:dyDescent="0.15">
      <c r="A39" s="1"/>
      <c r="B39" s="4"/>
      <c r="C39" s="1"/>
      <c r="D39" s="1"/>
      <c r="E39" s="1"/>
      <c r="F39" s="1"/>
      <c r="G39" s="1"/>
      <c r="H39" s="1"/>
      <c r="I39" s="1"/>
      <c r="J39" s="1"/>
      <c r="K39" s="1"/>
      <c r="L39" s="1"/>
      <c r="M39" s="1" t="str">
        <f>IF(I39="","",I39*J39-K39+L39)</f>
        <v/>
      </c>
      <c r="N39" s="1" t="str">
        <f>IF(I39=0,"",M39/I39)</f>
        <v/>
      </c>
      <c r="O39" s="1"/>
      <c r="P39" s="4"/>
      <c r="Q39" s="1"/>
      <c r="R39" s="1"/>
    </row>
    <row r="40" spans="1:18" x14ac:dyDescent="0.15">
      <c r="A40" s="1"/>
      <c r="B40" s="4"/>
      <c r="C40" s="1"/>
      <c r="D40" s="1"/>
      <c r="E40" s="1"/>
      <c r="F40" s="1"/>
      <c r="G40" s="1"/>
      <c r="H40" s="1"/>
      <c r="I40" s="1"/>
      <c r="J40" s="1"/>
      <c r="K40" s="1"/>
      <c r="L40" s="1"/>
      <c r="M40" s="1" t="str">
        <f>IF(I40="","",I40*J40-K40+L40)</f>
        <v/>
      </c>
      <c r="N40" s="1" t="str">
        <f>IF(I40=0,"",M40/I40)</f>
        <v/>
      </c>
      <c r="O40" s="1"/>
      <c r="P40" s="4"/>
      <c r="Q40" s="1"/>
      <c r="R40" s="1"/>
    </row>
    <row r="41" spans="1:18" x14ac:dyDescent="0.15">
      <c r="A41" s="1"/>
      <c r="B41" s="4"/>
      <c r="C41" s="1"/>
      <c r="D41" s="1"/>
      <c r="E41" s="1"/>
      <c r="F41" s="1"/>
      <c r="G41" s="1"/>
      <c r="H41" s="1"/>
      <c r="I41" s="1"/>
      <c r="J41" s="1"/>
      <c r="K41" s="1"/>
      <c r="L41" s="1"/>
      <c r="M41" s="1" t="str">
        <f>IF(I41="","",I41*J41-K41+L41)</f>
        <v/>
      </c>
      <c r="N41" s="1" t="str">
        <f>IF(I41=0,"",M41/I41)</f>
        <v/>
      </c>
      <c r="O41" s="1"/>
      <c r="P41" s="4"/>
      <c r="Q41" s="1"/>
      <c r="R41" s="1"/>
    </row>
    <row r="42" spans="1:18" x14ac:dyDescent="0.15">
      <c r="A42" s="1"/>
      <c r="B42" s="4"/>
      <c r="C42" s="1"/>
      <c r="D42" s="1"/>
      <c r="E42" s="1"/>
      <c r="F42" s="1"/>
      <c r="G42" s="1"/>
      <c r="H42" s="1"/>
      <c r="I42" s="1"/>
      <c r="J42" s="1"/>
      <c r="K42" s="1"/>
      <c r="L42" s="1"/>
      <c r="M42" s="1" t="str">
        <f>IF(I42="","",I42*J42-K42+L42)</f>
        <v/>
      </c>
      <c r="N42" s="1" t="str">
        <f>IF(I42=0,"",M42/I42)</f>
        <v/>
      </c>
      <c r="O42" s="1"/>
      <c r="P42" s="4"/>
      <c r="Q42" s="1"/>
      <c r="R42" s="1"/>
    </row>
    <row r="43" spans="1:18" x14ac:dyDescent="0.15">
      <c r="A43" s="1"/>
      <c r="B43" s="4"/>
      <c r="C43" s="1"/>
      <c r="D43" s="1"/>
      <c r="E43" s="1"/>
      <c r="F43" s="1"/>
      <c r="G43" s="1"/>
      <c r="H43" s="1"/>
      <c r="I43" s="1"/>
      <c r="J43" s="1"/>
      <c r="K43" s="1"/>
      <c r="L43" s="1"/>
      <c r="M43" s="1" t="str">
        <f>IF(I43="","",I43*J43-K43+L43)</f>
        <v/>
      </c>
      <c r="N43" s="1" t="str">
        <f>IF(I43=0,"",M43/I43)</f>
        <v/>
      </c>
      <c r="O43" s="1"/>
      <c r="P43" s="4"/>
      <c r="Q43" s="1"/>
      <c r="R43" s="1"/>
    </row>
    <row r="44" spans="1:18" x14ac:dyDescent="0.15">
      <c r="A44" s="1"/>
      <c r="B44" s="4"/>
      <c r="C44" s="1"/>
      <c r="D44" s="1"/>
      <c r="E44" s="1"/>
      <c r="F44" s="1"/>
      <c r="G44" s="1"/>
      <c r="H44" s="1"/>
      <c r="I44" s="1"/>
      <c r="J44" s="1"/>
      <c r="K44" s="1"/>
      <c r="L44" s="1"/>
      <c r="M44" s="1" t="str">
        <f>IF(I44="","",I44*J44-K44+L44)</f>
        <v/>
      </c>
      <c r="N44" s="1" t="str">
        <f>IF(I44=0,"",M44/I44)</f>
        <v/>
      </c>
      <c r="O44" s="1"/>
      <c r="P44" s="4"/>
      <c r="Q44" s="1"/>
      <c r="R44" s="1"/>
    </row>
    <row r="45" spans="1:18" x14ac:dyDescent="0.15">
      <c r="A45" s="1"/>
      <c r="B45" s="4"/>
      <c r="C45" s="1"/>
      <c r="D45" s="1"/>
      <c r="E45" s="1"/>
      <c r="F45" s="1"/>
      <c r="G45" s="1"/>
      <c r="H45" s="1"/>
      <c r="I45" s="1"/>
      <c r="J45" s="1"/>
      <c r="K45" s="1"/>
      <c r="L45" s="1"/>
      <c r="M45" s="1" t="str">
        <f>IF(I45="","",I45*J45-K45+L45)</f>
        <v/>
      </c>
      <c r="N45" s="1" t="str">
        <f>IF(I45=0,"",M45/I45)</f>
        <v/>
      </c>
      <c r="O45" s="1"/>
      <c r="P45" s="4"/>
      <c r="Q45" s="1"/>
      <c r="R45" s="1"/>
    </row>
    <row r="46" spans="1:18" x14ac:dyDescent="0.15">
      <c r="A46" s="1"/>
      <c r="B46" s="4"/>
      <c r="C46" s="1"/>
      <c r="D46" s="1"/>
      <c r="E46" s="1"/>
      <c r="F46" s="1"/>
      <c r="G46" s="1"/>
      <c r="H46" s="1"/>
      <c r="I46" s="1"/>
      <c r="J46" s="1"/>
      <c r="K46" s="1"/>
      <c r="L46" s="1"/>
      <c r="M46" s="1" t="str">
        <f>IF(I46="","",I46*J46-K46+L46)</f>
        <v/>
      </c>
      <c r="N46" s="1" t="str">
        <f>IF(I46=0,"",M46/I46)</f>
        <v/>
      </c>
      <c r="O46" s="1"/>
      <c r="P46" s="4"/>
      <c r="Q46" s="1"/>
      <c r="R46" s="1"/>
    </row>
    <row r="47" spans="1:18" x14ac:dyDescent="0.15">
      <c r="A47" s="1"/>
      <c r="B47" s="4"/>
      <c r="C47" s="1"/>
      <c r="D47" s="1"/>
      <c r="E47" s="1"/>
      <c r="F47" s="1"/>
      <c r="G47" s="1"/>
      <c r="H47" s="1"/>
      <c r="I47" s="1"/>
      <c r="J47" s="1"/>
      <c r="K47" s="1"/>
      <c r="L47" s="1"/>
      <c r="M47" s="1" t="str">
        <f>IF(I47="","",I47*J47-K47+L47)</f>
        <v/>
      </c>
      <c r="N47" s="1" t="str">
        <f>IF(I47=0,"",M47/I47)</f>
        <v/>
      </c>
      <c r="O47" s="1"/>
      <c r="P47" s="4"/>
      <c r="Q47" s="1"/>
      <c r="R47" s="1"/>
    </row>
    <row r="48" spans="1:18" x14ac:dyDescent="0.15">
      <c r="A48" s="1"/>
      <c r="B48" s="4"/>
      <c r="C48" s="1"/>
      <c r="D48" s="1"/>
      <c r="E48" s="1"/>
      <c r="F48" s="1"/>
      <c r="G48" s="1"/>
      <c r="H48" s="1"/>
      <c r="I48" s="1"/>
      <c r="J48" s="1"/>
      <c r="K48" s="1"/>
      <c r="L48" s="1"/>
      <c r="M48" s="1" t="str">
        <f>IF(I48="","",I48*J48-K48+L48)</f>
        <v/>
      </c>
      <c r="N48" s="1" t="str">
        <f>IF(I48=0,"",M48/I48)</f>
        <v/>
      </c>
      <c r="O48" s="1"/>
      <c r="P48" s="4"/>
      <c r="Q48" s="1"/>
      <c r="R48" s="1"/>
    </row>
    <row r="49" spans="1:18" x14ac:dyDescent="0.15">
      <c r="A49" s="1"/>
      <c r="B49" s="4"/>
      <c r="C49" s="1"/>
      <c r="D49" s="1"/>
      <c r="E49" s="1"/>
      <c r="F49" s="1"/>
      <c r="G49" s="1"/>
      <c r="H49" s="1"/>
      <c r="I49" s="1"/>
      <c r="J49" s="1"/>
      <c r="K49" s="1"/>
      <c r="L49" s="1"/>
      <c r="M49" s="1" t="str">
        <f>IF(I49="","",I49*J49-K49+L49)</f>
        <v/>
      </c>
      <c r="N49" s="1" t="str">
        <f>IF(I49=0,"",M49/I49)</f>
        <v/>
      </c>
      <c r="O49" s="1"/>
      <c r="P49" s="4"/>
      <c r="Q49" s="1"/>
      <c r="R49" s="1"/>
    </row>
    <row r="50" spans="1:18" x14ac:dyDescent="0.15">
      <c r="A50" s="1"/>
      <c r="B50" s="4"/>
      <c r="C50" s="1"/>
      <c r="D50" s="1"/>
      <c r="E50" s="1"/>
      <c r="F50" s="1"/>
      <c r="G50" s="1"/>
      <c r="H50" s="1"/>
      <c r="I50" s="1"/>
      <c r="J50" s="1"/>
      <c r="K50" s="1"/>
      <c r="L50" s="1"/>
      <c r="M50" s="1" t="str">
        <f>IF(I50="","",I50*J50-K50+L50)</f>
        <v/>
      </c>
      <c r="N50" s="1" t="str">
        <f>IF(I50=0,"",M50/I50)</f>
        <v/>
      </c>
      <c r="O50" s="1"/>
      <c r="P50" s="4"/>
      <c r="Q50" s="1"/>
      <c r="R50" s="1"/>
    </row>
    <row r="51" spans="1:18" x14ac:dyDescent="0.15">
      <c r="A51" s="1"/>
      <c r="B51" s="4"/>
      <c r="C51" s="1"/>
      <c r="D51" s="1"/>
      <c r="E51" s="1"/>
      <c r="F51" s="1"/>
      <c r="G51" s="1"/>
      <c r="H51" s="1"/>
      <c r="I51" s="1"/>
      <c r="J51" s="1"/>
      <c r="K51" s="1"/>
      <c r="L51" s="1"/>
      <c r="M51" s="1" t="str">
        <f>IF(I51="","",I51*J51-K51+L51)</f>
        <v/>
      </c>
      <c r="N51" s="1" t="str">
        <f>IF(I51=0,"",M51/I51)</f>
        <v/>
      </c>
      <c r="O51" s="1"/>
      <c r="P51" s="4"/>
      <c r="Q51" s="1"/>
      <c r="R51" s="1"/>
    </row>
    <row r="52" spans="1:18" x14ac:dyDescent="0.15">
      <c r="A52" s="1"/>
      <c r="B52" s="4"/>
      <c r="C52" s="1"/>
      <c r="D52" s="1"/>
      <c r="E52" s="1"/>
      <c r="F52" s="1"/>
      <c r="G52" s="1"/>
      <c r="H52" s="1"/>
      <c r="I52" s="1"/>
      <c r="J52" s="1"/>
      <c r="K52" s="1"/>
      <c r="L52" s="1"/>
      <c r="M52" s="1" t="str">
        <f>IF(I52="","",I52*J52-K52+L52)</f>
        <v/>
      </c>
      <c r="N52" s="1" t="str">
        <f>IF(I52=0,"",M52/I52)</f>
        <v/>
      </c>
      <c r="O52" s="1"/>
      <c r="P52" s="4"/>
      <c r="Q52" s="1"/>
      <c r="R52" s="1"/>
    </row>
    <row r="53" spans="1:18" x14ac:dyDescent="0.15">
      <c r="A53" s="1"/>
      <c r="B53" s="4"/>
      <c r="C53" s="1"/>
      <c r="D53" s="1"/>
      <c r="E53" s="1"/>
      <c r="F53" s="1"/>
      <c r="G53" s="1"/>
      <c r="H53" s="1"/>
      <c r="I53" s="1"/>
      <c r="J53" s="1"/>
      <c r="K53" s="1"/>
      <c r="L53" s="1"/>
      <c r="M53" s="1" t="str">
        <f>IF(I53="","",I53*J53-K53+L53)</f>
        <v/>
      </c>
      <c r="N53" s="1" t="str">
        <f>IF(I53=0,"",M53/I53)</f>
        <v/>
      </c>
      <c r="O53" s="1"/>
      <c r="P53" s="4"/>
      <c r="Q53" s="1"/>
      <c r="R53" s="1"/>
    </row>
    <row r="54" spans="1:18" x14ac:dyDescent="0.15">
      <c r="A54" s="1"/>
      <c r="B54" s="4"/>
      <c r="C54" s="1"/>
      <c r="D54" s="1"/>
      <c r="E54" s="1"/>
      <c r="F54" s="1"/>
      <c r="G54" s="1"/>
      <c r="H54" s="1"/>
      <c r="I54" s="1"/>
      <c r="J54" s="1"/>
      <c r="K54" s="1"/>
      <c r="L54" s="1"/>
      <c r="M54" s="1" t="str">
        <f>IF(I54="","",I54*J54-K54+L54)</f>
        <v/>
      </c>
      <c r="N54" s="1" t="str">
        <f>IF(I54=0,"",M54/I54)</f>
        <v/>
      </c>
      <c r="O54" s="1"/>
      <c r="P54" s="4"/>
      <c r="Q54" s="1"/>
      <c r="R54" s="1"/>
    </row>
    <row r="55" spans="1:18" x14ac:dyDescent="0.15">
      <c r="A55" s="1"/>
      <c r="B55" s="4"/>
      <c r="C55" s="1"/>
      <c r="D55" s="1"/>
      <c r="E55" s="1"/>
      <c r="F55" s="1"/>
      <c r="G55" s="1"/>
      <c r="H55" s="1"/>
      <c r="I55" s="1"/>
      <c r="J55" s="1"/>
      <c r="K55" s="1"/>
      <c r="L55" s="1"/>
      <c r="M55" s="1" t="str">
        <f>IF(I55="","",I55*J55-K55+L55)</f>
        <v/>
      </c>
      <c r="N55" s="1" t="str">
        <f>IF(I55=0,"",M55/I55)</f>
        <v/>
      </c>
      <c r="O55" s="1"/>
      <c r="P55" s="4"/>
      <c r="Q55" s="1"/>
      <c r="R55" s="1"/>
    </row>
    <row r="56" spans="1:18" x14ac:dyDescent="0.15">
      <c r="A56" s="1"/>
      <c r="B56" s="4"/>
      <c r="C56" s="1"/>
      <c r="D56" s="1"/>
      <c r="E56" s="1"/>
      <c r="F56" s="1"/>
      <c r="G56" s="1"/>
      <c r="H56" s="1"/>
      <c r="I56" s="1"/>
      <c r="J56" s="1"/>
      <c r="K56" s="1"/>
      <c r="L56" s="1"/>
      <c r="M56" s="1" t="str">
        <f>IF(I56="","",I56*J56-K56+L56)</f>
        <v/>
      </c>
      <c r="N56" s="1" t="str">
        <f>IF(I56=0,"",M56/I56)</f>
        <v/>
      </c>
      <c r="O56" s="1"/>
      <c r="P56" s="4"/>
      <c r="Q56" s="1"/>
      <c r="R56" s="1"/>
    </row>
    <row r="57" spans="1:18" x14ac:dyDescent="0.15">
      <c r="A57" s="1"/>
      <c r="B57" s="4"/>
      <c r="C57" s="1"/>
      <c r="D57" s="1"/>
      <c r="E57" s="1"/>
      <c r="F57" s="1"/>
      <c r="G57" s="1"/>
      <c r="H57" s="1"/>
      <c r="I57" s="1"/>
      <c r="J57" s="1"/>
      <c r="K57" s="1"/>
      <c r="L57" s="1"/>
      <c r="M57" s="1" t="str">
        <f>IF(I57="","",I57*J57-K57+L57)</f>
        <v/>
      </c>
      <c r="N57" s="1" t="str">
        <f>IF(I57=0,"",M57/I57)</f>
        <v/>
      </c>
      <c r="O57" s="1"/>
      <c r="P57" s="4"/>
      <c r="Q57" s="1"/>
      <c r="R57" s="1"/>
    </row>
    <row r="58" spans="1:18" x14ac:dyDescent="0.15">
      <c r="A58" s="1"/>
      <c r="B58" s="4"/>
      <c r="C58" s="1"/>
      <c r="D58" s="1"/>
      <c r="E58" s="1"/>
      <c r="F58" s="1"/>
      <c r="G58" s="1"/>
      <c r="H58" s="1"/>
      <c r="I58" s="1"/>
      <c r="J58" s="1"/>
      <c r="K58" s="1"/>
      <c r="L58" s="1"/>
      <c r="M58" s="1" t="str">
        <f>IF(I58="","",I58*J58-K58+L58)</f>
        <v/>
      </c>
      <c r="N58" s="1" t="str">
        <f>IF(I58=0,"",M58/I58)</f>
        <v/>
      </c>
      <c r="O58" s="1"/>
      <c r="P58" s="4"/>
      <c r="Q58" s="1"/>
      <c r="R58" s="1"/>
    </row>
    <row r="59" spans="1:18" x14ac:dyDescent="0.15">
      <c r="A59" s="1"/>
      <c r="B59" s="4"/>
      <c r="C59" s="1"/>
      <c r="D59" s="1"/>
      <c r="E59" s="1"/>
      <c r="F59" s="1"/>
      <c r="G59" s="1"/>
      <c r="H59" s="1"/>
      <c r="I59" s="1"/>
      <c r="J59" s="1"/>
      <c r="K59" s="1"/>
      <c r="L59" s="1"/>
      <c r="M59" s="1" t="str">
        <f>IF(I59="","",I59*J59-K59+L59)</f>
        <v/>
      </c>
      <c r="N59" s="1" t="str">
        <f>IF(I59=0,"",M59/I59)</f>
        <v/>
      </c>
      <c r="O59" s="1"/>
      <c r="P59" s="4"/>
      <c r="Q59" s="1"/>
      <c r="R59" s="1"/>
    </row>
    <row r="60" spans="1:18" x14ac:dyDescent="0.15">
      <c r="A60" s="1"/>
      <c r="B60" s="4"/>
      <c r="C60" s="1"/>
      <c r="D60" s="1"/>
      <c r="E60" s="1"/>
      <c r="F60" s="1"/>
      <c r="G60" s="1"/>
      <c r="H60" s="1"/>
      <c r="I60" s="1"/>
      <c r="J60" s="1"/>
      <c r="K60" s="1"/>
      <c r="L60" s="1"/>
      <c r="M60" s="1" t="str">
        <f>IF(I60="","",I60*J60-K60+L60)</f>
        <v/>
      </c>
      <c r="N60" s="1" t="str">
        <f>IF(I60=0,"",M60/I60)</f>
        <v/>
      </c>
      <c r="O60" s="1"/>
      <c r="P60" s="4"/>
      <c r="Q60" s="1"/>
      <c r="R60" s="1"/>
    </row>
    <row r="61" spans="1:18" x14ac:dyDescent="0.15">
      <c r="A61" s="1"/>
      <c r="B61" s="4"/>
      <c r="C61" s="1"/>
      <c r="D61" s="1"/>
      <c r="E61" s="1"/>
      <c r="F61" s="1"/>
      <c r="G61" s="1"/>
      <c r="H61" s="1"/>
      <c r="I61" s="1"/>
      <c r="J61" s="1"/>
      <c r="K61" s="1"/>
      <c r="L61" s="1"/>
      <c r="M61" s="1" t="str">
        <f>IF(I61="","",I61*J61-K61+L61)</f>
        <v/>
      </c>
      <c r="N61" s="1" t="str">
        <f>IF(I61=0,"",M61/I61)</f>
        <v/>
      </c>
      <c r="O61" s="1"/>
      <c r="P61" s="4"/>
      <c r="Q61" s="1"/>
      <c r="R61" s="1"/>
    </row>
    <row r="62" spans="1:18" x14ac:dyDescent="0.15">
      <c r="A62" s="1"/>
      <c r="B62" s="4"/>
      <c r="C62" s="1"/>
      <c r="D62" s="1"/>
      <c r="E62" s="1"/>
      <c r="F62" s="1"/>
      <c r="G62" s="1"/>
      <c r="H62" s="1"/>
      <c r="I62" s="1"/>
      <c r="J62" s="1"/>
      <c r="K62" s="1"/>
      <c r="L62" s="1"/>
      <c r="M62" s="1" t="str">
        <f>IF(I62="","",I62*J62-K62+L62)</f>
        <v/>
      </c>
      <c r="N62" s="1" t="str">
        <f>IF(I62=0,"",M62/I62)</f>
        <v/>
      </c>
      <c r="O62" s="1"/>
      <c r="P62" s="4"/>
      <c r="Q62" s="1"/>
      <c r="R62" s="1"/>
    </row>
    <row r="63" spans="1:18" x14ac:dyDescent="0.15">
      <c r="A63" s="1"/>
      <c r="B63" s="4"/>
      <c r="C63" s="1"/>
      <c r="D63" s="1"/>
      <c r="E63" s="1"/>
      <c r="F63" s="1"/>
      <c r="G63" s="1"/>
      <c r="H63" s="1"/>
      <c r="I63" s="1"/>
      <c r="J63" s="1"/>
      <c r="K63" s="1"/>
      <c r="L63" s="1"/>
      <c r="M63" s="1" t="str">
        <f>IF(I63="","",I63*J63-K63+L63)</f>
        <v/>
      </c>
      <c r="N63" s="1" t="str">
        <f>IF(I63=0,"",M63/I63)</f>
        <v/>
      </c>
      <c r="O63" s="1"/>
      <c r="P63" s="4"/>
      <c r="Q63" s="1"/>
      <c r="R63" s="1"/>
    </row>
    <row r="64" spans="1:18" x14ac:dyDescent="0.15">
      <c r="A64" s="1"/>
      <c r="B64" s="4"/>
      <c r="C64" s="1"/>
      <c r="D64" s="1"/>
      <c r="E64" s="1"/>
      <c r="F64" s="1"/>
      <c r="G64" s="1"/>
      <c r="H64" s="1"/>
      <c r="I64" s="1"/>
      <c r="J64" s="1"/>
      <c r="K64" s="1"/>
      <c r="L64" s="1"/>
      <c r="M64" s="1" t="str">
        <f>IF(I64="","",I64*J64-K64+L64)</f>
        <v/>
      </c>
      <c r="N64" s="1" t="str">
        <f>IF(I64=0,"",M64/I64)</f>
        <v/>
      </c>
      <c r="O64" s="1"/>
      <c r="P64" s="4"/>
      <c r="Q64" s="1"/>
      <c r="R64" s="1"/>
    </row>
    <row r="65" spans="1:18" x14ac:dyDescent="0.15">
      <c r="A65" s="1"/>
      <c r="B65" s="4"/>
      <c r="C65" s="1"/>
      <c r="D65" s="1"/>
      <c r="E65" s="1"/>
      <c r="F65" s="1"/>
      <c r="G65" s="1"/>
      <c r="H65" s="1"/>
      <c r="I65" s="1"/>
      <c r="J65" s="1"/>
      <c r="K65" s="1"/>
      <c r="L65" s="1"/>
      <c r="M65" s="1" t="str">
        <f>IF(I65="","",I65*J65-K65+L65)</f>
        <v/>
      </c>
      <c r="N65" s="1" t="str">
        <f>IF(I65=0,"",M65/I65)</f>
        <v/>
      </c>
      <c r="O65" s="1"/>
      <c r="P65" s="4"/>
      <c r="Q65" s="1"/>
      <c r="R65" s="1"/>
    </row>
    <row r="66" spans="1:18" x14ac:dyDescent="0.15">
      <c r="A66" s="1"/>
      <c r="B66" s="4"/>
      <c r="C66" s="1"/>
      <c r="D66" s="1"/>
      <c r="E66" s="1"/>
      <c r="F66" s="1"/>
      <c r="G66" s="1"/>
      <c r="H66" s="1"/>
      <c r="I66" s="1"/>
      <c r="J66" s="1"/>
      <c r="K66" s="1"/>
      <c r="L66" s="1"/>
      <c r="M66" s="1" t="str">
        <f>IF(I66="","",I66*J66-K66+L66)</f>
        <v/>
      </c>
      <c r="N66" s="1" t="str">
        <f>IF(I66=0,"",M66/I66)</f>
        <v/>
      </c>
      <c r="O66" s="1"/>
      <c r="P66" s="4"/>
      <c r="Q66" s="1"/>
      <c r="R66" s="1"/>
    </row>
    <row r="67" spans="1:18" x14ac:dyDescent="0.15">
      <c r="A67" s="1"/>
      <c r="B67" s="4"/>
      <c r="C67" s="1"/>
      <c r="D67" s="1"/>
      <c r="E67" s="1"/>
      <c r="F67" s="1"/>
      <c r="G67" s="1"/>
      <c r="H67" s="1"/>
      <c r="I67" s="1"/>
      <c r="J67" s="1"/>
      <c r="K67" s="1"/>
      <c r="L67" s="1"/>
      <c r="M67" s="1" t="str">
        <f>IF(I67="","",I67*J67-K67+L67)</f>
        <v/>
      </c>
      <c r="N67" s="1" t="str">
        <f>IF(I67=0,"",M67/I67)</f>
        <v/>
      </c>
      <c r="O67" s="1"/>
      <c r="P67" s="4"/>
      <c r="Q67" s="1"/>
      <c r="R67" s="1"/>
    </row>
    <row r="68" spans="1:18" x14ac:dyDescent="0.15">
      <c r="A68" s="1"/>
      <c r="B68" s="4"/>
      <c r="C68" s="1"/>
      <c r="D68" s="1"/>
      <c r="E68" s="1"/>
      <c r="F68" s="1"/>
      <c r="G68" s="1"/>
      <c r="H68" s="1"/>
      <c r="I68" s="1"/>
      <c r="J68" s="1"/>
      <c r="K68" s="1"/>
      <c r="L68" s="1"/>
      <c r="M68" s="1" t="str">
        <f>IF(I68="","",I68*J68-K68+L68)</f>
        <v/>
      </c>
      <c r="N68" s="1" t="str">
        <f>IF(I68=0,"",M68/I68)</f>
        <v/>
      </c>
      <c r="O68" s="1"/>
      <c r="P68" s="4"/>
      <c r="Q68" s="1"/>
      <c r="R68" s="1"/>
    </row>
    <row r="69" spans="1:18" x14ac:dyDescent="0.15">
      <c r="A69" s="1"/>
      <c r="B69" s="4"/>
      <c r="C69" s="1"/>
      <c r="D69" s="1"/>
      <c r="E69" s="1"/>
      <c r="F69" s="1"/>
      <c r="G69" s="1"/>
      <c r="H69" s="1"/>
      <c r="I69" s="1"/>
      <c r="J69" s="1"/>
      <c r="K69" s="1"/>
      <c r="L69" s="1"/>
      <c r="M69" s="1" t="str">
        <f>IF(I69="","",I69*J69-K69+L69)</f>
        <v/>
      </c>
      <c r="N69" s="1" t="str">
        <f>IF(I69=0,"",M69/I69)</f>
        <v/>
      </c>
      <c r="O69" s="1"/>
      <c r="P69" s="4"/>
      <c r="Q69" s="1"/>
      <c r="R69" s="1"/>
    </row>
    <row r="70" spans="1:18" x14ac:dyDescent="0.15">
      <c r="A70" s="1"/>
      <c r="B70" s="4"/>
      <c r="C70" s="1"/>
      <c r="D70" s="1"/>
      <c r="E70" s="1"/>
      <c r="F70" s="1"/>
      <c r="G70" s="1"/>
      <c r="H70" s="1"/>
      <c r="I70" s="1"/>
      <c r="J70" s="1"/>
      <c r="K70" s="1"/>
      <c r="L70" s="1"/>
      <c r="M70" s="1" t="str">
        <f>IF(I70="","",I70*J70-K70+L70)</f>
        <v/>
      </c>
      <c r="N70" s="1" t="str">
        <f>IF(I70=0,"",M70/I70)</f>
        <v/>
      </c>
      <c r="O70" s="1"/>
      <c r="P70" s="4"/>
      <c r="Q70" s="1"/>
      <c r="R70" s="1"/>
    </row>
    <row r="71" spans="1:18" x14ac:dyDescent="0.15">
      <c r="A71" s="1"/>
      <c r="B71" s="4"/>
      <c r="C71" s="1"/>
      <c r="D71" s="1"/>
      <c r="E71" s="1"/>
      <c r="F71" s="1"/>
      <c r="G71" s="1"/>
      <c r="H71" s="1"/>
      <c r="I71" s="1"/>
      <c r="J71" s="1"/>
      <c r="K71" s="1"/>
      <c r="L71" s="1"/>
      <c r="M71" s="1" t="str">
        <f>IF(I71="","",I71*J71-K71+L71)</f>
        <v/>
      </c>
      <c r="N71" s="1" t="str">
        <f>IF(I71=0,"",M71/I71)</f>
        <v/>
      </c>
      <c r="O71" s="1"/>
      <c r="P71" s="4"/>
      <c r="Q71" s="1"/>
      <c r="R71" s="1"/>
    </row>
    <row r="72" spans="1:18" x14ac:dyDescent="0.15">
      <c r="A72" s="1"/>
      <c r="B72" s="4"/>
      <c r="C72" s="1"/>
      <c r="D72" s="1"/>
      <c r="E72" s="1"/>
      <c r="F72" s="1"/>
      <c r="G72" s="1"/>
      <c r="H72" s="1"/>
      <c r="I72" s="1"/>
      <c r="J72" s="1"/>
      <c r="K72" s="1"/>
      <c r="L72" s="1"/>
      <c r="M72" s="1" t="str">
        <f>IF(I72="","",I72*J72-K72+L72)</f>
        <v/>
      </c>
      <c r="N72" s="1" t="str">
        <f>IF(I72=0,"",M72/I72)</f>
        <v/>
      </c>
      <c r="O72" s="1"/>
      <c r="P72" s="4"/>
      <c r="Q72" s="1"/>
      <c r="R72" s="1"/>
    </row>
    <row r="73" spans="1:18" x14ac:dyDescent="0.15">
      <c r="A73" s="1"/>
      <c r="B73" s="4"/>
      <c r="C73" s="1"/>
      <c r="D73" s="1"/>
      <c r="E73" s="1"/>
      <c r="F73" s="1"/>
      <c r="G73" s="1"/>
      <c r="H73" s="1"/>
      <c r="I73" s="1"/>
      <c r="J73" s="1"/>
      <c r="K73" s="1"/>
      <c r="L73" s="1"/>
      <c r="M73" s="1" t="str">
        <f>IF(I73="","",I73*J73-K73+L73)</f>
        <v/>
      </c>
      <c r="N73" s="1" t="str">
        <f>IF(I73=0,"",M73/I73)</f>
        <v/>
      </c>
      <c r="O73" s="1"/>
      <c r="P73" s="4"/>
      <c r="Q73" s="1"/>
      <c r="R73" s="1"/>
    </row>
    <row r="74" spans="1:18" x14ac:dyDescent="0.15">
      <c r="A74" s="1"/>
      <c r="B74" s="4"/>
      <c r="C74" s="1"/>
      <c r="D74" s="1"/>
      <c r="E74" s="1"/>
      <c r="F74" s="1"/>
      <c r="G74" s="1"/>
      <c r="H74" s="1"/>
      <c r="I74" s="1"/>
      <c r="J74" s="1"/>
      <c r="K74" s="1"/>
      <c r="L74" s="1"/>
      <c r="M74" s="1" t="str">
        <f>IF(I74="","",I74*J74-K74+L74)</f>
        <v/>
      </c>
      <c r="N74" s="1" t="str">
        <f>IF(I74=0,"",M74/I74)</f>
        <v/>
      </c>
      <c r="O74" s="1"/>
      <c r="P74" s="4"/>
      <c r="Q74" s="1"/>
      <c r="R74" s="1"/>
    </row>
    <row r="75" spans="1:18" x14ac:dyDescent="0.15">
      <c r="A75" s="1"/>
      <c r="B75" s="4"/>
      <c r="C75" s="1"/>
      <c r="D75" s="1"/>
      <c r="E75" s="1"/>
      <c r="F75" s="1"/>
      <c r="G75" s="1"/>
      <c r="H75" s="1"/>
      <c r="I75" s="1"/>
      <c r="J75" s="1"/>
      <c r="K75" s="1"/>
      <c r="L75" s="1"/>
      <c r="M75" s="1" t="str">
        <f>IF(I75="","",I75*J75-K75+L75)</f>
        <v/>
      </c>
      <c r="N75" s="1" t="str">
        <f>IF(I75=0,"",M75/I75)</f>
        <v/>
      </c>
      <c r="O75" s="1"/>
      <c r="P75" s="4"/>
      <c r="Q75" s="1"/>
      <c r="R75" s="1"/>
    </row>
    <row r="76" spans="1:18" x14ac:dyDescent="0.15">
      <c r="A76" s="1"/>
      <c r="B76" s="4"/>
      <c r="C76" s="1"/>
      <c r="D76" s="1"/>
      <c r="E76" s="1"/>
      <c r="F76" s="1"/>
      <c r="G76" s="1"/>
      <c r="H76" s="1"/>
      <c r="I76" s="1"/>
      <c r="J76" s="1"/>
      <c r="K76" s="1"/>
      <c r="L76" s="1"/>
      <c r="M76" s="1" t="str">
        <f>IF(I76="","",I76*J76-K76+L76)</f>
        <v/>
      </c>
      <c r="N76" s="1" t="str">
        <f>IF(I76=0,"",M76/I76)</f>
        <v/>
      </c>
      <c r="O76" s="1"/>
      <c r="P76" s="4"/>
      <c r="Q76" s="1"/>
      <c r="R76" s="1"/>
    </row>
    <row r="77" spans="1:18" x14ac:dyDescent="0.15">
      <c r="A77" s="1"/>
      <c r="B77" s="4"/>
      <c r="C77" s="1"/>
      <c r="D77" s="1"/>
      <c r="E77" s="1"/>
      <c r="F77" s="1"/>
      <c r="G77" s="1"/>
      <c r="H77" s="1"/>
      <c r="I77" s="1"/>
      <c r="J77" s="1"/>
      <c r="K77" s="1"/>
      <c r="L77" s="1"/>
      <c r="M77" s="1" t="str">
        <f>IF(I77="","",I77*J77-K77+L77)</f>
        <v/>
      </c>
      <c r="N77" s="1" t="str">
        <f>IF(I77=0,"",M77/I77)</f>
        <v/>
      </c>
      <c r="O77" s="1"/>
      <c r="P77" s="4"/>
      <c r="Q77" s="1"/>
      <c r="R77" s="1"/>
    </row>
    <row r="78" spans="1:18" x14ac:dyDescent="0.15">
      <c r="A78" s="1"/>
      <c r="B78" s="4"/>
      <c r="C78" s="1"/>
      <c r="D78" s="1"/>
      <c r="E78" s="1"/>
      <c r="F78" s="1"/>
      <c r="G78" s="1"/>
      <c r="H78" s="1"/>
      <c r="I78" s="1"/>
      <c r="J78" s="1"/>
      <c r="K78" s="1"/>
      <c r="L78" s="1"/>
      <c r="M78" s="1" t="str">
        <f>IF(I78="","",I78*J78-K78+L78)</f>
        <v/>
      </c>
      <c r="N78" s="1" t="str">
        <f>IF(I78=0,"",M78/I78)</f>
        <v/>
      </c>
      <c r="O78" s="1"/>
      <c r="P78" s="4"/>
      <c r="Q78" s="1"/>
      <c r="R78" s="1"/>
    </row>
    <row r="79" spans="1:18" x14ac:dyDescent="0.15">
      <c r="A79" s="1"/>
      <c r="B79" s="4"/>
      <c r="C79" s="1"/>
      <c r="D79" s="1"/>
      <c r="E79" s="1"/>
      <c r="F79" s="1"/>
      <c r="G79" s="1"/>
      <c r="H79" s="1"/>
      <c r="I79" s="1"/>
      <c r="J79" s="1"/>
      <c r="K79" s="1"/>
      <c r="L79" s="1"/>
      <c r="M79" s="1" t="str">
        <f>IF(I79="","",I79*J79-K79+L79)</f>
        <v/>
      </c>
      <c r="N79" s="1" t="str">
        <f>IF(I79=0,"",M79/I79)</f>
        <v/>
      </c>
      <c r="O79" s="1"/>
      <c r="P79" s="4"/>
      <c r="Q79" s="1"/>
      <c r="R79" s="1"/>
    </row>
    <row r="80" spans="1:18" x14ac:dyDescent="0.15">
      <c r="A80" s="1"/>
      <c r="B80" s="4"/>
      <c r="C80" s="1"/>
      <c r="D80" s="1"/>
      <c r="E80" s="1"/>
      <c r="F80" s="1"/>
      <c r="G80" s="1"/>
      <c r="H80" s="1"/>
      <c r="I80" s="1"/>
      <c r="J80" s="1"/>
      <c r="K80" s="1"/>
      <c r="L80" s="1"/>
      <c r="M80" s="1" t="str">
        <f>IF(I80="","",I80*J80-K80+L80)</f>
        <v/>
      </c>
      <c r="N80" s="1" t="str">
        <f>IF(I80=0,"",M80/I80)</f>
        <v/>
      </c>
      <c r="O80" s="1"/>
      <c r="P80" s="4"/>
      <c r="Q80" s="1"/>
      <c r="R80" s="1"/>
    </row>
    <row r="81" spans="1:18" x14ac:dyDescent="0.15">
      <c r="A81" s="1"/>
      <c r="B81" s="4"/>
      <c r="C81" s="1"/>
      <c r="D81" s="1"/>
      <c r="E81" s="1"/>
      <c r="F81" s="1"/>
      <c r="G81" s="1"/>
      <c r="H81" s="1"/>
      <c r="I81" s="1"/>
      <c r="J81" s="1"/>
      <c r="K81" s="1"/>
      <c r="L81" s="1"/>
      <c r="M81" s="1" t="str">
        <f>IF(I81="","",I81*J81-K81+L81)</f>
        <v/>
      </c>
      <c r="N81" s="1" t="str">
        <f>IF(I81=0,"",M81/I81)</f>
        <v/>
      </c>
      <c r="O81" s="1"/>
      <c r="P81" s="4"/>
      <c r="Q81" s="1"/>
      <c r="R81" s="1"/>
    </row>
    <row r="82" spans="1:18" x14ac:dyDescent="0.15">
      <c r="A82" s="1"/>
      <c r="B82" s="4"/>
      <c r="C82" s="1"/>
      <c r="D82" s="1"/>
      <c r="E82" s="1"/>
      <c r="F82" s="1"/>
      <c r="G82" s="1"/>
      <c r="H82" s="1"/>
      <c r="I82" s="1"/>
      <c r="J82" s="1"/>
      <c r="K82" s="1"/>
      <c r="L82" s="1"/>
      <c r="M82" s="1" t="str">
        <f>IF(I82="","",I82*J82-K82+L82)</f>
        <v/>
      </c>
      <c r="N82" s="1" t="str">
        <f>IF(I82=0,"",M82/I82)</f>
        <v/>
      </c>
      <c r="O82" s="1"/>
      <c r="P82" s="4"/>
      <c r="Q82" s="1"/>
      <c r="R82" s="1"/>
    </row>
    <row r="83" spans="1:18" x14ac:dyDescent="0.15">
      <c r="A83" s="1"/>
      <c r="B83" s="4"/>
      <c r="C83" s="1"/>
      <c r="D83" s="1"/>
      <c r="E83" s="1"/>
      <c r="F83" s="1"/>
      <c r="G83" s="1"/>
      <c r="H83" s="1"/>
      <c r="I83" s="1"/>
      <c r="J83" s="1"/>
      <c r="K83" s="1"/>
      <c r="L83" s="1"/>
      <c r="M83" s="1" t="str">
        <f>IF(I83="","",I83*J83-K83+L83)</f>
        <v/>
      </c>
      <c r="N83" s="1" t="str">
        <f>IF(I83=0,"",M83/I83)</f>
        <v/>
      </c>
      <c r="O83" s="1"/>
      <c r="P83" s="4"/>
      <c r="Q83" s="1"/>
      <c r="R83" s="1"/>
    </row>
    <row r="84" spans="1:18" x14ac:dyDescent="0.15">
      <c r="A84" s="1"/>
      <c r="B84" s="4"/>
      <c r="C84" s="1"/>
      <c r="D84" s="1"/>
      <c r="E84" s="1"/>
      <c r="F84" s="1"/>
      <c r="G84" s="1"/>
      <c r="H84" s="1"/>
      <c r="I84" s="1"/>
      <c r="J84" s="1"/>
      <c r="K84" s="1"/>
      <c r="L84" s="1"/>
      <c r="M84" s="1" t="str">
        <f>IF(I84="","",I84*J84-K84+L84)</f>
        <v/>
      </c>
      <c r="N84" s="1" t="str">
        <f>IF(I84=0,"",M84/I84)</f>
        <v/>
      </c>
      <c r="O84" s="1"/>
      <c r="P84" s="4"/>
      <c r="Q84" s="1"/>
      <c r="R84" s="1"/>
    </row>
    <row r="85" spans="1:18" x14ac:dyDescent="0.15">
      <c r="A85" s="1"/>
      <c r="B85" s="4"/>
      <c r="C85" s="1"/>
      <c r="D85" s="1"/>
      <c r="E85" s="1"/>
      <c r="F85" s="1"/>
      <c r="G85" s="1"/>
      <c r="H85" s="1"/>
      <c r="I85" s="1"/>
      <c r="J85" s="1"/>
      <c r="K85" s="1"/>
      <c r="L85" s="1"/>
      <c r="M85" s="1" t="str">
        <f>IF(I85="","",I85*J85-K85+L85)</f>
        <v/>
      </c>
      <c r="N85" s="1" t="str">
        <f>IF(I85=0,"",M85/I85)</f>
        <v/>
      </c>
      <c r="O85" s="1"/>
      <c r="P85" s="4"/>
      <c r="Q85" s="1"/>
      <c r="R85" s="1"/>
    </row>
    <row r="86" spans="1:18" x14ac:dyDescent="0.15">
      <c r="A86" s="1"/>
      <c r="B86" s="4"/>
      <c r="C86" s="1"/>
      <c r="D86" s="1"/>
      <c r="E86" s="1"/>
      <c r="F86" s="1"/>
      <c r="G86" s="1"/>
      <c r="H86" s="1"/>
      <c r="I86" s="1"/>
      <c r="J86" s="1"/>
      <c r="K86" s="1"/>
      <c r="L86" s="1"/>
      <c r="M86" s="1" t="str">
        <f>IF(I86="","",I86*J86-K86+L86)</f>
        <v/>
      </c>
      <c r="N86" s="1" t="str">
        <f>IF(I86=0,"",M86/I86)</f>
        <v/>
      </c>
      <c r="O86" s="1"/>
      <c r="P86" s="4"/>
      <c r="Q86" s="1"/>
      <c r="R86" s="1"/>
    </row>
    <row r="87" spans="1:18" x14ac:dyDescent="0.15">
      <c r="A87" s="1"/>
      <c r="B87" s="4"/>
      <c r="C87" s="1"/>
      <c r="D87" s="1"/>
      <c r="E87" s="1"/>
      <c r="F87" s="1"/>
      <c r="G87" s="1"/>
      <c r="H87" s="1"/>
      <c r="I87" s="1"/>
      <c r="J87" s="1"/>
      <c r="K87" s="1"/>
      <c r="L87" s="1"/>
      <c r="M87" s="1" t="str">
        <f>IF(I87="","",I87*J87-K87+L87)</f>
        <v/>
      </c>
      <c r="N87" s="1" t="str">
        <f>IF(I87=0,"",M87/I87)</f>
        <v/>
      </c>
      <c r="O87" s="1"/>
      <c r="P87" s="4"/>
      <c r="Q87" s="1"/>
      <c r="R87" s="1"/>
    </row>
    <row r="88" spans="1:18" x14ac:dyDescent="0.15">
      <c r="A88" s="1"/>
      <c r="B88" s="4"/>
      <c r="C88" s="1"/>
      <c r="D88" s="1"/>
      <c r="E88" s="1"/>
      <c r="F88" s="1"/>
      <c r="G88" s="1"/>
      <c r="H88" s="1"/>
      <c r="I88" s="1"/>
      <c r="J88" s="1"/>
      <c r="K88" s="1"/>
      <c r="L88" s="1"/>
      <c r="M88" s="1" t="str">
        <f>IF(I88="","",I88*J88-K88+L88)</f>
        <v/>
      </c>
      <c r="N88" s="1" t="str">
        <f>IF(I88=0,"",M88/I88)</f>
        <v/>
      </c>
      <c r="O88" s="1"/>
      <c r="P88" s="4"/>
      <c r="Q88" s="1"/>
      <c r="R88" s="1"/>
    </row>
    <row r="89" spans="1:18" x14ac:dyDescent="0.15">
      <c r="A89" s="1"/>
      <c r="B89" s="4"/>
      <c r="C89" s="1"/>
      <c r="D89" s="1"/>
      <c r="E89" s="1"/>
      <c r="F89" s="1"/>
      <c r="G89" s="1"/>
      <c r="H89" s="1"/>
      <c r="I89" s="1"/>
      <c r="J89" s="1"/>
      <c r="K89" s="1"/>
      <c r="L89" s="1"/>
      <c r="M89" s="1" t="str">
        <f>IF(I89="","",I89*J89-K89+L89)</f>
        <v/>
      </c>
      <c r="N89" s="1" t="str">
        <f>IF(I89=0,"",M89/I89)</f>
        <v/>
      </c>
      <c r="O89" s="1"/>
      <c r="P89" s="4"/>
      <c r="Q89" s="1"/>
      <c r="R89" s="1"/>
    </row>
    <row r="90" spans="1:18" x14ac:dyDescent="0.15">
      <c r="A90" s="1"/>
      <c r="B90" s="4"/>
      <c r="C90" s="1"/>
      <c r="D90" s="1"/>
      <c r="E90" s="1"/>
      <c r="F90" s="1"/>
      <c r="G90" s="1"/>
      <c r="H90" s="1"/>
      <c r="I90" s="1"/>
      <c r="J90" s="1"/>
      <c r="K90" s="1"/>
      <c r="L90" s="1"/>
      <c r="M90" s="1" t="str">
        <f>IF(I90="","",I90*J90-K90+L90)</f>
        <v/>
      </c>
      <c r="N90" s="1" t="str">
        <f>IF(I90=0,"",M90/I90)</f>
        <v/>
      </c>
      <c r="O90" s="1"/>
      <c r="P90" s="4"/>
      <c r="Q90" s="1"/>
      <c r="R90" s="1"/>
    </row>
    <row r="91" spans="1:18" x14ac:dyDescent="0.15">
      <c r="A91" s="1"/>
      <c r="B91" s="4"/>
      <c r="C91" s="1"/>
      <c r="D91" s="1"/>
      <c r="E91" s="1"/>
      <c r="F91" s="1"/>
      <c r="G91" s="1"/>
      <c r="H91" s="1"/>
      <c r="I91" s="1"/>
      <c r="J91" s="1"/>
      <c r="K91" s="1"/>
      <c r="L91" s="1"/>
      <c r="M91" s="1" t="str">
        <f>IF(I91="","",I91*J91-K91+L91)</f>
        <v/>
      </c>
      <c r="N91" s="1" t="str">
        <f>IF(I91=0,"",M91/I91)</f>
        <v/>
      </c>
      <c r="O91" s="1"/>
      <c r="P91" s="4"/>
      <c r="Q91" s="1"/>
      <c r="R91" s="1"/>
    </row>
    <row r="92" spans="1:18" x14ac:dyDescent="0.15">
      <c r="A92" s="1"/>
      <c r="B92" s="4"/>
      <c r="C92" s="1"/>
      <c r="D92" s="1"/>
      <c r="E92" s="1"/>
      <c r="F92" s="1"/>
      <c r="G92" s="1"/>
      <c r="H92" s="1"/>
      <c r="I92" s="1"/>
      <c r="J92" s="1"/>
      <c r="K92" s="1"/>
      <c r="L92" s="1"/>
      <c r="M92" s="1" t="str">
        <f>IF(I92="","",I92*J92-K92+L92)</f>
        <v/>
      </c>
      <c r="N92" s="1" t="str">
        <f>IF(I92=0,"",M92/I92)</f>
        <v/>
      </c>
      <c r="O92" s="1"/>
      <c r="P92" s="4"/>
      <c r="Q92" s="1"/>
      <c r="R92" s="1"/>
    </row>
    <row r="93" spans="1:18" x14ac:dyDescent="0.15">
      <c r="A93" s="1"/>
      <c r="B93" s="4"/>
      <c r="C93" s="1"/>
      <c r="D93" s="1"/>
      <c r="E93" s="1"/>
      <c r="F93" s="1"/>
      <c r="G93" s="1"/>
      <c r="H93" s="1"/>
      <c r="I93" s="1"/>
      <c r="J93" s="1"/>
      <c r="K93" s="1"/>
      <c r="L93" s="1"/>
      <c r="M93" s="1" t="str">
        <f>IF(I93="","",I93*J93-K93+L93)</f>
        <v/>
      </c>
      <c r="N93" s="1" t="str">
        <f>IF(I93=0,"",M93/I93)</f>
        <v/>
      </c>
      <c r="O93" s="1"/>
      <c r="P93" s="4"/>
      <c r="Q93" s="1"/>
      <c r="R93" s="1"/>
    </row>
    <row r="94" spans="1:18" x14ac:dyDescent="0.15">
      <c r="A94" s="1"/>
      <c r="B94" s="4"/>
      <c r="C94" s="1"/>
      <c r="D94" s="1"/>
      <c r="E94" s="1"/>
      <c r="F94" s="1"/>
      <c r="G94" s="1"/>
      <c r="H94" s="1"/>
      <c r="I94" s="1"/>
      <c r="J94" s="1"/>
      <c r="K94" s="1"/>
      <c r="L94" s="1"/>
      <c r="M94" s="1" t="str">
        <f>IF(I94="","",I94*J94-K94+L94)</f>
        <v/>
      </c>
      <c r="N94" s="1" t="str">
        <f>IF(I94=0,"",M94/I94)</f>
        <v/>
      </c>
      <c r="O94" s="1"/>
      <c r="P94" s="4"/>
      <c r="Q94" s="1"/>
      <c r="R94" s="1"/>
    </row>
    <row r="95" spans="1:18" x14ac:dyDescent="0.15">
      <c r="A95" s="1"/>
      <c r="B95" s="4"/>
      <c r="C95" s="1"/>
      <c r="D95" s="1"/>
      <c r="E95" s="1"/>
      <c r="F95" s="1"/>
      <c r="G95" s="1"/>
      <c r="H95" s="1"/>
      <c r="I95" s="1"/>
      <c r="J95" s="1"/>
      <c r="K95" s="1"/>
      <c r="L95" s="1"/>
      <c r="M95" s="1" t="str">
        <f>IF(I95="","",I95*J95-K95+L95)</f>
        <v/>
      </c>
      <c r="N95" s="1" t="str">
        <f>IF(I95=0,"",M95/I95)</f>
        <v/>
      </c>
      <c r="O95" s="1"/>
      <c r="P95" s="4"/>
      <c r="Q95" s="1"/>
      <c r="R95" s="1"/>
    </row>
    <row r="96" spans="1:18" x14ac:dyDescent="0.15">
      <c r="A96" s="1"/>
      <c r="B96" s="4"/>
      <c r="C96" s="1"/>
      <c r="D96" s="1"/>
      <c r="E96" s="1"/>
      <c r="F96" s="1"/>
      <c r="G96" s="1"/>
      <c r="H96" s="1"/>
      <c r="I96" s="1"/>
      <c r="J96" s="1"/>
      <c r="K96" s="1"/>
      <c r="L96" s="1"/>
      <c r="M96" s="1" t="str">
        <f>IF(I96="","",I96*J96-K96+L96)</f>
        <v/>
      </c>
      <c r="N96" s="1" t="str">
        <f>IF(I96=0,"",M96/I96)</f>
        <v/>
      </c>
      <c r="O96" s="1"/>
      <c r="P96" s="4"/>
      <c r="Q96" s="1"/>
      <c r="R96" s="1"/>
    </row>
    <row r="97" spans="1:18" x14ac:dyDescent="0.15">
      <c r="A97" s="1"/>
      <c r="B97" s="4"/>
      <c r="C97" s="1"/>
      <c r="D97" s="1"/>
      <c r="E97" s="1"/>
      <c r="F97" s="1"/>
      <c r="G97" s="1"/>
      <c r="H97" s="1"/>
      <c r="I97" s="1"/>
      <c r="J97" s="1"/>
      <c r="K97" s="1"/>
      <c r="L97" s="1"/>
      <c r="M97" s="1" t="str">
        <f>IF(I97="","",I97*J97-K97+L97)</f>
        <v/>
      </c>
      <c r="N97" s="1" t="str">
        <f>IF(I97=0,"",M97/I97)</f>
        <v/>
      </c>
      <c r="O97" s="1"/>
      <c r="P97" s="4"/>
      <c r="Q97" s="1"/>
      <c r="R97" s="1"/>
    </row>
    <row r="98" spans="1:18" x14ac:dyDescent="0.15">
      <c r="A98" s="1"/>
      <c r="B98" s="4"/>
      <c r="C98" s="1"/>
      <c r="D98" s="1"/>
      <c r="E98" s="1"/>
      <c r="F98" s="1"/>
      <c r="G98" s="1"/>
      <c r="H98" s="1"/>
      <c r="I98" s="1"/>
      <c r="J98" s="1"/>
      <c r="K98" s="1"/>
      <c r="L98" s="1"/>
      <c r="M98" s="1" t="str">
        <f>IF(I98="","",I98*J98-K98+L98)</f>
        <v/>
      </c>
      <c r="N98" s="1" t="str">
        <f>IF(I98=0,"",M98/I98)</f>
        <v/>
      </c>
      <c r="O98" s="1"/>
      <c r="P98" s="4"/>
      <c r="Q98" s="1"/>
      <c r="R98" s="1"/>
    </row>
    <row r="99" spans="1:18" x14ac:dyDescent="0.15">
      <c r="A99" s="1"/>
      <c r="B99" s="4"/>
      <c r="C99" s="1"/>
      <c r="D99" s="1"/>
      <c r="E99" s="1"/>
      <c r="F99" s="1"/>
      <c r="G99" s="1"/>
      <c r="H99" s="1"/>
      <c r="I99" s="1"/>
      <c r="J99" s="1"/>
      <c r="K99" s="1"/>
      <c r="L99" s="1"/>
      <c r="M99" s="1" t="str">
        <f>IF(I99="","",I99*J99-K99+L99)</f>
        <v/>
      </c>
      <c r="N99" s="1" t="str">
        <f>IF(I99=0,"",M99/I99)</f>
        <v/>
      </c>
      <c r="O99" s="1"/>
      <c r="P99" s="4"/>
      <c r="Q99" s="1"/>
      <c r="R99" s="1"/>
    </row>
    <row r="100" spans="1:18" x14ac:dyDescent="0.15">
      <c r="A100" s="1"/>
      <c r="B100" s="4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 t="str">
        <f>IF(I100="","",I100*J100-K100+L100)</f>
        <v/>
      </c>
      <c r="N100" s="1" t="str">
        <f>IF(I100=0,"",M100/I100)</f>
        <v/>
      </c>
      <c r="O100" s="1"/>
      <c r="P100" s="4"/>
      <c r="Q100" s="1"/>
      <c r="R100" s="1"/>
    </row>
    <row r="101" spans="1:18" x14ac:dyDescent="0.15">
      <c r="A101" s="1"/>
      <c r="B101" s="4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 t="str">
        <f>IF(I101="","",I101*J101-K101+L101)</f>
        <v/>
      </c>
      <c r="N101" s="1" t="str">
        <f>IF(I101=0,"",M101/I101)</f>
        <v/>
      </c>
      <c r="O101" s="1"/>
      <c r="P101" s="4"/>
      <c r="Q101" s="1"/>
      <c r="R101" s="1"/>
    </row>
    <row r="102" spans="1:18" x14ac:dyDescent="0.15">
      <c r="A102" s="1"/>
      <c r="B102" s="4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 t="str">
        <f>IF(I102="","",I102*J102-K102+L102)</f>
        <v/>
      </c>
      <c r="N102" s="1" t="str">
        <f>IF(I102=0,"",M102/I102)</f>
        <v/>
      </c>
      <c r="O102" s="1"/>
      <c r="P102" s="4"/>
      <c r="Q102" s="1"/>
      <c r="R102" s="1"/>
    </row>
    <row r="103" spans="1:18" x14ac:dyDescent="0.15">
      <c r="A103" s="1"/>
      <c r="B103" s="4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 t="str">
        <f>IF(I103="","",I103*J103-K103+L103)</f>
        <v/>
      </c>
      <c r="N103" s="1" t="str">
        <f>IF(I103=0,"",M103/I103)</f>
        <v/>
      </c>
      <c r="O103" s="1"/>
      <c r="P103" s="4"/>
      <c r="Q103" s="1"/>
      <c r="R103" s="1"/>
    </row>
    <row r="104" spans="1:18" x14ac:dyDescent="0.15">
      <c r="A104" s="1"/>
      <c r="B104" s="4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 t="str">
        <f>IF(I104="","",I104*J104-K104+L104)</f>
        <v/>
      </c>
      <c r="N104" s="1" t="str">
        <f>IF(I104=0,"",M104/I104)</f>
        <v/>
      </c>
      <c r="O104" s="1"/>
      <c r="P104" s="4"/>
      <c r="Q104" s="1"/>
      <c r="R104" s="1"/>
    </row>
    <row r="105" spans="1:18" x14ac:dyDescent="0.15">
      <c r="A105" s="1"/>
      <c r="B105" s="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 t="str">
        <f>IF(I105="","",I105*J105-K105+L105)</f>
        <v/>
      </c>
      <c r="N105" s="1" t="str">
        <f>IF(I105=0,"",M105/I105)</f>
        <v/>
      </c>
      <c r="O105" s="1"/>
      <c r="P105" s="4"/>
      <c r="Q105" s="1"/>
      <c r="R105" s="1"/>
    </row>
    <row r="106" spans="1:18" x14ac:dyDescent="0.15">
      <c r="A106" s="1"/>
      <c r="B106" s="4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 t="str">
        <f>IF(I106="","",I106*J106-K106+L106)</f>
        <v/>
      </c>
      <c r="N106" s="1" t="str">
        <f>IF(I106=0,"",M106/I106)</f>
        <v/>
      </c>
      <c r="O106" s="1"/>
      <c r="P106" s="4"/>
      <c r="Q106" s="1"/>
      <c r="R106" s="1"/>
    </row>
    <row r="107" spans="1:18" x14ac:dyDescent="0.15">
      <c r="A107" s="1"/>
      <c r="B107" s="4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 t="str">
        <f>IF(I107="","",I107*J107-K107+L107)</f>
        <v/>
      </c>
      <c r="N107" s="1" t="str">
        <f>IF(I107=0,"",M107/I107)</f>
        <v/>
      </c>
      <c r="O107" s="1"/>
      <c r="P107" s="4"/>
      <c r="Q107" s="1"/>
      <c r="R107" s="1"/>
    </row>
    <row r="108" spans="1:18" x14ac:dyDescent="0.15">
      <c r="A108" s="1"/>
      <c r="B108" s="4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 t="str">
        <f>IF(I108="","",I108*J108-K108+L108)</f>
        <v/>
      </c>
      <c r="N108" s="1" t="str">
        <f>IF(I108=0,"",M108/I108)</f>
        <v/>
      </c>
      <c r="O108" s="1"/>
      <c r="P108" s="4"/>
      <c r="Q108" s="1"/>
      <c r="R108" s="1"/>
    </row>
    <row r="109" spans="1:18" x14ac:dyDescent="0.15">
      <c r="A109" s="1"/>
      <c r="B109" s="4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 t="str">
        <f>IF(I109="","",I109*J109-K109+L109)</f>
        <v/>
      </c>
      <c r="N109" s="1" t="str">
        <f>IF(I109=0,"",M109/I109)</f>
        <v/>
      </c>
      <c r="O109" s="1"/>
      <c r="P109" s="4"/>
      <c r="Q109" s="1"/>
      <c r="R109" s="1"/>
    </row>
    <row r="110" spans="1:18" x14ac:dyDescent="0.15">
      <c r="A110" s="1"/>
      <c r="B110" s="4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 t="str">
        <f>IF(I110="","",I110*J110-K110+L110)</f>
        <v/>
      </c>
      <c r="N110" s="1" t="str">
        <f>IF(I110=0,"",M110/I110)</f>
        <v/>
      </c>
      <c r="O110" s="1"/>
      <c r="P110" s="4"/>
      <c r="Q110" s="1"/>
      <c r="R110" s="1"/>
    </row>
    <row r="111" spans="1:18" x14ac:dyDescent="0.15">
      <c r="A111" s="1"/>
      <c r="B111" s="4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 t="str">
        <f>IF(I111="","",I111*J111-K111+L111)</f>
        <v/>
      </c>
      <c r="N111" s="1" t="str">
        <f>IF(I111=0,"",M111/I111)</f>
        <v/>
      </c>
      <c r="O111" s="1"/>
      <c r="P111" s="4"/>
      <c r="Q111" s="1"/>
      <c r="R111" s="1"/>
    </row>
    <row r="112" spans="1:18" x14ac:dyDescent="0.15">
      <c r="A112" s="1"/>
      <c r="B112" s="4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 t="str">
        <f>IF(I112="","",I112*J112-K112+L112)</f>
        <v/>
      </c>
      <c r="N112" s="1" t="str">
        <f>IF(I112=0,"",M112/I112)</f>
        <v/>
      </c>
      <c r="O112" s="1"/>
      <c r="P112" s="4"/>
      <c r="Q112" s="1"/>
      <c r="R112" s="1"/>
    </row>
    <row r="113" spans="1:18" x14ac:dyDescent="0.15">
      <c r="A113" s="1"/>
      <c r="B113" s="4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 t="str">
        <f>IF(I113="","",I113*J113-K113+L113)</f>
        <v/>
      </c>
      <c r="N113" s="1" t="str">
        <f>IF(I113=0,"",M113/I113)</f>
        <v/>
      </c>
      <c r="O113" s="1"/>
      <c r="P113" s="4"/>
      <c r="Q113" s="1"/>
      <c r="R113" s="1"/>
    </row>
    <row r="114" spans="1:18" x14ac:dyDescent="0.15">
      <c r="A114" s="1"/>
      <c r="B114" s="4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 t="str">
        <f>IF(I114="","",I114*J114-K114+L114)</f>
        <v/>
      </c>
      <c r="N114" s="1" t="str">
        <f>IF(I114=0,"",M114/I114)</f>
        <v/>
      </c>
      <c r="O114" s="1"/>
      <c r="P114" s="4"/>
      <c r="Q114" s="1"/>
      <c r="R114" s="1"/>
    </row>
    <row r="115" spans="1:18" x14ac:dyDescent="0.15">
      <c r="A115" s="1"/>
      <c r="B115" s="4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 t="str">
        <f>IF(I115="","",I115*J115-K115+L115)</f>
        <v/>
      </c>
      <c r="N115" s="1" t="str">
        <f>IF(I115=0,"",M115/I115)</f>
        <v/>
      </c>
      <c r="O115" s="1"/>
      <c r="P115" s="4"/>
      <c r="Q115" s="1"/>
      <c r="R115" s="1"/>
    </row>
    <row r="116" spans="1:18" x14ac:dyDescent="0.15">
      <c r="A116" s="1"/>
      <c r="B116" s="4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 t="str">
        <f>IF(I116="","",I116*J116-K116+L116)</f>
        <v/>
      </c>
      <c r="N116" s="1" t="str">
        <f>IF(I116=0,"",M116/I116)</f>
        <v/>
      </c>
      <c r="O116" s="1"/>
      <c r="P116" s="4"/>
      <c r="Q116" s="1"/>
      <c r="R116" s="1"/>
    </row>
    <row r="117" spans="1:18" x14ac:dyDescent="0.15">
      <c r="A117" s="1"/>
      <c r="B117" s="4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 t="str">
        <f>IF(I117="","",I117*J117-K117+L117)</f>
        <v/>
      </c>
      <c r="N117" s="1" t="str">
        <f>IF(I117=0,"",M117/I117)</f>
        <v/>
      </c>
      <c r="O117" s="1"/>
      <c r="P117" s="4"/>
      <c r="Q117" s="1"/>
      <c r="R117" s="1"/>
    </row>
    <row r="118" spans="1:18" x14ac:dyDescent="0.15">
      <c r="A118" s="1"/>
      <c r="B118" s="4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 t="str">
        <f>IF(I118="","",I118*J118-K118+L118)</f>
        <v/>
      </c>
      <c r="N118" s="1" t="str">
        <f>IF(I118=0,"",M118/I118)</f>
        <v/>
      </c>
      <c r="O118" s="1"/>
      <c r="P118" s="4"/>
      <c r="Q118" s="1"/>
      <c r="R118" s="1"/>
    </row>
    <row r="119" spans="1:18" x14ac:dyDescent="0.15">
      <c r="A119" s="1"/>
      <c r="B119" s="4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 t="str">
        <f>IF(I119="","",I119*J119-K119+L119)</f>
        <v/>
      </c>
      <c r="N119" s="1" t="str">
        <f>IF(I119=0,"",M119/I119)</f>
        <v/>
      </c>
      <c r="O119" s="1"/>
      <c r="P119" s="4"/>
      <c r="Q119" s="1"/>
      <c r="R119" s="1"/>
    </row>
    <row r="120" spans="1:18" x14ac:dyDescent="0.15">
      <c r="A120" s="1"/>
      <c r="B120" s="4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 t="str">
        <f>IF(I120="","",I120*J120-K120+L120)</f>
        <v/>
      </c>
      <c r="N120" s="1" t="str">
        <f>IF(I120=0,"",M120/I120)</f>
        <v/>
      </c>
      <c r="O120" s="1"/>
      <c r="P120" s="4"/>
      <c r="Q120" s="1"/>
      <c r="R120" s="1"/>
    </row>
    <row r="121" spans="1:18" x14ac:dyDescent="0.15">
      <c r="A121" s="1"/>
      <c r="B121" s="4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 t="str">
        <f>IF(I121="","",I121*J121-K121+L121)</f>
        <v/>
      </c>
      <c r="N121" s="1" t="str">
        <f>IF(I121=0,"",M121/I121)</f>
        <v/>
      </c>
      <c r="O121" s="1"/>
      <c r="P121" s="4"/>
      <c r="Q121" s="1"/>
      <c r="R121" s="1"/>
    </row>
    <row r="122" spans="1:18" x14ac:dyDescent="0.15">
      <c r="A122" s="1"/>
      <c r="B122" s="4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 t="str">
        <f>IF(I122="","",I122*J122-K122+L122)</f>
        <v/>
      </c>
      <c r="N122" s="1" t="str">
        <f>IF(I122=0,"",M122/I122)</f>
        <v/>
      </c>
      <c r="O122" s="1"/>
      <c r="P122" s="4"/>
      <c r="Q122" s="1"/>
      <c r="R122" s="1"/>
    </row>
    <row r="123" spans="1:18" x14ac:dyDescent="0.15">
      <c r="A123" s="1"/>
      <c r="B123" s="4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 t="str">
        <f>IF(I123="","",I123*J123-K123+L123)</f>
        <v/>
      </c>
      <c r="N123" s="1" t="str">
        <f>IF(I123=0,"",M123/I123)</f>
        <v/>
      </c>
      <c r="O123" s="1"/>
      <c r="P123" s="4"/>
      <c r="Q123" s="1"/>
      <c r="R123" s="1"/>
    </row>
    <row r="124" spans="1:18" x14ac:dyDescent="0.15">
      <c r="A124" s="1"/>
      <c r="B124" s="4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 t="str">
        <f>IF(I124="","",I124*J124-K124+L124)</f>
        <v/>
      </c>
      <c r="N124" s="1" t="str">
        <f>IF(I124=0,"",M124/I124)</f>
        <v/>
      </c>
      <c r="O124" s="1"/>
      <c r="P124" s="4"/>
      <c r="Q124" s="1"/>
      <c r="R124" s="1"/>
    </row>
    <row r="125" spans="1:18" x14ac:dyDescent="0.15">
      <c r="A125" s="1"/>
      <c r="B125" s="4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 t="str">
        <f>IF(I125="","",I125*J125-K125+L125)</f>
        <v/>
      </c>
      <c r="N125" s="1" t="str">
        <f>IF(I125=0,"",M125/I125)</f>
        <v/>
      </c>
      <c r="O125" s="1"/>
      <c r="P125" s="4"/>
      <c r="Q125" s="1"/>
      <c r="R125" s="1"/>
    </row>
    <row r="126" spans="1:18" x14ac:dyDescent="0.15">
      <c r="A126" s="1"/>
      <c r="B126" s="4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 t="str">
        <f>IF(I126="","",I126*J126-K126+L126)</f>
        <v/>
      </c>
      <c r="N126" s="1" t="str">
        <f>IF(I126=0,"",M126/I126)</f>
        <v/>
      </c>
      <c r="O126" s="1"/>
      <c r="P126" s="4"/>
      <c r="Q126" s="1"/>
      <c r="R126" s="1"/>
    </row>
    <row r="127" spans="1:18" x14ac:dyDescent="0.15">
      <c r="A127" s="1"/>
      <c r="B127" s="4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 t="str">
        <f>IF(I127="","",I127*J127-K127+L127)</f>
        <v/>
      </c>
      <c r="N127" s="1" t="str">
        <f>IF(I127=0,"",M127/I127)</f>
        <v/>
      </c>
      <c r="O127" s="1"/>
      <c r="P127" s="4"/>
      <c r="Q127" s="1"/>
      <c r="R127" s="1"/>
    </row>
    <row r="128" spans="1:18" x14ac:dyDescent="0.15">
      <c r="A128" s="1"/>
      <c r="B128" s="4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 t="str">
        <f>IF(I128="","",I128*J128-K128+L128)</f>
        <v/>
      </c>
      <c r="N128" s="1" t="str">
        <f>IF(I128=0,"",M128/I128)</f>
        <v/>
      </c>
      <c r="O128" s="1"/>
      <c r="P128" s="4"/>
      <c r="Q128" s="1"/>
      <c r="R128" s="1"/>
    </row>
    <row r="129" spans="1:18" x14ac:dyDescent="0.15">
      <c r="A129" s="1"/>
      <c r="B129" s="4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 t="str">
        <f>IF(I129="","",I129*J129-K129+L129)</f>
        <v/>
      </c>
      <c r="N129" s="1" t="str">
        <f>IF(I129=0,"",M129/I129)</f>
        <v/>
      </c>
      <c r="O129" s="1"/>
      <c r="P129" s="4"/>
      <c r="Q129" s="1"/>
      <c r="R129" s="1"/>
    </row>
    <row r="130" spans="1:18" x14ac:dyDescent="0.15">
      <c r="A130" s="1"/>
      <c r="B130" s="4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 t="str">
        <f>IF(I130="","",I130*J130-K130+L130)</f>
        <v/>
      </c>
      <c r="N130" s="1" t="str">
        <f>IF(I130=0,"",M130/I130)</f>
        <v/>
      </c>
      <c r="O130" s="1"/>
      <c r="P130" s="4"/>
      <c r="Q130" s="1"/>
      <c r="R130" s="1"/>
    </row>
    <row r="131" spans="1:18" x14ac:dyDescent="0.15">
      <c r="A131" s="1"/>
      <c r="B131" s="4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 t="str">
        <f>IF(I131="","",I131*J131-K131+L131)</f>
        <v/>
      </c>
      <c r="N131" s="1" t="str">
        <f>IF(I131=0,"",M131/I131)</f>
        <v/>
      </c>
      <c r="O131" s="1"/>
      <c r="P131" s="4"/>
      <c r="Q131" s="1"/>
      <c r="R131" s="1"/>
    </row>
    <row r="132" spans="1:18" x14ac:dyDescent="0.15">
      <c r="A132" s="1"/>
      <c r="B132" s="4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 t="str">
        <f>IF(I132="","",I132*J132-K132+L132)</f>
        <v/>
      </c>
      <c r="N132" s="1" t="str">
        <f>IF(I132=0,"",M132/I132)</f>
        <v/>
      </c>
      <c r="O132" s="1"/>
      <c r="P132" s="4"/>
      <c r="Q132" s="1"/>
      <c r="R132" s="1"/>
    </row>
    <row r="133" spans="1:18" x14ac:dyDescent="0.15">
      <c r="A133" s="1"/>
      <c r="B133" s="4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 t="str">
        <f>IF(I133="","",I133*J133-K133+L133)</f>
        <v/>
      </c>
      <c r="N133" s="1" t="str">
        <f>IF(I133=0,"",M133/I133)</f>
        <v/>
      </c>
      <c r="O133" s="1"/>
      <c r="P133" s="4"/>
      <c r="Q133" s="1"/>
      <c r="R133" s="1"/>
    </row>
    <row r="134" spans="1:18" x14ac:dyDescent="0.15">
      <c r="A134" s="1"/>
      <c r="B134" s="4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 t="str">
        <f>IF(I134="","",I134*J134-K134+L134)</f>
        <v/>
      </c>
      <c r="N134" s="1" t="str">
        <f>IF(I134=0,"",M134/I134)</f>
        <v/>
      </c>
      <c r="O134" s="1"/>
      <c r="P134" s="4"/>
      <c r="Q134" s="1"/>
      <c r="R134" s="1"/>
    </row>
    <row r="135" spans="1:18" x14ac:dyDescent="0.15">
      <c r="A135" s="1"/>
      <c r="B135" s="4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 t="str">
        <f>IF(I135="","",I135*J135-K135+L135)</f>
        <v/>
      </c>
      <c r="N135" s="1" t="str">
        <f>IF(I135=0,"",M135/I135)</f>
        <v/>
      </c>
      <c r="O135" s="1"/>
      <c r="P135" s="4"/>
      <c r="Q135" s="1"/>
      <c r="R135" s="1"/>
    </row>
    <row r="136" spans="1:18" x14ac:dyDescent="0.15">
      <c r="A136" s="1"/>
      <c r="B136" s="4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 t="str">
        <f>IF(I136="","",I136*J136-K136+L136)</f>
        <v/>
      </c>
      <c r="N136" s="1" t="str">
        <f>IF(I136=0,"",M136/I136)</f>
        <v/>
      </c>
      <c r="O136" s="1"/>
      <c r="P136" s="4"/>
      <c r="Q136" s="1"/>
      <c r="R136" s="1"/>
    </row>
    <row r="137" spans="1:18" x14ac:dyDescent="0.15">
      <c r="A137" s="1"/>
      <c r="B137" s="4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 t="str">
        <f>IF(I137="","",I137*J137-K137+L137)</f>
        <v/>
      </c>
      <c r="N137" s="1" t="str">
        <f>IF(I137=0,"",M137/I137)</f>
        <v/>
      </c>
      <c r="O137" s="1"/>
      <c r="P137" s="4"/>
      <c r="Q137" s="1"/>
      <c r="R137" s="1"/>
    </row>
    <row r="138" spans="1:18" x14ac:dyDescent="0.15">
      <c r="A138" s="1"/>
      <c r="B138" s="4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 t="str">
        <f>IF(I138="","",I138*J138-K138+L138)</f>
        <v/>
      </c>
      <c r="N138" s="1" t="str">
        <f>IF(I138=0,"",M138/I138)</f>
        <v/>
      </c>
      <c r="O138" s="1"/>
      <c r="P138" s="4"/>
      <c r="Q138" s="1"/>
      <c r="R138" s="1"/>
    </row>
    <row r="139" spans="1:18" x14ac:dyDescent="0.15">
      <c r="A139" s="1"/>
      <c r="B139" s="4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 t="str">
        <f>IF(I139="","",I139*J139-K139+L139)</f>
        <v/>
      </c>
      <c r="N139" s="1" t="str">
        <f>IF(I139=0,"",M139/I139)</f>
        <v/>
      </c>
      <c r="O139" s="1"/>
      <c r="P139" s="4"/>
      <c r="Q139" s="1"/>
      <c r="R139" s="1"/>
    </row>
    <row r="140" spans="1:18" x14ac:dyDescent="0.15">
      <c r="A140" s="1"/>
      <c r="B140" s="4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 t="str">
        <f>IF(I140="","",I140*J140-K140+L140)</f>
        <v/>
      </c>
      <c r="N140" s="1" t="str">
        <f>IF(I140=0,"",M140/I140)</f>
        <v/>
      </c>
      <c r="O140" s="1"/>
      <c r="P140" s="4"/>
      <c r="Q140" s="1"/>
      <c r="R140" s="1"/>
    </row>
    <row r="141" spans="1:18" x14ac:dyDescent="0.15">
      <c r="A141" s="1"/>
      <c r="B141" s="4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 t="str">
        <f>IF(I141="","",I141*J141-K141+L141)</f>
        <v/>
      </c>
      <c r="N141" s="1" t="str">
        <f>IF(I141=0,"",M141/I141)</f>
        <v/>
      </c>
      <c r="O141" s="1"/>
      <c r="P141" s="4"/>
      <c r="Q141" s="1"/>
      <c r="R141" s="1"/>
    </row>
    <row r="142" spans="1:18" x14ac:dyDescent="0.15">
      <c r="A142" s="1"/>
      <c r="B142" s="4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 t="str">
        <f>IF(I142="","",I142*J142-K142+L142)</f>
        <v/>
      </c>
      <c r="N142" s="1" t="str">
        <f>IF(I142=0,"",M142/I142)</f>
        <v/>
      </c>
      <c r="O142" s="1"/>
      <c r="P142" s="4"/>
      <c r="Q142" s="1"/>
      <c r="R142" s="1"/>
    </row>
    <row r="143" spans="1:18" x14ac:dyDescent="0.15">
      <c r="A143" s="1"/>
      <c r="B143" s="4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 t="str">
        <f>IF(I143="","",I143*J143-K143+L143)</f>
        <v/>
      </c>
      <c r="N143" s="1" t="str">
        <f>IF(I143=0,"",M143/I143)</f>
        <v/>
      </c>
      <c r="O143" s="1"/>
      <c r="P143" s="4"/>
      <c r="Q143" s="1"/>
      <c r="R143" s="1"/>
    </row>
    <row r="144" spans="1:18" x14ac:dyDescent="0.15">
      <c r="A144" s="1"/>
      <c r="B144" s="4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 t="str">
        <f>IF(I144="","",I144*J144-K144+L144)</f>
        <v/>
      </c>
      <c r="N144" s="1" t="str">
        <f>IF(I144=0,"",M144/I144)</f>
        <v/>
      </c>
      <c r="O144" s="1"/>
      <c r="P144" s="4"/>
      <c r="Q144" s="1"/>
      <c r="R144" s="1"/>
    </row>
    <row r="145" spans="1:18" x14ac:dyDescent="0.15">
      <c r="A145" s="1"/>
      <c r="B145" s="4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 t="str">
        <f>IF(I145="","",I145*J145-K145+L145)</f>
        <v/>
      </c>
      <c r="N145" s="1" t="str">
        <f>IF(I145=0,"",M145/I145)</f>
        <v/>
      </c>
      <c r="O145" s="1"/>
      <c r="P145" s="4"/>
      <c r="Q145" s="1"/>
      <c r="R145" s="1"/>
    </row>
    <row r="146" spans="1:18" x14ac:dyDescent="0.15">
      <c r="A146" s="1"/>
      <c r="B146" s="4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 t="str">
        <f>IF(I146="","",I146*J146-K146+L146)</f>
        <v/>
      </c>
      <c r="N146" s="1" t="str">
        <f>IF(I146=0,"",M146/I146)</f>
        <v/>
      </c>
      <c r="O146" s="1"/>
      <c r="P146" s="4"/>
      <c r="Q146" s="1"/>
      <c r="R146" s="1"/>
    </row>
    <row r="147" spans="1:18" x14ac:dyDescent="0.15">
      <c r="A147" s="1"/>
      <c r="B147" s="4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 t="str">
        <f>IF(I147="","",I147*J147-K147+L147)</f>
        <v/>
      </c>
      <c r="N147" s="1" t="str">
        <f>IF(I147=0,"",M147/I147)</f>
        <v/>
      </c>
      <c r="O147" s="1"/>
      <c r="P147" s="4"/>
      <c r="Q147" s="1"/>
      <c r="R147" s="1"/>
    </row>
    <row r="148" spans="1:18" x14ac:dyDescent="0.15">
      <c r="A148" s="1"/>
      <c r="B148" s="4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 t="str">
        <f>IF(I148="","",I148*J148-K148+L148)</f>
        <v/>
      </c>
      <c r="N148" s="1" t="str">
        <f>IF(I148=0,"",M148/I148)</f>
        <v/>
      </c>
      <c r="O148" s="1"/>
      <c r="P148" s="4"/>
      <c r="Q148" s="1"/>
      <c r="R148" s="1"/>
    </row>
    <row r="149" spans="1:18" x14ac:dyDescent="0.15">
      <c r="A149" s="1"/>
      <c r="B149" s="4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 t="str">
        <f>IF(I149="","",I149*J149-K149+L149)</f>
        <v/>
      </c>
      <c r="N149" s="1" t="str">
        <f>IF(I149=0,"",M149/I149)</f>
        <v/>
      </c>
      <c r="O149" s="1"/>
      <c r="P149" s="4"/>
      <c r="Q149" s="1"/>
      <c r="R149" s="1"/>
    </row>
    <row r="150" spans="1:18" x14ac:dyDescent="0.15">
      <c r="A150" s="1"/>
      <c r="B150" s="4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 t="str">
        <f>IF(I150="","",I150*J150-K150+L150)</f>
        <v/>
      </c>
      <c r="N150" s="1" t="str">
        <f>IF(I150=0,"",M150/I150)</f>
        <v/>
      </c>
      <c r="O150" s="1"/>
      <c r="P150" s="4"/>
      <c r="Q150" s="1"/>
      <c r="R150" s="1"/>
    </row>
    <row r="151" spans="1:18" x14ac:dyDescent="0.15">
      <c r="A151" s="1"/>
      <c r="B151" s="4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 t="str">
        <f>IF(I151="","",I151*J151-K151+L151)</f>
        <v/>
      </c>
      <c r="N151" s="1" t="str">
        <f>IF(I151=0,"",M151/I151)</f>
        <v/>
      </c>
      <c r="O151" s="1"/>
      <c r="P151" s="4"/>
      <c r="Q151" s="1"/>
      <c r="R151" s="1"/>
    </row>
    <row r="152" spans="1:18" x14ac:dyDescent="0.15">
      <c r="A152" s="1"/>
      <c r="B152" s="4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 t="str">
        <f>IF(I152="","",I152*J152-K152+L152)</f>
        <v/>
      </c>
      <c r="N152" s="1" t="str">
        <f>IF(I152=0,"",M152/I152)</f>
        <v/>
      </c>
      <c r="O152" s="1"/>
      <c r="P152" s="4"/>
      <c r="Q152" s="1"/>
      <c r="R152" s="1"/>
    </row>
    <row r="153" spans="1:18" x14ac:dyDescent="0.15">
      <c r="A153" s="1"/>
      <c r="B153" s="4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 t="str">
        <f>IF(I153="","",I153*J153-K153+L153)</f>
        <v/>
      </c>
      <c r="N153" s="1" t="str">
        <f>IF(I153=0,"",M153/I153)</f>
        <v/>
      </c>
      <c r="O153" s="1"/>
      <c r="P153" s="4"/>
      <c r="Q153" s="1"/>
      <c r="R153" s="1"/>
    </row>
    <row r="154" spans="1:18" x14ac:dyDescent="0.15">
      <c r="A154" s="1"/>
      <c r="B154" s="4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 t="str">
        <f>IF(I154="","",I154*J154-K154+L154)</f>
        <v/>
      </c>
      <c r="N154" s="1" t="str">
        <f>IF(I154=0,"",M154/I154)</f>
        <v/>
      </c>
      <c r="O154" s="1"/>
      <c r="P154" s="4"/>
      <c r="Q154" s="1"/>
      <c r="R154" s="1"/>
    </row>
    <row r="155" spans="1:18" x14ac:dyDescent="0.15">
      <c r="A155" s="1"/>
      <c r="B155" s="4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 t="str">
        <f>IF(I155="","",I155*J155-K155+L155)</f>
        <v/>
      </c>
      <c r="N155" s="1" t="str">
        <f>IF(I155=0,"",M155/I155)</f>
        <v/>
      </c>
      <c r="O155" s="1"/>
      <c r="P155" s="4"/>
      <c r="Q155" s="1"/>
      <c r="R155" s="1"/>
    </row>
    <row r="156" spans="1:18" x14ac:dyDescent="0.15">
      <c r="A156" s="1"/>
      <c r="B156" s="4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 t="str">
        <f>IF(I156="","",I156*J156-K156+L156)</f>
        <v/>
      </c>
      <c r="N156" s="1" t="str">
        <f>IF(I156=0,"",M156/I156)</f>
        <v/>
      </c>
      <c r="O156" s="1"/>
      <c r="P156" s="4"/>
      <c r="Q156" s="1"/>
      <c r="R156" s="1"/>
    </row>
    <row r="157" spans="1:18" x14ac:dyDescent="0.15">
      <c r="A157" s="1"/>
      <c r="B157" s="4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 t="str">
        <f>IF(I157="","",I157*J157-K157+L157)</f>
        <v/>
      </c>
      <c r="N157" s="1" t="str">
        <f>IF(I157=0,"",M157/I157)</f>
        <v/>
      </c>
      <c r="O157" s="1"/>
      <c r="P157" s="4"/>
      <c r="Q157" s="1"/>
      <c r="R157" s="1"/>
    </row>
    <row r="158" spans="1:18" x14ac:dyDescent="0.15">
      <c r="A158" s="1"/>
      <c r="B158" s="4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 t="str">
        <f>IF(I158="","",I158*J158-K158+L158)</f>
        <v/>
      </c>
      <c r="N158" s="1" t="str">
        <f>IF(I158=0,"",M158/I158)</f>
        <v/>
      </c>
      <c r="O158" s="1"/>
      <c r="P158" s="4"/>
      <c r="Q158" s="1"/>
      <c r="R158" s="1"/>
    </row>
    <row r="159" spans="1:18" x14ac:dyDescent="0.15">
      <c r="A159" s="1"/>
      <c r="B159" s="4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 t="str">
        <f>IF(I159="","",I159*J159-K159+L159)</f>
        <v/>
      </c>
      <c r="N159" s="1" t="str">
        <f>IF(I159=0,"",M159/I159)</f>
        <v/>
      </c>
      <c r="O159" s="1"/>
      <c r="P159" s="4"/>
      <c r="Q159" s="1"/>
      <c r="R159" s="1"/>
    </row>
    <row r="160" spans="1:18" x14ac:dyDescent="0.15">
      <c r="A160" s="1"/>
      <c r="B160" s="4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 t="str">
        <f>IF(I160="","",I160*J160-K160+L160)</f>
        <v/>
      </c>
      <c r="N160" s="1" t="str">
        <f>IF(I160=0,"",M160/I160)</f>
        <v/>
      </c>
      <c r="O160" s="1"/>
      <c r="P160" s="4"/>
      <c r="Q160" s="1"/>
      <c r="R160" s="1"/>
    </row>
    <row r="161" spans="1:18" x14ac:dyDescent="0.15">
      <c r="A161" s="1"/>
      <c r="B161" s="4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 t="str">
        <f>IF(I161="","",I161*J161-K161+L161)</f>
        <v/>
      </c>
      <c r="N161" s="1" t="str">
        <f>IF(I161=0,"",M161/I161)</f>
        <v/>
      </c>
      <c r="O161" s="1"/>
      <c r="P161" s="4"/>
      <c r="Q161" s="1"/>
      <c r="R161" s="1"/>
    </row>
    <row r="162" spans="1:18" x14ac:dyDescent="0.15">
      <c r="A162" s="1"/>
      <c r="B162" s="4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 t="str">
        <f>IF(I162="","",I162*J162-K162+L162)</f>
        <v/>
      </c>
      <c r="N162" s="1" t="str">
        <f>IF(I162=0,"",M162/I162)</f>
        <v/>
      </c>
      <c r="O162" s="1"/>
      <c r="P162" s="4"/>
      <c r="Q162" s="1"/>
      <c r="R162" s="1"/>
    </row>
    <row r="163" spans="1:18" x14ac:dyDescent="0.15">
      <c r="A163" s="1"/>
      <c r="B163" s="4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 t="str">
        <f>IF(I163="","",I163*J163-K163+L163)</f>
        <v/>
      </c>
      <c r="N163" s="1" t="str">
        <f>IF(I163=0,"",M163/I163)</f>
        <v/>
      </c>
      <c r="O163" s="1"/>
      <c r="P163" s="4"/>
      <c r="Q163" s="1"/>
      <c r="R163" s="1"/>
    </row>
    <row r="164" spans="1:18" x14ac:dyDescent="0.15">
      <c r="A164" s="1"/>
      <c r="B164" s="4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 t="str">
        <f>IF(I164="","",I164*J164-K164+L164)</f>
        <v/>
      </c>
      <c r="N164" s="1" t="str">
        <f>IF(I164=0,"",M164/I164)</f>
        <v/>
      </c>
      <c r="O164" s="1"/>
      <c r="P164" s="4"/>
      <c r="Q164" s="1"/>
      <c r="R164" s="1"/>
    </row>
    <row r="165" spans="1:18" x14ac:dyDescent="0.15">
      <c r="A165" s="1"/>
      <c r="B165" s="4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 t="str">
        <f>IF(I165="","",I165*J165-K165+L165)</f>
        <v/>
      </c>
      <c r="N165" s="1" t="str">
        <f>IF(I165=0,"",M165/I165)</f>
        <v/>
      </c>
      <c r="O165" s="1"/>
      <c r="P165" s="4"/>
      <c r="Q165" s="1"/>
      <c r="R165" s="1"/>
    </row>
    <row r="166" spans="1:18" x14ac:dyDescent="0.15">
      <c r="A166" s="1"/>
      <c r="B166" s="4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 t="str">
        <f>IF(I166="","",I166*J166-K166+L166)</f>
        <v/>
      </c>
      <c r="N166" s="1" t="str">
        <f>IF(I166=0,"",M166/I166)</f>
        <v/>
      </c>
      <c r="O166" s="1"/>
      <c r="P166" s="4"/>
      <c r="Q166" s="1"/>
      <c r="R166" s="1"/>
    </row>
    <row r="167" spans="1:18" x14ac:dyDescent="0.15">
      <c r="A167" s="1"/>
      <c r="B167" s="4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 t="str">
        <f>IF(I167="","",I167*J167-K167+L167)</f>
        <v/>
      </c>
      <c r="N167" s="1" t="str">
        <f>IF(I167=0,"",M167/I167)</f>
        <v/>
      </c>
      <c r="O167" s="1"/>
      <c r="P167" s="4"/>
      <c r="Q167" s="1"/>
      <c r="R167" s="1"/>
    </row>
    <row r="168" spans="1:18" x14ac:dyDescent="0.15">
      <c r="A168" s="1"/>
      <c r="B168" s="4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 t="str">
        <f>IF(I168="","",I168*J168-K168+L168)</f>
        <v/>
      </c>
      <c r="N168" s="1" t="str">
        <f>IF(I168=0,"",M168/I168)</f>
        <v/>
      </c>
      <c r="O168" s="1"/>
      <c r="P168" s="4"/>
      <c r="Q168" s="1"/>
      <c r="R168" s="1"/>
    </row>
    <row r="169" spans="1:18" x14ac:dyDescent="0.15">
      <c r="A169" s="1"/>
      <c r="B169" s="4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 t="str">
        <f>IF(I169="","",I169*J169-K169+L169)</f>
        <v/>
      </c>
      <c r="N169" s="1" t="str">
        <f>IF(I169=0,"",M169/I169)</f>
        <v/>
      </c>
      <c r="O169" s="1"/>
      <c r="P169" s="4"/>
      <c r="Q169" s="1"/>
      <c r="R169" s="1"/>
    </row>
    <row r="170" spans="1:18" x14ac:dyDescent="0.15">
      <c r="A170" s="1"/>
      <c r="B170" s="4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 t="str">
        <f>IF(I170="","",I170*J170-K170+L170)</f>
        <v/>
      </c>
      <c r="N170" s="1" t="str">
        <f>IF(I170=0,"",M170/I170)</f>
        <v/>
      </c>
      <c r="O170" s="1"/>
      <c r="P170" s="4"/>
      <c r="Q170" s="1"/>
      <c r="R170" s="1"/>
    </row>
    <row r="171" spans="1:18" x14ac:dyDescent="0.15">
      <c r="A171" s="1"/>
      <c r="B171" s="4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 t="str">
        <f>IF(I171="","",I171*J171-K171+L171)</f>
        <v/>
      </c>
      <c r="N171" s="1" t="str">
        <f>IF(I171=0,"",M171/I171)</f>
        <v/>
      </c>
      <c r="O171" s="1"/>
      <c r="P171" s="4"/>
      <c r="Q171" s="1"/>
      <c r="R171" s="1"/>
    </row>
    <row r="172" spans="1:18" x14ac:dyDescent="0.15">
      <c r="A172" s="1"/>
      <c r="B172" s="4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 t="str">
        <f>IF(I172="","",I172*J172-K172+L172)</f>
        <v/>
      </c>
      <c r="N172" s="1" t="str">
        <f>IF(I172=0,"",M172/I172)</f>
        <v/>
      </c>
      <c r="O172" s="1"/>
      <c r="P172" s="4"/>
      <c r="Q172" s="1"/>
      <c r="R172" s="1"/>
    </row>
    <row r="173" spans="1:18" x14ac:dyDescent="0.15">
      <c r="A173" s="1"/>
      <c r="B173" s="4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 t="str">
        <f>IF(I173="","",I173*J173-K173+L173)</f>
        <v/>
      </c>
      <c r="N173" s="1" t="str">
        <f>IF(I173=0,"",M173/I173)</f>
        <v/>
      </c>
      <c r="O173" s="1"/>
      <c r="P173" s="4"/>
      <c r="Q173" s="1"/>
      <c r="R173" s="1"/>
    </row>
    <row r="174" spans="1:18" x14ac:dyDescent="0.15">
      <c r="A174" s="1"/>
      <c r="B174" s="4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 t="str">
        <f>IF(I174="","",I174*J174-K174+L174)</f>
        <v/>
      </c>
      <c r="N174" s="1" t="str">
        <f>IF(I174=0,"",M174/I174)</f>
        <v/>
      </c>
      <c r="O174" s="1"/>
      <c r="P174" s="4"/>
      <c r="Q174" s="1"/>
      <c r="R174" s="1"/>
    </row>
    <row r="175" spans="1:18" x14ac:dyDescent="0.15">
      <c r="A175" s="1"/>
      <c r="B175" s="4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 t="str">
        <f>IF(I175="","",I175*J175-K175+L175)</f>
        <v/>
      </c>
      <c r="N175" s="1" t="str">
        <f>IF(I175=0,"",M175/I175)</f>
        <v/>
      </c>
      <c r="O175" s="1"/>
      <c r="P175" s="4"/>
      <c r="Q175" s="1"/>
      <c r="R175" s="1"/>
    </row>
    <row r="176" spans="1:18" x14ac:dyDescent="0.15">
      <c r="A176" s="1"/>
      <c r="B176" s="4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 t="str">
        <f>IF(I176="","",I176*J176-K176+L176)</f>
        <v/>
      </c>
      <c r="N176" s="1" t="str">
        <f>IF(I176=0,"",M176/I176)</f>
        <v/>
      </c>
      <c r="O176" s="1"/>
      <c r="P176" s="4"/>
      <c r="Q176" s="1"/>
      <c r="R176" s="1"/>
    </row>
    <row r="177" spans="1:18" x14ac:dyDescent="0.15">
      <c r="A177" s="1"/>
      <c r="B177" s="4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 t="str">
        <f>IF(I177="","",I177*J177-K177+L177)</f>
        <v/>
      </c>
      <c r="N177" s="1" t="str">
        <f>IF(I177=0,"",M177/I177)</f>
        <v/>
      </c>
      <c r="O177" s="1"/>
      <c r="P177" s="4"/>
      <c r="Q177" s="1"/>
      <c r="R177" s="1"/>
    </row>
    <row r="178" spans="1:18" x14ac:dyDescent="0.15">
      <c r="A178" s="1"/>
      <c r="B178" s="4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 t="str">
        <f>IF(I178="","",I178*J178-K178+L178)</f>
        <v/>
      </c>
      <c r="N178" s="1" t="str">
        <f>IF(I178=0,"",M178/I178)</f>
        <v/>
      </c>
      <c r="O178" s="1"/>
      <c r="P178" s="4"/>
      <c r="Q178" s="1"/>
      <c r="R178" s="1"/>
    </row>
    <row r="179" spans="1:18" x14ac:dyDescent="0.15">
      <c r="A179" s="1"/>
      <c r="B179" s="4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 t="str">
        <f>IF(I179="","",I179*J179-K179+L179)</f>
        <v/>
      </c>
      <c r="N179" s="1" t="str">
        <f>IF(I179=0,"",M179/I179)</f>
        <v/>
      </c>
      <c r="O179" s="1"/>
      <c r="P179" s="4"/>
      <c r="Q179" s="1"/>
      <c r="R179" s="1"/>
    </row>
    <row r="180" spans="1:18" x14ac:dyDescent="0.15">
      <c r="A180" s="1"/>
      <c r="B180" s="4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 t="str">
        <f>IF(I180="","",I180*J180-K180+L180)</f>
        <v/>
      </c>
      <c r="N180" s="1" t="str">
        <f>IF(I180=0,"",M180/I180)</f>
        <v/>
      </c>
      <c r="O180" s="1"/>
      <c r="P180" s="4"/>
      <c r="Q180" s="1"/>
      <c r="R180" s="1"/>
    </row>
    <row r="181" spans="1:18" x14ac:dyDescent="0.15">
      <c r="A181" s="1"/>
      <c r="B181" s="4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 t="str">
        <f>IF(I181="","",I181*J181-K181+L181)</f>
        <v/>
      </c>
      <c r="N181" s="1" t="str">
        <f>IF(I181=0,"",M181/I181)</f>
        <v/>
      </c>
      <c r="O181" s="1"/>
      <c r="P181" s="4"/>
      <c r="Q181" s="1"/>
      <c r="R181" s="1"/>
    </row>
    <row r="182" spans="1:18" x14ac:dyDescent="0.15">
      <c r="A182" s="1"/>
      <c r="B182" s="4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 t="str">
        <f>IF(I182="","",I182*J182-K182+L182)</f>
        <v/>
      </c>
      <c r="N182" s="1" t="str">
        <f>IF(I182=0,"",M182/I182)</f>
        <v/>
      </c>
      <c r="O182" s="1"/>
      <c r="P182" s="4"/>
      <c r="Q182" s="1"/>
      <c r="R182" s="1"/>
    </row>
    <row r="183" spans="1:18" x14ac:dyDescent="0.15">
      <c r="A183" s="1"/>
      <c r="B183" s="4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 t="str">
        <f>IF(I183="","",I183*J183-K183+L183)</f>
        <v/>
      </c>
      <c r="N183" s="1" t="str">
        <f>IF(I183=0,"",M183/I183)</f>
        <v/>
      </c>
      <c r="O183" s="1"/>
      <c r="P183" s="4"/>
      <c r="Q183" s="1"/>
      <c r="R183" s="1"/>
    </row>
    <row r="184" spans="1:18" x14ac:dyDescent="0.15">
      <c r="A184" s="1"/>
      <c r="B184" s="4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 t="str">
        <f>IF(I184="","",I184*J184-K184+L184)</f>
        <v/>
      </c>
      <c r="N184" s="1" t="str">
        <f>IF(I184=0,"",M184/I184)</f>
        <v/>
      </c>
      <c r="O184" s="1"/>
      <c r="P184" s="4"/>
      <c r="Q184" s="1"/>
      <c r="R184" s="1"/>
    </row>
    <row r="185" spans="1:18" x14ac:dyDescent="0.15">
      <c r="A185" s="1"/>
      <c r="B185" s="4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 t="str">
        <f>IF(I185="","",I185*J185-K185+L185)</f>
        <v/>
      </c>
      <c r="N185" s="1" t="str">
        <f>IF(I185=0,"",M185/I185)</f>
        <v/>
      </c>
      <c r="O185" s="1"/>
      <c r="P185" s="4"/>
      <c r="Q185" s="1"/>
      <c r="R185" s="1"/>
    </row>
    <row r="186" spans="1:18" x14ac:dyDescent="0.15">
      <c r="A186" s="1"/>
      <c r="B186" s="4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 t="str">
        <f>IF(I186="","",I186*J186-K186+L186)</f>
        <v/>
      </c>
      <c r="N186" s="1" t="str">
        <f>IF(I186=0,"",M186/I186)</f>
        <v/>
      </c>
      <c r="O186" s="1"/>
      <c r="P186" s="4"/>
      <c r="Q186" s="1"/>
      <c r="R186" s="1"/>
    </row>
    <row r="187" spans="1:18" x14ac:dyDescent="0.15">
      <c r="A187" s="1"/>
      <c r="B187" s="4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 t="str">
        <f>IF(I187="","",I187*J187-K187+L187)</f>
        <v/>
      </c>
      <c r="N187" s="1" t="str">
        <f>IF(I187=0,"",M187/I187)</f>
        <v/>
      </c>
      <c r="O187" s="1"/>
      <c r="P187" s="4"/>
      <c r="Q187" s="1"/>
      <c r="R187" s="1"/>
    </row>
    <row r="188" spans="1:18" x14ac:dyDescent="0.15">
      <c r="A188" s="1"/>
      <c r="B188" s="4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 t="str">
        <f>IF(I188="","",I188*J188-K188+L188)</f>
        <v/>
      </c>
      <c r="N188" s="1" t="str">
        <f>IF(I188=0,"",M188/I188)</f>
        <v/>
      </c>
      <c r="O188" s="1"/>
      <c r="P188" s="4"/>
      <c r="Q188" s="1"/>
      <c r="R188" s="1"/>
    </row>
    <row r="189" spans="1:18" x14ac:dyDescent="0.15">
      <c r="A189" s="1"/>
      <c r="B189" s="4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 t="str">
        <f>IF(I189="","",I189*J189-K189+L189)</f>
        <v/>
      </c>
      <c r="N189" s="1" t="str">
        <f>IF(I189=0,"",M189/I189)</f>
        <v/>
      </c>
      <c r="O189" s="1"/>
      <c r="P189" s="4"/>
      <c r="Q189" s="1"/>
      <c r="R189" s="1"/>
    </row>
    <row r="190" spans="1:18" x14ac:dyDescent="0.15">
      <c r="A190" s="1"/>
      <c r="B190" s="4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 t="str">
        <f>IF(I190="","",I190*J190-K190+L190)</f>
        <v/>
      </c>
      <c r="N190" s="1" t="str">
        <f>IF(I190=0,"",M190/I190)</f>
        <v/>
      </c>
      <c r="O190" s="1"/>
      <c r="P190" s="4"/>
      <c r="Q190" s="1"/>
      <c r="R190" s="1"/>
    </row>
    <row r="191" spans="1:18" x14ac:dyDescent="0.15">
      <c r="A191" s="1"/>
      <c r="B191" s="4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 t="str">
        <f>IF(I191="","",I191*J191-K191+L191)</f>
        <v/>
      </c>
      <c r="N191" s="1" t="str">
        <f>IF(I191=0,"",M191/I191)</f>
        <v/>
      </c>
      <c r="O191" s="1"/>
      <c r="P191" s="4"/>
      <c r="Q191" s="1"/>
      <c r="R191" s="1"/>
    </row>
    <row r="192" spans="1:18" x14ac:dyDescent="0.15">
      <c r="A192" s="1"/>
      <c r="B192" s="4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 t="str">
        <f>IF(I192="","",I192*J192-K192+L192)</f>
        <v/>
      </c>
      <c r="N192" s="1" t="str">
        <f>IF(I192=0,"",M192/I192)</f>
        <v/>
      </c>
      <c r="O192" s="1"/>
      <c r="P192" s="4"/>
      <c r="Q192" s="1"/>
      <c r="R192" s="1"/>
    </row>
    <row r="193" spans="1:18" x14ac:dyDescent="0.15">
      <c r="A193" s="1"/>
      <c r="B193" s="4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 t="str">
        <f>IF(I193="","",I193*J193-K193+L193)</f>
        <v/>
      </c>
      <c r="N193" s="1" t="str">
        <f>IF(I193=0,"",M193/I193)</f>
        <v/>
      </c>
      <c r="O193" s="1"/>
      <c r="P193" s="4"/>
      <c r="Q193" s="1"/>
      <c r="R193" s="1"/>
    </row>
    <row r="194" spans="1:18" x14ac:dyDescent="0.15">
      <c r="A194" s="1"/>
      <c r="B194" s="4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 t="str">
        <f>IF(I194="","",I194*J194-K194+L194)</f>
        <v/>
      </c>
      <c r="N194" s="1" t="str">
        <f>IF(I194=0,"",M194/I194)</f>
        <v/>
      </c>
      <c r="O194" s="1"/>
      <c r="P194" s="4"/>
      <c r="Q194" s="1"/>
      <c r="R194" s="1"/>
    </row>
    <row r="195" spans="1:18" x14ac:dyDescent="0.15">
      <c r="A195" s="1"/>
      <c r="B195" s="4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 t="str">
        <f>IF(I195="","",I195*J195-K195+L195)</f>
        <v/>
      </c>
      <c r="N195" s="1" t="str">
        <f>IF(I195=0,"",M195/I195)</f>
        <v/>
      </c>
      <c r="O195" s="1"/>
      <c r="P195" s="4"/>
      <c r="Q195" s="1"/>
      <c r="R195" s="1"/>
    </row>
    <row r="196" spans="1:18" x14ac:dyDescent="0.15">
      <c r="A196" s="1"/>
      <c r="B196" s="4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 t="str">
        <f>IF(I196="","",I196*J196-K196+L196)</f>
        <v/>
      </c>
      <c r="N196" s="1" t="str">
        <f>IF(I196=0,"",M196/I196)</f>
        <v/>
      </c>
      <c r="O196" s="1"/>
      <c r="P196" s="4"/>
      <c r="Q196" s="1"/>
      <c r="R196" s="1"/>
    </row>
    <row r="197" spans="1:18" x14ac:dyDescent="0.15">
      <c r="A197" s="1"/>
      <c r="B197" s="4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 t="str">
        <f>IF(I197="","",I197*J197-K197+L197)</f>
        <v/>
      </c>
      <c r="N197" s="1" t="str">
        <f>IF(I197=0,"",M197/I197)</f>
        <v/>
      </c>
      <c r="O197" s="1"/>
      <c r="P197" s="4"/>
      <c r="Q197" s="1"/>
      <c r="R197" s="1"/>
    </row>
    <row r="198" spans="1:18" x14ac:dyDescent="0.15">
      <c r="A198" s="1"/>
      <c r="B198" s="4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 t="str">
        <f>IF(I198="","",I198*J198-K198+L198)</f>
        <v/>
      </c>
      <c r="N198" s="1" t="str">
        <f>IF(I198=0,"",M198/I198)</f>
        <v/>
      </c>
      <c r="O198" s="1"/>
      <c r="P198" s="4"/>
      <c r="Q198" s="1"/>
      <c r="R198" s="1"/>
    </row>
    <row r="199" spans="1:18" x14ac:dyDescent="0.15">
      <c r="A199" s="1"/>
      <c r="B199" s="4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 t="str">
        <f>IF(I199="","",I199*J199-K199+L199)</f>
        <v/>
      </c>
      <c r="N199" s="1" t="str">
        <f>IF(I199=0,"",M199/I199)</f>
        <v/>
      </c>
      <c r="O199" s="1"/>
      <c r="P199" s="4"/>
      <c r="Q199" s="1"/>
      <c r="R199" s="1"/>
    </row>
    <row r="200" spans="1:18" x14ac:dyDescent="0.15">
      <c r="A200" s="1"/>
      <c r="B200" s="4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 t="str">
        <f>IF(I200="","",I200*J200-K200+L200)</f>
        <v/>
      </c>
      <c r="N200" s="1" t="str">
        <f>IF(I200=0,"",M200/I200)</f>
        <v/>
      </c>
      <c r="O200" s="1"/>
      <c r="P200" s="4"/>
      <c r="Q200" s="1"/>
      <c r="R200" s="1"/>
    </row>
    <row r="201" spans="1:18" x14ac:dyDescent="0.15">
      <c r="A201" s="1"/>
      <c r="B201" s="4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 t="str">
        <f>IF(I201="","",I201*J201-K201+L201)</f>
        <v/>
      </c>
      <c r="N201" s="1" t="str">
        <f>IF(I201=0,"",M201/I201)</f>
        <v/>
      </c>
      <c r="O201" s="1"/>
      <c r="P201" s="4"/>
      <c r="Q201" s="1"/>
      <c r="R201" s="1"/>
    </row>
    <row r="202" spans="1:18" x14ac:dyDescent="0.15">
      <c r="A202" s="1"/>
      <c r="B202" s="4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 t="str">
        <f>IF(I202="","",I202*J202-K202+L202)</f>
        <v/>
      </c>
      <c r="N202" s="1" t="str">
        <f>IF(I202=0,"",M202/I202)</f>
        <v/>
      </c>
      <c r="O202" s="1"/>
      <c r="P202" s="4"/>
      <c r="Q202" s="1"/>
      <c r="R202" s="1"/>
    </row>
    <row r="203" spans="1:18" x14ac:dyDescent="0.15">
      <c r="A203" s="1"/>
      <c r="B203" s="4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 t="str">
        <f>IF(I203="","",I203*J203-K203+L203)</f>
        <v/>
      </c>
      <c r="N203" s="1" t="str">
        <f>IF(I203=0,"",M203/I203)</f>
        <v/>
      </c>
      <c r="O203" s="1"/>
      <c r="P203" s="4"/>
      <c r="Q203" s="1"/>
      <c r="R203" s="1"/>
    </row>
  </sheetData>
  <mergeCells count="1">
    <mergeCell ref="A1:R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03"/>
  <sheetViews>
    <sheetView showGridLines="0" workbookViewId="0">
      <pane ySplit="3" topLeftCell="A4" activePane="bottomLeft" state="frozen"/>
      <selection pane="bottomLeft"/>
    </sheetView>
  </sheetViews>
  <sheetFormatPr defaultRowHeight="13.5" x14ac:dyDescent="0.15"/>
  <cols>
    <col min="1" max="15" width="19" customWidth="1"/>
  </cols>
  <sheetData>
    <row r="1" spans="1:15" ht="22.5" x14ac:dyDescent="0.15">
      <c r="A1" s="14" t="s">
        <v>78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15">
      <c r="A3" s="2" t="s">
        <v>63</v>
      </c>
      <c r="B3" s="2" t="s">
        <v>64</v>
      </c>
      <c r="C3" s="2" t="s">
        <v>79</v>
      </c>
      <c r="D3" s="2" t="s">
        <v>21</v>
      </c>
      <c r="E3" s="2" t="s">
        <v>80</v>
      </c>
      <c r="F3" s="2" t="s">
        <v>45</v>
      </c>
      <c r="G3" s="2" t="s">
        <v>46</v>
      </c>
      <c r="H3" s="2" t="s">
        <v>68</v>
      </c>
      <c r="I3" s="2" t="s">
        <v>69</v>
      </c>
      <c r="J3" s="2" t="s">
        <v>81</v>
      </c>
      <c r="K3" s="2" t="s">
        <v>82</v>
      </c>
      <c r="L3" s="2" t="s">
        <v>75</v>
      </c>
      <c r="M3" s="2" t="s">
        <v>83</v>
      </c>
      <c r="N3" s="2" t="s">
        <v>84</v>
      </c>
      <c r="O3" s="2" t="s">
        <v>11</v>
      </c>
    </row>
    <row r="4" spans="1:15" x14ac:dyDescent="0.15">
      <c r="A4" s="1"/>
      <c r="B4" s="4"/>
      <c r="C4" s="1"/>
      <c r="D4" s="1"/>
      <c r="E4" s="1"/>
      <c r="F4" s="1"/>
      <c r="G4" s="1"/>
      <c r="H4" s="1"/>
      <c r="I4" s="1"/>
      <c r="J4" s="1"/>
      <c r="K4" s="1" t="str">
        <f>IF(I4="","",I4*J4)</f>
        <v/>
      </c>
      <c r="L4" s="1"/>
      <c r="M4" s="1"/>
      <c r="N4" s="1"/>
      <c r="O4" s="1"/>
    </row>
    <row r="5" spans="1:15" x14ac:dyDescent="0.15">
      <c r="A5" s="1"/>
      <c r="B5" s="4"/>
      <c r="C5" s="1"/>
      <c r="D5" s="1"/>
      <c r="E5" s="1"/>
      <c r="F5" s="1"/>
      <c r="G5" s="1"/>
      <c r="H5" s="1"/>
      <c r="I5" s="1"/>
      <c r="J5" s="1"/>
      <c r="K5" s="1" t="str">
        <f>IF(I5="","",I5*J5)</f>
        <v/>
      </c>
      <c r="L5" s="1"/>
      <c r="M5" s="1"/>
      <c r="N5" s="1"/>
      <c r="O5" s="1"/>
    </row>
    <row r="6" spans="1:15" x14ac:dyDescent="0.15">
      <c r="A6" s="1"/>
      <c r="B6" s="4"/>
      <c r="C6" s="1"/>
      <c r="D6" s="1"/>
      <c r="E6" s="1"/>
      <c r="F6" s="1"/>
      <c r="G6" s="1"/>
      <c r="H6" s="1"/>
      <c r="I6" s="1"/>
      <c r="J6" s="1"/>
      <c r="K6" s="1" t="str">
        <f>IF(I6="","",I6*J6)</f>
        <v/>
      </c>
      <c r="L6" s="1"/>
      <c r="M6" s="1"/>
      <c r="N6" s="1"/>
      <c r="O6" s="1"/>
    </row>
    <row r="7" spans="1:15" x14ac:dyDescent="0.15">
      <c r="A7" s="1"/>
      <c r="B7" s="4"/>
      <c r="C7" s="1"/>
      <c r="D7" s="1"/>
      <c r="E7" s="1"/>
      <c r="F7" s="1"/>
      <c r="G7" s="1"/>
      <c r="H7" s="1"/>
      <c r="I7" s="1"/>
      <c r="J7" s="1"/>
      <c r="K7" s="1" t="str">
        <f>IF(I7="","",I7*J7)</f>
        <v/>
      </c>
      <c r="L7" s="1"/>
      <c r="M7" s="1"/>
      <c r="N7" s="1"/>
      <c r="O7" s="1"/>
    </row>
    <row r="8" spans="1:15" x14ac:dyDescent="0.15">
      <c r="A8" s="1"/>
      <c r="B8" s="4"/>
      <c r="C8" s="1"/>
      <c r="D8" s="1"/>
      <c r="E8" s="1"/>
      <c r="F8" s="1"/>
      <c r="G8" s="1"/>
      <c r="H8" s="1"/>
      <c r="I8" s="1"/>
      <c r="J8" s="1"/>
      <c r="K8" s="1" t="str">
        <f>IF(I8="","",I8*J8)</f>
        <v/>
      </c>
      <c r="L8" s="1"/>
      <c r="M8" s="1"/>
      <c r="N8" s="1"/>
      <c r="O8" s="1"/>
    </row>
    <row r="9" spans="1:15" x14ac:dyDescent="0.15">
      <c r="A9" s="1"/>
      <c r="B9" s="4"/>
      <c r="C9" s="1"/>
      <c r="D9" s="1"/>
      <c r="E9" s="1"/>
      <c r="F9" s="1"/>
      <c r="G9" s="1"/>
      <c r="H9" s="1"/>
      <c r="I9" s="1"/>
      <c r="J9" s="1"/>
      <c r="K9" s="1" t="str">
        <f>IF(I9="","",I9*J9)</f>
        <v/>
      </c>
      <c r="L9" s="1"/>
      <c r="M9" s="1"/>
      <c r="N9" s="1"/>
      <c r="O9" s="1"/>
    </row>
    <row r="10" spans="1:15" x14ac:dyDescent="0.15">
      <c r="A10" s="1"/>
      <c r="B10" s="4"/>
      <c r="C10" s="1"/>
      <c r="D10" s="1"/>
      <c r="E10" s="1"/>
      <c r="F10" s="1"/>
      <c r="G10" s="1"/>
      <c r="H10" s="1"/>
      <c r="I10" s="1"/>
      <c r="J10" s="1"/>
      <c r="K10" s="1" t="str">
        <f>IF(I10="","",I10*J10)</f>
        <v/>
      </c>
      <c r="L10" s="1"/>
      <c r="M10" s="1"/>
      <c r="N10" s="1"/>
      <c r="O10" s="1"/>
    </row>
    <row r="11" spans="1:15" x14ac:dyDescent="0.15">
      <c r="A11" s="1"/>
      <c r="B11" s="4"/>
      <c r="C11" s="1"/>
      <c r="D11" s="1"/>
      <c r="E11" s="1"/>
      <c r="F11" s="1"/>
      <c r="G11" s="1"/>
      <c r="H11" s="1"/>
      <c r="I11" s="1"/>
      <c r="J11" s="1"/>
      <c r="K11" s="1" t="str">
        <f>IF(I11="","",I11*J11)</f>
        <v/>
      </c>
      <c r="L11" s="1"/>
      <c r="M11" s="1"/>
      <c r="N11" s="1"/>
      <c r="O11" s="1"/>
    </row>
    <row r="12" spans="1:15" x14ac:dyDescent="0.15">
      <c r="A12" s="1"/>
      <c r="B12" s="4"/>
      <c r="C12" s="1"/>
      <c r="D12" s="1"/>
      <c r="E12" s="1"/>
      <c r="F12" s="1"/>
      <c r="G12" s="1"/>
      <c r="H12" s="1"/>
      <c r="I12" s="1"/>
      <c r="J12" s="1"/>
      <c r="K12" s="1" t="str">
        <f>IF(I12="","",I12*J12)</f>
        <v/>
      </c>
      <c r="L12" s="1"/>
      <c r="M12" s="1"/>
      <c r="N12" s="1"/>
      <c r="O12" s="1"/>
    </row>
    <row r="13" spans="1:15" x14ac:dyDescent="0.15">
      <c r="A13" s="1"/>
      <c r="B13" s="4"/>
      <c r="C13" s="1"/>
      <c r="D13" s="1"/>
      <c r="E13" s="1"/>
      <c r="F13" s="1"/>
      <c r="G13" s="1"/>
      <c r="H13" s="1"/>
      <c r="I13" s="1"/>
      <c r="J13" s="1"/>
      <c r="K13" s="1" t="str">
        <f>IF(I13="","",I13*J13)</f>
        <v/>
      </c>
      <c r="L13" s="1"/>
      <c r="M13" s="1"/>
      <c r="N13" s="1"/>
      <c r="O13" s="1"/>
    </row>
    <row r="14" spans="1:15" x14ac:dyDescent="0.15">
      <c r="A14" s="1"/>
      <c r="B14" s="4"/>
      <c r="C14" s="1"/>
      <c r="D14" s="1"/>
      <c r="E14" s="1"/>
      <c r="F14" s="1"/>
      <c r="G14" s="1"/>
      <c r="H14" s="1"/>
      <c r="I14" s="1"/>
      <c r="J14" s="1"/>
      <c r="K14" s="1" t="str">
        <f>IF(I14="","",I14*J14)</f>
        <v/>
      </c>
      <c r="L14" s="1"/>
      <c r="M14" s="1"/>
      <c r="N14" s="1"/>
      <c r="O14" s="1"/>
    </row>
    <row r="15" spans="1:15" x14ac:dyDescent="0.15">
      <c r="A15" s="1"/>
      <c r="B15" s="4"/>
      <c r="C15" s="1"/>
      <c r="D15" s="1"/>
      <c r="E15" s="1"/>
      <c r="F15" s="1"/>
      <c r="G15" s="1"/>
      <c r="H15" s="1"/>
      <c r="I15" s="1"/>
      <c r="J15" s="1"/>
      <c r="K15" s="1" t="str">
        <f>IF(I15="","",I15*J15)</f>
        <v/>
      </c>
      <c r="L15" s="1"/>
      <c r="M15" s="1"/>
      <c r="N15" s="1"/>
      <c r="O15" s="1"/>
    </row>
    <row r="16" spans="1:15" x14ac:dyDescent="0.15">
      <c r="A16" s="1"/>
      <c r="B16" s="4"/>
      <c r="C16" s="1"/>
      <c r="D16" s="1"/>
      <c r="E16" s="1"/>
      <c r="F16" s="1"/>
      <c r="G16" s="1"/>
      <c r="H16" s="1"/>
      <c r="I16" s="1"/>
      <c r="J16" s="1"/>
      <c r="K16" s="1" t="str">
        <f>IF(I16="","",I16*J16)</f>
        <v/>
      </c>
      <c r="L16" s="1"/>
      <c r="M16" s="1"/>
      <c r="N16" s="1"/>
      <c r="O16" s="1"/>
    </row>
    <row r="17" spans="1:15" x14ac:dyDescent="0.15">
      <c r="A17" s="1"/>
      <c r="B17" s="4"/>
      <c r="C17" s="1"/>
      <c r="D17" s="1"/>
      <c r="E17" s="1"/>
      <c r="F17" s="1"/>
      <c r="G17" s="1"/>
      <c r="H17" s="1"/>
      <c r="I17" s="1"/>
      <c r="J17" s="1"/>
      <c r="K17" s="1" t="str">
        <f>IF(I17="","",I17*J17)</f>
        <v/>
      </c>
      <c r="L17" s="1"/>
      <c r="M17" s="1"/>
      <c r="N17" s="1"/>
      <c r="O17" s="1"/>
    </row>
    <row r="18" spans="1:15" x14ac:dyDescent="0.15">
      <c r="A18" s="1"/>
      <c r="B18" s="4"/>
      <c r="C18" s="1"/>
      <c r="D18" s="1"/>
      <c r="E18" s="1"/>
      <c r="F18" s="1"/>
      <c r="G18" s="1"/>
      <c r="H18" s="1"/>
      <c r="I18" s="1"/>
      <c r="J18" s="1"/>
      <c r="K18" s="1" t="str">
        <f>IF(I18="","",I18*J18)</f>
        <v/>
      </c>
      <c r="L18" s="1"/>
      <c r="M18" s="1"/>
      <c r="N18" s="1"/>
      <c r="O18" s="1"/>
    </row>
    <row r="19" spans="1:15" x14ac:dyDescent="0.15">
      <c r="A19" s="1"/>
      <c r="B19" s="4"/>
      <c r="C19" s="1"/>
      <c r="D19" s="1"/>
      <c r="E19" s="1"/>
      <c r="F19" s="1"/>
      <c r="G19" s="1"/>
      <c r="H19" s="1"/>
      <c r="I19" s="1"/>
      <c r="J19" s="1"/>
      <c r="K19" s="1" t="str">
        <f>IF(I19="","",I19*J19)</f>
        <v/>
      </c>
      <c r="L19" s="1"/>
      <c r="M19" s="1"/>
      <c r="N19" s="1"/>
      <c r="O19" s="1"/>
    </row>
    <row r="20" spans="1:15" x14ac:dyDescent="0.15">
      <c r="A20" s="1"/>
      <c r="B20" s="4"/>
      <c r="C20" s="1"/>
      <c r="D20" s="1"/>
      <c r="E20" s="1"/>
      <c r="F20" s="1"/>
      <c r="G20" s="1"/>
      <c r="H20" s="1"/>
      <c r="I20" s="1"/>
      <c r="J20" s="1"/>
      <c r="K20" s="1" t="str">
        <f>IF(I20="","",I20*J20)</f>
        <v/>
      </c>
      <c r="L20" s="1"/>
      <c r="M20" s="1"/>
      <c r="N20" s="1"/>
      <c r="O20" s="1"/>
    </row>
    <row r="21" spans="1:15" x14ac:dyDescent="0.15">
      <c r="A21" s="1"/>
      <c r="B21" s="4"/>
      <c r="C21" s="1"/>
      <c r="D21" s="1"/>
      <c r="E21" s="1"/>
      <c r="F21" s="1"/>
      <c r="G21" s="1"/>
      <c r="H21" s="1"/>
      <c r="I21" s="1"/>
      <c r="J21" s="1"/>
      <c r="K21" s="1" t="str">
        <f>IF(I21="","",I21*J21)</f>
        <v/>
      </c>
      <c r="L21" s="1"/>
      <c r="M21" s="1"/>
      <c r="N21" s="1"/>
      <c r="O21" s="1"/>
    </row>
    <row r="22" spans="1:15" x14ac:dyDescent="0.15">
      <c r="A22" s="1"/>
      <c r="B22" s="4"/>
      <c r="C22" s="1"/>
      <c r="D22" s="1"/>
      <c r="E22" s="1"/>
      <c r="F22" s="1"/>
      <c r="G22" s="1"/>
      <c r="H22" s="1"/>
      <c r="I22" s="1"/>
      <c r="J22" s="1"/>
      <c r="K22" s="1" t="str">
        <f>IF(I22="","",I22*J22)</f>
        <v/>
      </c>
      <c r="L22" s="1"/>
      <c r="M22" s="1"/>
      <c r="N22" s="1"/>
      <c r="O22" s="1"/>
    </row>
    <row r="23" spans="1:15" x14ac:dyDescent="0.15">
      <c r="A23" s="1"/>
      <c r="B23" s="4"/>
      <c r="C23" s="1"/>
      <c r="D23" s="1"/>
      <c r="E23" s="1"/>
      <c r="F23" s="1"/>
      <c r="G23" s="1"/>
      <c r="H23" s="1"/>
      <c r="I23" s="1"/>
      <c r="J23" s="1"/>
      <c r="K23" s="1" t="str">
        <f>IF(I23="","",I23*J23)</f>
        <v/>
      </c>
      <c r="L23" s="1"/>
      <c r="M23" s="1"/>
      <c r="N23" s="1"/>
      <c r="O23" s="1"/>
    </row>
    <row r="24" spans="1:15" x14ac:dyDescent="0.15">
      <c r="A24" s="1"/>
      <c r="B24" s="4"/>
      <c r="C24" s="1"/>
      <c r="D24" s="1"/>
      <c r="E24" s="1"/>
      <c r="F24" s="1"/>
      <c r="G24" s="1"/>
      <c r="H24" s="1"/>
      <c r="I24" s="1"/>
      <c r="J24" s="1"/>
      <c r="K24" s="1" t="str">
        <f>IF(I24="","",I24*J24)</f>
        <v/>
      </c>
      <c r="L24" s="1"/>
      <c r="M24" s="1"/>
      <c r="N24" s="1"/>
      <c r="O24" s="1"/>
    </row>
    <row r="25" spans="1:15" x14ac:dyDescent="0.15">
      <c r="A25" s="1"/>
      <c r="B25" s="4"/>
      <c r="C25" s="1"/>
      <c r="D25" s="1"/>
      <c r="E25" s="1"/>
      <c r="F25" s="1"/>
      <c r="G25" s="1"/>
      <c r="H25" s="1"/>
      <c r="I25" s="1"/>
      <c r="J25" s="1"/>
      <c r="K25" s="1" t="str">
        <f>IF(I25="","",I25*J25)</f>
        <v/>
      </c>
      <c r="L25" s="1"/>
      <c r="M25" s="1"/>
      <c r="N25" s="1"/>
      <c r="O25" s="1"/>
    </row>
    <row r="26" spans="1:15" x14ac:dyDescent="0.15">
      <c r="A26" s="1"/>
      <c r="B26" s="4"/>
      <c r="C26" s="1"/>
      <c r="D26" s="1"/>
      <c r="E26" s="1"/>
      <c r="F26" s="1"/>
      <c r="G26" s="1"/>
      <c r="H26" s="1"/>
      <c r="I26" s="1"/>
      <c r="J26" s="1"/>
      <c r="K26" s="1" t="str">
        <f>IF(I26="","",I26*J26)</f>
        <v/>
      </c>
      <c r="L26" s="1"/>
      <c r="M26" s="1"/>
      <c r="N26" s="1"/>
      <c r="O26" s="1"/>
    </row>
    <row r="27" spans="1:15" x14ac:dyDescent="0.15">
      <c r="A27" s="1"/>
      <c r="B27" s="4"/>
      <c r="C27" s="1"/>
      <c r="D27" s="1"/>
      <c r="E27" s="1"/>
      <c r="F27" s="1"/>
      <c r="G27" s="1"/>
      <c r="H27" s="1"/>
      <c r="I27" s="1"/>
      <c r="J27" s="1"/>
      <c r="K27" s="1" t="str">
        <f>IF(I27="","",I27*J27)</f>
        <v/>
      </c>
      <c r="L27" s="1"/>
      <c r="M27" s="1"/>
      <c r="N27" s="1"/>
      <c r="O27" s="1"/>
    </row>
    <row r="28" spans="1:15" x14ac:dyDescent="0.15">
      <c r="A28" s="1"/>
      <c r="B28" s="4"/>
      <c r="C28" s="1"/>
      <c r="D28" s="1"/>
      <c r="E28" s="1"/>
      <c r="F28" s="1"/>
      <c r="G28" s="1"/>
      <c r="H28" s="1"/>
      <c r="I28" s="1"/>
      <c r="J28" s="1"/>
      <c r="K28" s="1" t="str">
        <f>IF(I28="","",I28*J28)</f>
        <v/>
      </c>
      <c r="L28" s="1"/>
      <c r="M28" s="1"/>
      <c r="N28" s="1"/>
      <c r="O28" s="1"/>
    </row>
    <row r="29" spans="1:15" x14ac:dyDescent="0.15">
      <c r="A29" s="1"/>
      <c r="B29" s="4"/>
      <c r="C29" s="1"/>
      <c r="D29" s="1"/>
      <c r="E29" s="1"/>
      <c r="F29" s="1"/>
      <c r="G29" s="1"/>
      <c r="H29" s="1"/>
      <c r="I29" s="1"/>
      <c r="J29" s="1"/>
      <c r="K29" s="1" t="str">
        <f>IF(I29="","",I29*J29)</f>
        <v/>
      </c>
      <c r="L29" s="1"/>
      <c r="M29" s="1"/>
      <c r="N29" s="1"/>
      <c r="O29" s="1"/>
    </row>
    <row r="30" spans="1:15" x14ac:dyDescent="0.15">
      <c r="A30" s="1"/>
      <c r="B30" s="4"/>
      <c r="C30" s="1"/>
      <c r="D30" s="1"/>
      <c r="E30" s="1"/>
      <c r="F30" s="1"/>
      <c r="G30" s="1"/>
      <c r="H30" s="1"/>
      <c r="I30" s="1"/>
      <c r="J30" s="1"/>
      <c r="K30" s="1" t="str">
        <f>IF(I30="","",I30*J30)</f>
        <v/>
      </c>
      <c r="L30" s="1"/>
      <c r="M30" s="1"/>
      <c r="N30" s="1"/>
      <c r="O30" s="1"/>
    </row>
    <row r="31" spans="1:15" x14ac:dyDescent="0.15">
      <c r="A31" s="1"/>
      <c r="B31" s="4"/>
      <c r="C31" s="1"/>
      <c r="D31" s="1"/>
      <c r="E31" s="1"/>
      <c r="F31" s="1"/>
      <c r="G31" s="1"/>
      <c r="H31" s="1"/>
      <c r="I31" s="1"/>
      <c r="J31" s="1"/>
      <c r="K31" s="1" t="str">
        <f>IF(I31="","",I31*J31)</f>
        <v/>
      </c>
      <c r="L31" s="1"/>
      <c r="M31" s="1"/>
      <c r="N31" s="1"/>
      <c r="O31" s="1"/>
    </row>
    <row r="32" spans="1:15" x14ac:dyDescent="0.15">
      <c r="A32" s="1"/>
      <c r="B32" s="4"/>
      <c r="C32" s="1"/>
      <c r="D32" s="1"/>
      <c r="E32" s="1"/>
      <c r="F32" s="1"/>
      <c r="G32" s="1"/>
      <c r="H32" s="1"/>
      <c r="I32" s="1"/>
      <c r="J32" s="1"/>
      <c r="K32" s="1" t="str">
        <f>IF(I32="","",I32*J32)</f>
        <v/>
      </c>
      <c r="L32" s="1"/>
      <c r="M32" s="1"/>
      <c r="N32" s="1"/>
      <c r="O32" s="1"/>
    </row>
    <row r="33" spans="1:15" x14ac:dyDescent="0.15">
      <c r="A33" s="1"/>
      <c r="B33" s="4"/>
      <c r="C33" s="1"/>
      <c r="D33" s="1"/>
      <c r="E33" s="1"/>
      <c r="F33" s="1"/>
      <c r="G33" s="1"/>
      <c r="H33" s="1"/>
      <c r="I33" s="1"/>
      <c r="J33" s="1"/>
      <c r="K33" s="1" t="str">
        <f>IF(I33="","",I33*J33)</f>
        <v/>
      </c>
      <c r="L33" s="1"/>
      <c r="M33" s="1"/>
      <c r="N33" s="1"/>
      <c r="O33" s="1"/>
    </row>
    <row r="34" spans="1:15" x14ac:dyDescent="0.15">
      <c r="A34" s="1"/>
      <c r="B34" s="4"/>
      <c r="C34" s="1"/>
      <c r="D34" s="1"/>
      <c r="E34" s="1"/>
      <c r="F34" s="1"/>
      <c r="G34" s="1"/>
      <c r="H34" s="1"/>
      <c r="I34" s="1"/>
      <c r="J34" s="1"/>
      <c r="K34" s="1" t="str">
        <f>IF(I34="","",I34*J34)</f>
        <v/>
      </c>
      <c r="L34" s="1"/>
      <c r="M34" s="1"/>
      <c r="N34" s="1"/>
      <c r="O34" s="1"/>
    </row>
    <row r="35" spans="1:15" x14ac:dyDescent="0.15">
      <c r="A35" s="1"/>
      <c r="B35" s="4"/>
      <c r="C35" s="1"/>
      <c r="D35" s="1"/>
      <c r="E35" s="1"/>
      <c r="F35" s="1"/>
      <c r="G35" s="1"/>
      <c r="H35" s="1"/>
      <c r="I35" s="1"/>
      <c r="J35" s="1"/>
      <c r="K35" s="1" t="str">
        <f>IF(I35="","",I35*J35)</f>
        <v/>
      </c>
      <c r="L35" s="1"/>
      <c r="M35" s="1"/>
      <c r="N35" s="1"/>
      <c r="O35" s="1"/>
    </row>
    <row r="36" spans="1:15" x14ac:dyDescent="0.15">
      <c r="A36" s="1"/>
      <c r="B36" s="4"/>
      <c r="C36" s="1"/>
      <c r="D36" s="1"/>
      <c r="E36" s="1"/>
      <c r="F36" s="1"/>
      <c r="G36" s="1"/>
      <c r="H36" s="1"/>
      <c r="I36" s="1"/>
      <c r="J36" s="1"/>
      <c r="K36" s="1" t="str">
        <f>IF(I36="","",I36*J36)</f>
        <v/>
      </c>
      <c r="L36" s="1"/>
      <c r="M36" s="1"/>
      <c r="N36" s="1"/>
      <c r="O36" s="1"/>
    </row>
    <row r="37" spans="1:15" x14ac:dyDescent="0.15">
      <c r="A37" s="1"/>
      <c r="B37" s="4"/>
      <c r="C37" s="1"/>
      <c r="D37" s="1"/>
      <c r="E37" s="1"/>
      <c r="F37" s="1"/>
      <c r="G37" s="1"/>
      <c r="H37" s="1"/>
      <c r="I37" s="1"/>
      <c r="J37" s="1"/>
      <c r="K37" s="1" t="str">
        <f>IF(I37="","",I37*J37)</f>
        <v/>
      </c>
      <c r="L37" s="1"/>
      <c r="M37" s="1"/>
      <c r="N37" s="1"/>
      <c r="O37" s="1"/>
    </row>
    <row r="38" spans="1:15" x14ac:dyDescent="0.15">
      <c r="A38" s="1"/>
      <c r="B38" s="4"/>
      <c r="C38" s="1"/>
      <c r="D38" s="1"/>
      <c r="E38" s="1"/>
      <c r="F38" s="1"/>
      <c r="G38" s="1"/>
      <c r="H38" s="1"/>
      <c r="I38" s="1"/>
      <c r="J38" s="1"/>
      <c r="K38" s="1" t="str">
        <f>IF(I38="","",I38*J38)</f>
        <v/>
      </c>
      <c r="L38" s="1"/>
      <c r="M38" s="1"/>
      <c r="N38" s="1"/>
      <c r="O38" s="1"/>
    </row>
    <row r="39" spans="1:15" x14ac:dyDescent="0.15">
      <c r="A39" s="1"/>
      <c r="B39" s="4"/>
      <c r="C39" s="1"/>
      <c r="D39" s="1"/>
      <c r="E39" s="1"/>
      <c r="F39" s="1"/>
      <c r="G39" s="1"/>
      <c r="H39" s="1"/>
      <c r="I39" s="1"/>
      <c r="J39" s="1"/>
      <c r="K39" s="1" t="str">
        <f>IF(I39="","",I39*J39)</f>
        <v/>
      </c>
      <c r="L39" s="1"/>
      <c r="M39" s="1"/>
      <c r="N39" s="1"/>
      <c r="O39" s="1"/>
    </row>
    <row r="40" spans="1:15" x14ac:dyDescent="0.15">
      <c r="A40" s="1"/>
      <c r="B40" s="4"/>
      <c r="C40" s="1"/>
      <c r="D40" s="1"/>
      <c r="E40" s="1"/>
      <c r="F40" s="1"/>
      <c r="G40" s="1"/>
      <c r="H40" s="1"/>
      <c r="I40" s="1"/>
      <c r="J40" s="1"/>
      <c r="K40" s="1" t="str">
        <f>IF(I40="","",I40*J40)</f>
        <v/>
      </c>
      <c r="L40" s="1"/>
      <c r="M40" s="1"/>
      <c r="N40" s="1"/>
      <c r="O40" s="1"/>
    </row>
    <row r="41" spans="1:15" x14ac:dyDescent="0.15">
      <c r="A41" s="1"/>
      <c r="B41" s="4"/>
      <c r="C41" s="1"/>
      <c r="D41" s="1"/>
      <c r="E41" s="1"/>
      <c r="F41" s="1"/>
      <c r="G41" s="1"/>
      <c r="H41" s="1"/>
      <c r="I41" s="1"/>
      <c r="J41" s="1"/>
      <c r="K41" s="1" t="str">
        <f>IF(I41="","",I41*J41)</f>
        <v/>
      </c>
      <c r="L41" s="1"/>
      <c r="M41" s="1"/>
      <c r="N41" s="1"/>
      <c r="O41" s="1"/>
    </row>
    <row r="42" spans="1:15" x14ac:dyDescent="0.15">
      <c r="A42" s="1"/>
      <c r="B42" s="4"/>
      <c r="C42" s="1"/>
      <c r="D42" s="1"/>
      <c r="E42" s="1"/>
      <c r="F42" s="1"/>
      <c r="G42" s="1"/>
      <c r="H42" s="1"/>
      <c r="I42" s="1"/>
      <c r="J42" s="1"/>
      <c r="K42" s="1" t="str">
        <f>IF(I42="","",I42*J42)</f>
        <v/>
      </c>
      <c r="L42" s="1"/>
      <c r="M42" s="1"/>
      <c r="N42" s="1"/>
      <c r="O42" s="1"/>
    </row>
    <row r="43" spans="1:15" x14ac:dyDescent="0.15">
      <c r="A43" s="1"/>
      <c r="B43" s="4"/>
      <c r="C43" s="1"/>
      <c r="D43" s="1"/>
      <c r="E43" s="1"/>
      <c r="F43" s="1"/>
      <c r="G43" s="1"/>
      <c r="H43" s="1"/>
      <c r="I43" s="1"/>
      <c r="J43" s="1"/>
      <c r="K43" s="1" t="str">
        <f>IF(I43="","",I43*J43)</f>
        <v/>
      </c>
      <c r="L43" s="1"/>
      <c r="M43" s="1"/>
      <c r="N43" s="1"/>
      <c r="O43" s="1"/>
    </row>
    <row r="44" spans="1:15" x14ac:dyDescent="0.15">
      <c r="A44" s="1"/>
      <c r="B44" s="4"/>
      <c r="C44" s="1"/>
      <c r="D44" s="1"/>
      <c r="E44" s="1"/>
      <c r="F44" s="1"/>
      <c r="G44" s="1"/>
      <c r="H44" s="1"/>
      <c r="I44" s="1"/>
      <c r="J44" s="1"/>
      <c r="K44" s="1" t="str">
        <f>IF(I44="","",I44*J44)</f>
        <v/>
      </c>
      <c r="L44" s="1"/>
      <c r="M44" s="1"/>
      <c r="N44" s="1"/>
      <c r="O44" s="1"/>
    </row>
    <row r="45" spans="1:15" x14ac:dyDescent="0.15">
      <c r="A45" s="1"/>
      <c r="B45" s="4"/>
      <c r="C45" s="1"/>
      <c r="D45" s="1"/>
      <c r="E45" s="1"/>
      <c r="F45" s="1"/>
      <c r="G45" s="1"/>
      <c r="H45" s="1"/>
      <c r="I45" s="1"/>
      <c r="J45" s="1"/>
      <c r="K45" s="1" t="str">
        <f>IF(I45="","",I45*J45)</f>
        <v/>
      </c>
      <c r="L45" s="1"/>
      <c r="M45" s="1"/>
      <c r="N45" s="1"/>
      <c r="O45" s="1"/>
    </row>
    <row r="46" spans="1:15" x14ac:dyDescent="0.15">
      <c r="A46" s="1"/>
      <c r="B46" s="4"/>
      <c r="C46" s="1"/>
      <c r="D46" s="1"/>
      <c r="E46" s="1"/>
      <c r="F46" s="1"/>
      <c r="G46" s="1"/>
      <c r="H46" s="1"/>
      <c r="I46" s="1"/>
      <c r="J46" s="1"/>
      <c r="K46" s="1" t="str">
        <f>IF(I46="","",I46*J46)</f>
        <v/>
      </c>
      <c r="L46" s="1"/>
      <c r="M46" s="1"/>
      <c r="N46" s="1"/>
      <c r="O46" s="1"/>
    </row>
    <row r="47" spans="1:15" x14ac:dyDescent="0.15">
      <c r="A47" s="1"/>
      <c r="B47" s="4"/>
      <c r="C47" s="1"/>
      <c r="D47" s="1"/>
      <c r="E47" s="1"/>
      <c r="F47" s="1"/>
      <c r="G47" s="1"/>
      <c r="H47" s="1"/>
      <c r="I47" s="1"/>
      <c r="J47" s="1"/>
      <c r="K47" s="1" t="str">
        <f>IF(I47="","",I47*J47)</f>
        <v/>
      </c>
      <c r="L47" s="1"/>
      <c r="M47" s="1"/>
      <c r="N47" s="1"/>
      <c r="O47" s="1"/>
    </row>
    <row r="48" spans="1:15" x14ac:dyDescent="0.15">
      <c r="A48" s="1"/>
      <c r="B48" s="4"/>
      <c r="C48" s="1"/>
      <c r="D48" s="1"/>
      <c r="E48" s="1"/>
      <c r="F48" s="1"/>
      <c r="G48" s="1"/>
      <c r="H48" s="1"/>
      <c r="I48" s="1"/>
      <c r="J48" s="1"/>
      <c r="K48" s="1" t="str">
        <f>IF(I48="","",I48*J48)</f>
        <v/>
      </c>
      <c r="L48" s="1"/>
      <c r="M48" s="1"/>
      <c r="N48" s="1"/>
      <c r="O48" s="1"/>
    </row>
    <row r="49" spans="1:15" x14ac:dyDescent="0.15">
      <c r="A49" s="1"/>
      <c r="B49" s="4"/>
      <c r="C49" s="1"/>
      <c r="D49" s="1"/>
      <c r="E49" s="1"/>
      <c r="F49" s="1"/>
      <c r="G49" s="1"/>
      <c r="H49" s="1"/>
      <c r="I49" s="1"/>
      <c r="J49" s="1"/>
      <c r="K49" s="1" t="str">
        <f>IF(I49="","",I49*J49)</f>
        <v/>
      </c>
      <c r="L49" s="1"/>
      <c r="M49" s="1"/>
      <c r="N49" s="1"/>
      <c r="O49" s="1"/>
    </row>
    <row r="50" spans="1:15" x14ac:dyDescent="0.15">
      <c r="A50" s="1"/>
      <c r="B50" s="4"/>
      <c r="C50" s="1"/>
      <c r="D50" s="1"/>
      <c r="E50" s="1"/>
      <c r="F50" s="1"/>
      <c r="G50" s="1"/>
      <c r="H50" s="1"/>
      <c r="I50" s="1"/>
      <c r="J50" s="1"/>
      <c r="K50" s="1" t="str">
        <f>IF(I50="","",I50*J50)</f>
        <v/>
      </c>
      <c r="L50" s="1"/>
      <c r="M50" s="1"/>
      <c r="N50" s="1"/>
      <c r="O50" s="1"/>
    </row>
    <row r="51" spans="1:15" x14ac:dyDescent="0.15">
      <c r="A51" s="1"/>
      <c r="B51" s="4"/>
      <c r="C51" s="1"/>
      <c r="D51" s="1"/>
      <c r="E51" s="1"/>
      <c r="F51" s="1"/>
      <c r="G51" s="1"/>
      <c r="H51" s="1"/>
      <c r="I51" s="1"/>
      <c r="J51" s="1"/>
      <c r="K51" s="1" t="str">
        <f>IF(I51="","",I51*J51)</f>
        <v/>
      </c>
      <c r="L51" s="1"/>
      <c r="M51" s="1"/>
      <c r="N51" s="1"/>
      <c r="O51" s="1"/>
    </row>
    <row r="52" spans="1:15" x14ac:dyDescent="0.15">
      <c r="A52" s="1"/>
      <c r="B52" s="4"/>
      <c r="C52" s="1"/>
      <c r="D52" s="1"/>
      <c r="E52" s="1"/>
      <c r="F52" s="1"/>
      <c r="G52" s="1"/>
      <c r="H52" s="1"/>
      <c r="I52" s="1"/>
      <c r="J52" s="1"/>
      <c r="K52" s="1" t="str">
        <f>IF(I52="","",I52*J52)</f>
        <v/>
      </c>
      <c r="L52" s="1"/>
      <c r="M52" s="1"/>
      <c r="N52" s="1"/>
      <c r="O52" s="1"/>
    </row>
    <row r="53" spans="1:15" x14ac:dyDescent="0.15">
      <c r="A53" s="1"/>
      <c r="B53" s="4"/>
      <c r="C53" s="1"/>
      <c r="D53" s="1"/>
      <c r="E53" s="1"/>
      <c r="F53" s="1"/>
      <c r="G53" s="1"/>
      <c r="H53" s="1"/>
      <c r="I53" s="1"/>
      <c r="J53" s="1"/>
      <c r="K53" s="1" t="str">
        <f>IF(I53="","",I53*J53)</f>
        <v/>
      </c>
      <c r="L53" s="1"/>
      <c r="M53" s="1"/>
      <c r="N53" s="1"/>
      <c r="O53" s="1"/>
    </row>
    <row r="54" spans="1:15" x14ac:dyDescent="0.15">
      <c r="A54" s="1"/>
      <c r="B54" s="4"/>
      <c r="C54" s="1"/>
      <c r="D54" s="1"/>
      <c r="E54" s="1"/>
      <c r="F54" s="1"/>
      <c r="G54" s="1"/>
      <c r="H54" s="1"/>
      <c r="I54" s="1"/>
      <c r="J54" s="1"/>
      <c r="K54" s="1" t="str">
        <f>IF(I54="","",I54*J54)</f>
        <v/>
      </c>
      <c r="L54" s="1"/>
      <c r="M54" s="1"/>
      <c r="N54" s="1"/>
      <c r="O54" s="1"/>
    </row>
    <row r="55" spans="1:15" x14ac:dyDescent="0.15">
      <c r="A55" s="1"/>
      <c r="B55" s="4"/>
      <c r="C55" s="1"/>
      <c r="D55" s="1"/>
      <c r="E55" s="1"/>
      <c r="F55" s="1"/>
      <c r="G55" s="1"/>
      <c r="H55" s="1"/>
      <c r="I55" s="1"/>
      <c r="J55" s="1"/>
      <c r="K55" s="1" t="str">
        <f>IF(I55="","",I55*J55)</f>
        <v/>
      </c>
      <c r="L55" s="1"/>
      <c r="M55" s="1"/>
      <c r="N55" s="1"/>
      <c r="O55" s="1"/>
    </row>
    <row r="56" spans="1:15" x14ac:dyDescent="0.15">
      <c r="A56" s="1"/>
      <c r="B56" s="4"/>
      <c r="C56" s="1"/>
      <c r="D56" s="1"/>
      <c r="E56" s="1"/>
      <c r="F56" s="1"/>
      <c r="G56" s="1"/>
      <c r="H56" s="1"/>
      <c r="I56" s="1"/>
      <c r="J56" s="1"/>
      <c r="K56" s="1" t="str">
        <f>IF(I56="","",I56*J56)</f>
        <v/>
      </c>
      <c r="L56" s="1"/>
      <c r="M56" s="1"/>
      <c r="N56" s="1"/>
      <c r="O56" s="1"/>
    </row>
    <row r="57" spans="1:15" x14ac:dyDescent="0.15">
      <c r="A57" s="1"/>
      <c r="B57" s="4"/>
      <c r="C57" s="1"/>
      <c r="D57" s="1"/>
      <c r="E57" s="1"/>
      <c r="F57" s="1"/>
      <c r="G57" s="1"/>
      <c r="H57" s="1"/>
      <c r="I57" s="1"/>
      <c r="J57" s="1"/>
      <c r="K57" s="1" t="str">
        <f>IF(I57="","",I57*J57)</f>
        <v/>
      </c>
      <c r="L57" s="1"/>
      <c r="M57" s="1"/>
      <c r="N57" s="1"/>
      <c r="O57" s="1"/>
    </row>
    <row r="58" spans="1:15" x14ac:dyDescent="0.15">
      <c r="A58" s="1"/>
      <c r="B58" s="4"/>
      <c r="C58" s="1"/>
      <c r="D58" s="1"/>
      <c r="E58" s="1"/>
      <c r="F58" s="1"/>
      <c r="G58" s="1"/>
      <c r="H58" s="1"/>
      <c r="I58" s="1"/>
      <c r="J58" s="1"/>
      <c r="K58" s="1" t="str">
        <f>IF(I58="","",I58*J58)</f>
        <v/>
      </c>
      <c r="L58" s="1"/>
      <c r="M58" s="1"/>
      <c r="N58" s="1"/>
      <c r="O58" s="1"/>
    </row>
    <row r="59" spans="1:15" x14ac:dyDescent="0.15">
      <c r="A59" s="1"/>
      <c r="B59" s="4"/>
      <c r="C59" s="1"/>
      <c r="D59" s="1"/>
      <c r="E59" s="1"/>
      <c r="F59" s="1"/>
      <c r="G59" s="1"/>
      <c r="H59" s="1"/>
      <c r="I59" s="1"/>
      <c r="J59" s="1"/>
      <c r="K59" s="1" t="str">
        <f>IF(I59="","",I59*J59)</f>
        <v/>
      </c>
      <c r="L59" s="1"/>
      <c r="M59" s="1"/>
      <c r="N59" s="1"/>
      <c r="O59" s="1"/>
    </row>
    <row r="60" spans="1:15" x14ac:dyDescent="0.15">
      <c r="A60" s="1"/>
      <c r="B60" s="4"/>
      <c r="C60" s="1"/>
      <c r="D60" s="1"/>
      <c r="E60" s="1"/>
      <c r="F60" s="1"/>
      <c r="G60" s="1"/>
      <c r="H60" s="1"/>
      <c r="I60" s="1"/>
      <c r="J60" s="1"/>
      <c r="K60" s="1" t="str">
        <f>IF(I60="","",I60*J60)</f>
        <v/>
      </c>
      <c r="L60" s="1"/>
      <c r="M60" s="1"/>
      <c r="N60" s="1"/>
      <c r="O60" s="1"/>
    </row>
    <row r="61" spans="1:15" x14ac:dyDescent="0.15">
      <c r="A61" s="1"/>
      <c r="B61" s="4"/>
      <c r="C61" s="1"/>
      <c r="D61" s="1"/>
      <c r="E61" s="1"/>
      <c r="F61" s="1"/>
      <c r="G61" s="1"/>
      <c r="H61" s="1"/>
      <c r="I61" s="1"/>
      <c r="J61" s="1"/>
      <c r="K61" s="1" t="str">
        <f>IF(I61="","",I61*J61)</f>
        <v/>
      </c>
      <c r="L61" s="1"/>
      <c r="M61" s="1"/>
      <c r="N61" s="1"/>
      <c r="O61" s="1"/>
    </row>
    <row r="62" spans="1:15" x14ac:dyDescent="0.15">
      <c r="A62" s="1"/>
      <c r="B62" s="4"/>
      <c r="C62" s="1"/>
      <c r="D62" s="1"/>
      <c r="E62" s="1"/>
      <c r="F62" s="1"/>
      <c r="G62" s="1"/>
      <c r="H62" s="1"/>
      <c r="I62" s="1"/>
      <c r="J62" s="1"/>
      <c r="K62" s="1" t="str">
        <f>IF(I62="","",I62*J62)</f>
        <v/>
      </c>
      <c r="L62" s="1"/>
      <c r="M62" s="1"/>
      <c r="N62" s="1"/>
      <c r="O62" s="1"/>
    </row>
    <row r="63" spans="1:15" x14ac:dyDescent="0.15">
      <c r="A63" s="1"/>
      <c r="B63" s="4"/>
      <c r="C63" s="1"/>
      <c r="D63" s="1"/>
      <c r="E63" s="1"/>
      <c r="F63" s="1"/>
      <c r="G63" s="1"/>
      <c r="H63" s="1"/>
      <c r="I63" s="1"/>
      <c r="J63" s="1"/>
      <c r="K63" s="1" t="str">
        <f>IF(I63="","",I63*J63)</f>
        <v/>
      </c>
      <c r="L63" s="1"/>
      <c r="M63" s="1"/>
      <c r="N63" s="1"/>
      <c r="O63" s="1"/>
    </row>
    <row r="64" spans="1:15" x14ac:dyDescent="0.15">
      <c r="A64" s="1"/>
      <c r="B64" s="4"/>
      <c r="C64" s="1"/>
      <c r="D64" s="1"/>
      <c r="E64" s="1"/>
      <c r="F64" s="1"/>
      <c r="G64" s="1"/>
      <c r="H64" s="1"/>
      <c r="I64" s="1"/>
      <c r="J64" s="1"/>
      <c r="K64" s="1" t="str">
        <f>IF(I64="","",I64*J64)</f>
        <v/>
      </c>
      <c r="L64" s="1"/>
      <c r="M64" s="1"/>
      <c r="N64" s="1"/>
      <c r="O64" s="1"/>
    </row>
    <row r="65" spans="1:15" x14ac:dyDescent="0.15">
      <c r="A65" s="1"/>
      <c r="B65" s="4"/>
      <c r="C65" s="1"/>
      <c r="D65" s="1"/>
      <c r="E65" s="1"/>
      <c r="F65" s="1"/>
      <c r="G65" s="1"/>
      <c r="H65" s="1"/>
      <c r="I65" s="1"/>
      <c r="J65" s="1"/>
      <c r="K65" s="1" t="str">
        <f>IF(I65="","",I65*J65)</f>
        <v/>
      </c>
      <c r="L65" s="1"/>
      <c r="M65" s="1"/>
      <c r="N65" s="1"/>
      <c r="O65" s="1"/>
    </row>
    <row r="66" spans="1:15" x14ac:dyDescent="0.15">
      <c r="A66" s="1"/>
      <c r="B66" s="4"/>
      <c r="C66" s="1"/>
      <c r="D66" s="1"/>
      <c r="E66" s="1"/>
      <c r="F66" s="1"/>
      <c r="G66" s="1"/>
      <c r="H66" s="1"/>
      <c r="I66" s="1"/>
      <c r="J66" s="1"/>
      <c r="K66" s="1" t="str">
        <f>IF(I66="","",I66*J66)</f>
        <v/>
      </c>
      <c r="L66" s="1"/>
      <c r="M66" s="1"/>
      <c r="N66" s="1"/>
      <c r="O66" s="1"/>
    </row>
    <row r="67" spans="1:15" x14ac:dyDescent="0.15">
      <c r="A67" s="1"/>
      <c r="B67" s="4"/>
      <c r="C67" s="1"/>
      <c r="D67" s="1"/>
      <c r="E67" s="1"/>
      <c r="F67" s="1"/>
      <c r="G67" s="1"/>
      <c r="H67" s="1"/>
      <c r="I67" s="1"/>
      <c r="J67" s="1"/>
      <c r="K67" s="1" t="str">
        <f>IF(I67="","",I67*J67)</f>
        <v/>
      </c>
      <c r="L67" s="1"/>
      <c r="M67" s="1"/>
      <c r="N67" s="1"/>
      <c r="O67" s="1"/>
    </row>
    <row r="68" spans="1:15" x14ac:dyDescent="0.15">
      <c r="A68" s="1"/>
      <c r="B68" s="4"/>
      <c r="C68" s="1"/>
      <c r="D68" s="1"/>
      <c r="E68" s="1"/>
      <c r="F68" s="1"/>
      <c r="G68" s="1"/>
      <c r="H68" s="1"/>
      <c r="I68" s="1"/>
      <c r="J68" s="1"/>
      <c r="K68" s="1" t="str">
        <f>IF(I68="","",I68*J68)</f>
        <v/>
      </c>
      <c r="L68" s="1"/>
      <c r="M68" s="1"/>
      <c r="N68" s="1"/>
      <c r="O68" s="1"/>
    </row>
    <row r="69" spans="1:15" x14ac:dyDescent="0.15">
      <c r="A69" s="1"/>
      <c r="B69" s="4"/>
      <c r="C69" s="1"/>
      <c r="D69" s="1"/>
      <c r="E69" s="1"/>
      <c r="F69" s="1"/>
      <c r="G69" s="1"/>
      <c r="H69" s="1"/>
      <c r="I69" s="1"/>
      <c r="J69" s="1"/>
      <c r="K69" s="1" t="str">
        <f>IF(I69="","",I69*J69)</f>
        <v/>
      </c>
      <c r="L69" s="1"/>
      <c r="M69" s="1"/>
      <c r="N69" s="1"/>
      <c r="O69" s="1"/>
    </row>
    <row r="70" spans="1:15" x14ac:dyDescent="0.15">
      <c r="A70" s="1"/>
      <c r="B70" s="4"/>
      <c r="C70" s="1"/>
      <c r="D70" s="1"/>
      <c r="E70" s="1"/>
      <c r="F70" s="1"/>
      <c r="G70" s="1"/>
      <c r="H70" s="1"/>
      <c r="I70" s="1"/>
      <c r="J70" s="1"/>
      <c r="K70" s="1" t="str">
        <f>IF(I70="","",I70*J70)</f>
        <v/>
      </c>
      <c r="L70" s="1"/>
      <c r="M70" s="1"/>
      <c r="N70" s="1"/>
      <c r="O70" s="1"/>
    </row>
    <row r="71" spans="1:15" x14ac:dyDescent="0.15">
      <c r="A71" s="1"/>
      <c r="B71" s="4"/>
      <c r="C71" s="1"/>
      <c r="D71" s="1"/>
      <c r="E71" s="1"/>
      <c r="F71" s="1"/>
      <c r="G71" s="1"/>
      <c r="H71" s="1"/>
      <c r="I71" s="1"/>
      <c r="J71" s="1"/>
      <c r="K71" s="1" t="str">
        <f>IF(I71="","",I71*J71)</f>
        <v/>
      </c>
      <c r="L71" s="1"/>
      <c r="M71" s="1"/>
      <c r="N71" s="1"/>
      <c r="O71" s="1"/>
    </row>
    <row r="72" spans="1:15" x14ac:dyDescent="0.15">
      <c r="A72" s="1"/>
      <c r="B72" s="4"/>
      <c r="C72" s="1"/>
      <c r="D72" s="1"/>
      <c r="E72" s="1"/>
      <c r="F72" s="1"/>
      <c r="G72" s="1"/>
      <c r="H72" s="1"/>
      <c r="I72" s="1"/>
      <c r="J72" s="1"/>
      <c r="K72" s="1" t="str">
        <f>IF(I72="","",I72*J72)</f>
        <v/>
      </c>
      <c r="L72" s="1"/>
      <c r="M72" s="1"/>
      <c r="N72" s="1"/>
      <c r="O72" s="1"/>
    </row>
    <row r="73" spans="1:15" x14ac:dyDescent="0.15">
      <c r="A73" s="1"/>
      <c r="B73" s="4"/>
      <c r="C73" s="1"/>
      <c r="D73" s="1"/>
      <c r="E73" s="1"/>
      <c r="F73" s="1"/>
      <c r="G73" s="1"/>
      <c r="H73" s="1"/>
      <c r="I73" s="1"/>
      <c r="J73" s="1"/>
      <c r="K73" s="1" t="str">
        <f>IF(I73="","",I73*J73)</f>
        <v/>
      </c>
      <c r="L73" s="1"/>
      <c r="M73" s="1"/>
      <c r="N73" s="1"/>
      <c r="O73" s="1"/>
    </row>
    <row r="74" spans="1:15" x14ac:dyDescent="0.15">
      <c r="A74" s="1"/>
      <c r="B74" s="4"/>
      <c r="C74" s="1"/>
      <c r="D74" s="1"/>
      <c r="E74" s="1"/>
      <c r="F74" s="1"/>
      <c r="G74" s="1"/>
      <c r="H74" s="1"/>
      <c r="I74" s="1"/>
      <c r="J74" s="1"/>
      <c r="K74" s="1" t="str">
        <f>IF(I74="","",I74*J74)</f>
        <v/>
      </c>
      <c r="L74" s="1"/>
      <c r="M74" s="1"/>
      <c r="N74" s="1"/>
      <c r="O74" s="1"/>
    </row>
    <row r="75" spans="1:15" x14ac:dyDescent="0.15">
      <c r="A75" s="1"/>
      <c r="B75" s="4"/>
      <c r="C75" s="1"/>
      <c r="D75" s="1"/>
      <c r="E75" s="1"/>
      <c r="F75" s="1"/>
      <c r="G75" s="1"/>
      <c r="H75" s="1"/>
      <c r="I75" s="1"/>
      <c r="J75" s="1"/>
      <c r="K75" s="1" t="str">
        <f>IF(I75="","",I75*J75)</f>
        <v/>
      </c>
      <c r="L75" s="1"/>
      <c r="M75" s="1"/>
      <c r="N75" s="1"/>
      <c r="O75" s="1"/>
    </row>
    <row r="76" spans="1:15" x14ac:dyDescent="0.15">
      <c r="A76" s="1"/>
      <c r="B76" s="4"/>
      <c r="C76" s="1"/>
      <c r="D76" s="1"/>
      <c r="E76" s="1"/>
      <c r="F76" s="1"/>
      <c r="G76" s="1"/>
      <c r="H76" s="1"/>
      <c r="I76" s="1"/>
      <c r="J76" s="1"/>
      <c r="K76" s="1" t="str">
        <f>IF(I76="","",I76*J76)</f>
        <v/>
      </c>
      <c r="L76" s="1"/>
      <c r="M76" s="1"/>
      <c r="N76" s="1"/>
      <c r="O76" s="1"/>
    </row>
    <row r="77" spans="1:15" x14ac:dyDescent="0.15">
      <c r="A77" s="1"/>
      <c r="B77" s="4"/>
      <c r="C77" s="1"/>
      <c r="D77" s="1"/>
      <c r="E77" s="1"/>
      <c r="F77" s="1"/>
      <c r="G77" s="1"/>
      <c r="H77" s="1"/>
      <c r="I77" s="1"/>
      <c r="J77" s="1"/>
      <c r="K77" s="1" t="str">
        <f>IF(I77="","",I77*J77)</f>
        <v/>
      </c>
      <c r="L77" s="1"/>
      <c r="M77" s="1"/>
      <c r="N77" s="1"/>
      <c r="O77" s="1"/>
    </row>
    <row r="78" spans="1:15" x14ac:dyDescent="0.15">
      <c r="A78" s="1"/>
      <c r="B78" s="4"/>
      <c r="C78" s="1"/>
      <c r="D78" s="1"/>
      <c r="E78" s="1"/>
      <c r="F78" s="1"/>
      <c r="G78" s="1"/>
      <c r="H78" s="1"/>
      <c r="I78" s="1"/>
      <c r="J78" s="1"/>
      <c r="K78" s="1" t="str">
        <f>IF(I78="","",I78*J78)</f>
        <v/>
      </c>
      <c r="L78" s="1"/>
      <c r="M78" s="1"/>
      <c r="N78" s="1"/>
      <c r="O78" s="1"/>
    </row>
    <row r="79" spans="1:15" x14ac:dyDescent="0.15">
      <c r="A79" s="1"/>
      <c r="B79" s="4"/>
      <c r="C79" s="1"/>
      <c r="D79" s="1"/>
      <c r="E79" s="1"/>
      <c r="F79" s="1"/>
      <c r="G79" s="1"/>
      <c r="H79" s="1"/>
      <c r="I79" s="1"/>
      <c r="J79" s="1"/>
      <c r="K79" s="1" t="str">
        <f>IF(I79="","",I79*J79)</f>
        <v/>
      </c>
      <c r="L79" s="1"/>
      <c r="M79" s="1"/>
      <c r="N79" s="1"/>
      <c r="O79" s="1"/>
    </row>
    <row r="80" spans="1:15" x14ac:dyDescent="0.15">
      <c r="A80" s="1"/>
      <c r="B80" s="4"/>
      <c r="C80" s="1"/>
      <c r="D80" s="1"/>
      <c r="E80" s="1"/>
      <c r="F80" s="1"/>
      <c r="G80" s="1"/>
      <c r="H80" s="1"/>
      <c r="I80" s="1"/>
      <c r="J80" s="1"/>
      <c r="K80" s="1" t="str">
        <f>IF(I80="","",I80*J80)</f>
        <v/>
      </c>
      <c r="L80" s="1"/>
      <c r="M80" s="1"/>
      <c r="N80" s="1"/>
      <c r="O80" s="1"/>
    </row>
    <row r="81" spans="1:15" x14ac:dyDescent="0.15">
      <c r="A81" s="1"/>
      <c r="B81" s="4"/>
      <c r="C81" s="1"/>
      <c r="D81" s="1"/>
      <c r="E81" s="1"/>
      <c r="F81" s="1"/>
      <c r="G81" s="1"/>
      <c r="H81" s="1"/>
      <c r="I81" s="1"/>
      <c r="J81" s="1"/>
      <c r="K81" s="1" t="str">
        <f>IF(I81="","",I81*J81)</f>
        <v/>
      </c>
      <c r="L81" s="1"/>
      <c r="M81" s="1"/>
      <c r="N81" s="1"/>
      <c r="O81" s="1"/>
    </row>
    <row r="82" spans="1:15" x14ac:dyDescent="0.15">
      <c r="A82" s="1"/>
      <c r="B82" s="4"/>
      <c r="C82" s="1"/>
      <c r="D82" s="1"/>
      <c r="E82" s="1"/>
      <c r="F82" s="1"/>
      <c r="G82" s="1"/>
      <c r="H82" s="1"/>
      <c r="I82" s="1"/>
      <c r="J82" s="1"/>
      <c r="K82" s="1" t="str">
        <f>IF(I82="","",I82*J82)</f>
        <v/>
      </c>
      <c r="L82" s="1"/>
      <c r="M82" s="1"/>
      <c r="N82" s="1"/>
      <c r="O82" s="1"/>
    </row>
    <row r="83" spans="1:15" x14ac:dyDescent="0.15">
      <c r="A83" s="1"/>
      <c r="B83" s="4"/>
      <c r="C83" s="1"/>
      <c r="D83" s="1"/>
      <c r="E83" s="1"/>
      <c r="F83" s="1"/>
      <c r="G83" s="1"/>
      <c r="H83" s="1"/>
      <c r="I83" s="1"/>
      <c r="J83" s="1"/>
      <c r="K83" s="1" t="str">
        <f>IF(I83="","",I83*J83)</f>
        <v/>
      </c>
      <c r="L83" s="1"/>
      <c r="M83" s="1"/>
      <c r="N83" s="1"/>
      <c r="O83" s="1"/>
    </row>
    <row r="84" spans="1:15" x14ac:dyDescent="0.15">
      <c r="A84" s="1"/>
      <c r="B84" s="4"/>
      <c r="C84" s="1"/>
      <c r="D84" s="1"/>
      <c r="E84" s="1"/>
      <c r="F84" s="1"/>
      <c r="G84" s="1"/>
      <c r="H84" s="1"/>
      <c r="I84" s="1"/>
      <c r="J84" s="1"/>
      <c r="K84" s="1" t="str">
        <f>IF(I84="","",I84*J84)</f>
        <v/>
      </c>
      <c r="L84" s="1"/>
      <c r="M84" s="1"/>
      <c r="N84" s="1"/>
      <c r="O84" s="1"/>
    </row>
    <row r="85" spans="1:15" x14ac:dyDescent="0.15">
      <c r="A85" s="1"/>
      <c r="B85" s="4"/>
      <c r="C85" s="1"/>
      <c r="D85" s="1"/>
      <c r="E85" s="1"/>
      <c r="F85" s="1"/>
      <c r="G85" s="1"/>
      <c r="H85" s="1"/>
      <c r="I85" s="1"/>
      <c r="J85" s="1"/>
      <c r="K85" s="1" t="str">
        <f>IF(I85="","",I85*J85)</f>
        <v/>
      </c>
      <c r="L85" s="1"/>
      <c r="M85" s="1"/>
      <c r="N85" s="1"/>
      <c r="O85" s="1"/>
    </row>
    <row r="86" spans="1:15" x14ac:dyDescent="0.15">
      <c r="A86" s="1"/>
      <c r="B86" s="4"/>
      <c r="C86" s="1"/>
      <c r="D86" s="1"/>
      <c r="E86" s="1"/>
      <c r="F86" s="1"/>
      <c r="G86" s="1"/>
      <c r="H86" s="1"/>
      <c r="I86" s="1"/>
      <c r="J86" s="1"/>
      <c r="K86" s="1" t="str">
        <f>IF(I86="","",I86*J86)</f>
        <v/>
      </c>
      <c r="L86" s="1"/>
      <c r="M86" s="1"/>
      <c r="N86" s="1"/>
      <c r="O86" s="1"/>
    </row>
    <row r="87" spans="1:15" x14ac:dyDescent="0.15">
      <c r="A87" s="1"/>
      <c r="B87" s="4"/>
      <c r="C87" s="1"/>
      <c r="D87" s="1"/>
      <c r="E87" s="1"/>
      <c r="F87" s="1"/>
      <c r="G87" s="1"/>
      <c r="H87" s="1"/>
      <c r="I87" s="1"/>
      <c r="J87" s="1"/>
      <c r="K87" s="1" t="str">
        <f>IF(I87="","",I87*J87)</f>
        <v/>
      </c>
      <c r="L87" s="1"/>
      <c r="M87" s="1"/>
      <c r="N87" s="1"/>
      <c r="O87" s="1"/>
    </row>
    <row r="88" spans="1:15" x14ac:dyDescent="0.15">
      <c r="A88" s="1"/>
      <c r="B88" s="4"/>
      <c r="C88" s="1"/>
      <c r="D88" s="1"/>
      <c r="E88" s="1"/>
      <c r="F88" s="1"/>
      <c r="G88" s="1"/>
      <c r="H88" s="1"/>
      <c r="I88" s="1"/>
      <c r="J88" s="1"/>
      <c r="K88" s="1" t="str">
        <f>IF(I88="","",I88*J88)</f>
        <v/>
      </c>
      <c r="L88" s="1"/>
      <c r="M88" s="1"/>
      <c r="N88" s="1"/>
      <c r="O88" s="1"/>
    </row>
    <row r="89" spans="1:15" x14ac:dyDescent="0.15">
      <c r="A89" s="1"/>
      <c r="B89" s="4"/>
      <c r="C89" s="1"/>
      <c r="D89" s="1"/>
      <c r="E89" s="1"/>
      <c r="F89" s="1"/>
      <c r="G89" s="1"/>
      <c r="H89" s="1"/>
      <c r="I89" s="1"/>
      <c r="J89" s="1"/>
      <c r="K89" s="1" t="str">
        <f>IF(I89="","",I89*J89)</f>
        <v/>
      </c>
      <c r="L89" s="1"/>
      <c r="M89" s="1"/>
      <c r="N89" s="1"/>
      <c r="O89" s="1"/>
    </row>
    <row r="90" spans="1:15" x14ac:dyDescent="0.15">
      <c r="A90" s="1"/>
      <c r="B90" s="4"/>
      <c r="C90" s="1"/>
      <c r="D90" s="1"/>
      <c r="E90" s="1"/>
      <c r="F90" s="1"/>
      <c r="G90" s="1"/>
      <c r="H90" s="1"/>
      <c r="I90" s="1"/>
      <c r="J90" s="1"/>
      <c r="K90" s="1" t="str">
        <f>IF(I90="","",I90*J90)</f>
        <v/>
      </c>
      <c r="L90" s="1"/>
      <c r="M90" s="1"/>
      <c r="N90" s="1"/>
      <c r="O90" s="1"/>
    </row>
    <row r="91" spans="1:15" x14ac:dyDescent="0.15">
      <c r="A91" s="1"/>
      <c r="B91" s="4"/>
      <c r="C91" s="1"/>
      <c r="D91" s="1"/>
      <c r="E91" s="1"/>
      <c r="F91" s="1"/>
      <c r="G91" s="1"/>
      <c r="H91" s="1"/>
      <c r="I91" s="1"/>
      <c r="J91" s="1"/>
      <c r="K91" s="1" t="str">
        <f>IF(I91="","",I91*J91)</f>
        <v/>
      </c>
      <c r="L91" s="1"/>
      <c r="M91" s="1"/>
      <c r="N91" s="1"/>
      <c r="O91" s="1"/>
    </row>
    <row r="92" spans="1:15" x14ac:dyDescent="0.15">
      <c r="A92" s="1"/>
      <c r="B92" s="4"/>
      <c r="C92" s="1"/>
      <c r="D92" s="1"/>
      <c r="E92" s="1"/>
      <c r="F92" s="1"/>
      <c r="G92" s="1"/>
      <c r="H92" s="1"/>
      <c r="I92" s="1"/>
      <c r="J92" s="1"/>
      <c r="K92" s="1" t="str">
        <f>IF(I92="","",I92*J92)</f>
        <v/>
      </c>
      <c r="L92" s="1"/>
      <c r="M92" s="1"/>
      <c r="N92" s="1"/>
      <c r="O92" s="1"/>
    </row>
    <row r="93" spans="1:15" x14ac:dyDescent="0.15">
      <c r="A93" s="1"/>
      <c r="B93" s="4"/>
      <c r="C93" s="1"/>
      <c r="D93" s="1"/>
      <c r="E93" s="1"/>
      <c r="F93" s="1"/>
      <c r="G93" s="1"/>
      <c r="H93" s="1"/>
      <c r="I93" s="1"/>
      <c r="J93" s="1"/>
      <c r="K93" s="1" t="str">
        <f>IF(I93="","",I93*J93)</f>
        <v/>
      </c>
      <c r="L93" s="1"/>
      <c r="M93" s="1"/>
      <c r="N93" s="1"/>
      <c r="O93" s="1"/>
    </row>
    <row r="94" spans="1:15" x14ac:dyDescent="0.15">
      <c r="A94" s="1"/>
      <c r="B94" s="4"/>
      <c r="C94" s="1"/>
      <c r="D94" s="1"/>
      <c r="E94" s="1"/>
      <c r="F94" s="1"/>
      <c r="G94" s="1"/>
      <c r="H94" s="1"/>
      <c r="I94" s="1"/>
      <c r="J94" s="1"/>
      <c r="K94" s="1" t="str">
        <f>IF(I94="","",I94*J94)</f>
        <v/>
      </c>
      <c r="L94" s="1"/>
      <c r="M94" s="1"/>
      <c r="N94" s="1"/>
      <c r="O94" s="1"/>
    </row>
    <row r="95" spans="1:15" x14ac:dyDescent="0.15">
      <c r="A95" s="1"/>
      <c r="B95" s="4"/>
      <c r="C95" s="1"/>
      <c r="D95" s="1"/>
      <c r="E95" s="1"/>
      <c r="F95" s="1"/>
      <c r="G95" s="1"/>
      <c r="H95" s="1"/>
      <c r="I95" s="1"/>
      <c r="J95" s="1"/>
      <c r="K95" s="1" t="str">
        <f>IF(I95="","",I95*J95)</f>
        <v/>
      </c>
      <c r="L95" s="1"/>
      <c r="M95" s="1"/>
      <c r="N95" s="1"/>
      <c r="O95" s="1"/>
    </row>
    <row r="96" spans="1:15" x14ac:dyDescent="0.15">
      <c r="A96" s="1"/>
      <c r="B96" s="4"/>
      <c r="C96" s="1"/>
      <c r="D96" s="1"/>
      <c r="E96" s="1"/>
      <c r="F96" s="1"/>
      <c r="G96" s="1"/>
      <c r="H96" s="1"/>
      <c r="I96" s="1"/>
      <c r="J96" s="1"/>
      <c r="K96" s="1" t="str">
        <f>IF(I96="","",I96*J96)</f>
        <v/>
      </c>
      <c r="L96" s="1"/>
      <c r="M96" s="1"/>
      <c r="N96" s="1"/>
      <c r="O96" s="1"/>
    </row>
    <row r="97" spans="1:15" x14ac:dyDescent="0.15">
      <c r="A97" s="1"/>
      <c r="B97" s="4"/>
      <c r="C97" s="1"/>
      <c r="D97" s="1"/>
      <c r="E97" s="1"/>
      <c r="F97" s="1"/>
      <c r="G97" s="1"/>
      <c r="H97" s="1"/>
      <c r="I97" s="1"/>
      <c r="J97" s="1"/>
      <c r="K97" s="1" t="str">
        <f>IF(I97="","",I97*J97)</f>
        <v/>
      </c>
      <c r="L97" s="1"/>
      <c r="M97" s="1"/>
      <c r="N97" s="1"/>
      <c r="O97" s="1"/>
    </row>
    <row r="98" spans="1:15" x14ac:dyDescent="0.15">
      <c r="A98" s="1"/>
      <c r="B98" s="4"/>
      <c r="C98" s="1"/>
      <c r="D98" s="1"/>
      <c r="E98" s="1"/>
      <c r="F98" s="1"/>
      <c r="G98" s="1"/>
      <c r="H98" s="1"/>
      <c r="I98" s="1"/>
      <c r="J98" s="1"/>
      <c r="K98" s="1" t="str">
        <f>IF(I98="","",I98*J98)</f>
        <v/>
      </c>
      <c r="L98" s="1"/>
      <c r="M98" s="1"/>
      <c r="N98" s="1"/>
      <c r="O98" s="1"/>
    </row>
    <row r="99" spans="1:15" x14ac:dyDescent="0.15">
      <c r="A99" s="1"/>
      <c r="B99" s="4"/>
      <c r="C99" s="1"/>
      <c r="D99" s="1"/>
      <c r="E99" s="1"/>
      <c r="F99" s="1"/>
      <c r="G99" s="1"/>
      <c r="H99" s="1"/>
      <c r="I99" s="1"/>
      <c r="J99" s="1"/>
      <c r="K99" s="1" t="str">
        <f>IF(I99="","",I99*J99)</f>
        <v/>
      </c>
      <c r="L99" s="1"/>
      <c r="M99" s="1"/>
      <c r="N99" s="1"/>
      <c r="O99" s="1"/>
    </row>
    <row r="100" spans="1:15" x14ac:dyDescent="0.15">
      <c r="A100" s="1"/>
      <c r="B100" s="4"/>
      <c r="C100" s="1"/>
      <c r="D100" s="1"/>
      <c r="E100" s="1"/>
      <c r="F100" s="1"/>
      <c r="G100" s="1"/>
      <c r="H100" s="1"/>
      <c r="I100" s="1"/>
      <c r="J100" s="1"/>
      <c r="K100" s="1" t="str">
        <f>IF(I100="","",I100*J100)</f>
        <v/>
      </c>
      <c r="L100" s="1"/>
      <c r="M100" s="1"/>
      <c r="N100" s="1"/>
      <c r="O100" s="1"/>
    </row>
    <row r="101" spans="1:15" x14ac:dyDescent="0.15">
      <c r="A101" s="1"/>
      <c r="B101" s="4"/>
      <c r="C101" s="1"/>
      <c r="D101" s="1"/>
      <c r="E101" s="1"/>
      <c r="F101" s="1"/>
      <c r="G101" s="1"/>
      <c r="H101" s="1"/>
      <c r="I101" s="1"/>
      <c r="J101" s="1"/>
      <c r="K101" s="1" t="str">
        <f>IF(I101="","",I101*J101)</f>
        <v/>
      </c>
      <c r="L101" s="1"/>
      <c r="M101" s="1"/>
      <c r="N101" s="1"/>
      <c r="O101" s="1"/>
    </row>
    <row r="102" spans="1:15" x14ac:dyDescent="0.15">
      <c r="A102" s="1"/>
      <c r="B102" s="4"/>
      <c r="C102" s="1"/>
      <c r="D102" s="1"/>
      <c r="E102" s="1"/>
      <c r="F102" s="1"/>
      <c r="G102" s="1"/>
      <c r="H102" s="1"/>
      <c r="I102" s="1"/>
      <c r="J102" s="1"/>
      <c r="K102" s="1" t="str">
        <f>IF(I102="","",I102*J102)</f>
        <v/>
      </c>
      <c r="L102" s="1"/>
      <c r="M102" s="1"/>
      <c r="N102" s="1"/>
      <c r="O102" s="1"/>
    </row>
    <row r="103" spans="1:15" x14ac:dyDescent="0.15">
      <c r="A103" s="1"/>
      <c r="B103" s="4"/>
      <c r="C103" s="1"/>
      <c r="D103" s="1"/>
      <c r="E103" s="1"/>
      <c r="F103" s="1"/>
      <c r="G103" s="1"/>
      <c r="H103" s="1"/>
      <c r="I103" s="1"/>
      <c r="J103" s="1"/>
      <c r="K103" s="1" t="str">
        <f>IF(I103="","",I103*J103)</f>
        <v/>
      </c>
      <c r="L103" s="1"/>
      <c r="M103" s="1"/>
      <c r="N103" s="1"/>
      <c r="O103" s="1"/>
    </row>
    <row r="104" spans="1:15" x14ac:dyDescent="0.15">
      <c r="A104" s="1"/>
      <c r="B104" s="4"/>
      <c r="C104" s="1"/>
      <c r="D104" s="1"/>
      <c r="E104" s="1"/>
      <c r="F104" s="1"/>
      <c r="G104" s="1"/>
      <c r="H104" s="1"/>
      <c r="I104" s="1"/>
      <c r="J104" s="1"/>
      <c r="K104" s="1" t="str">
        <f>IF(I104="","",I104*J104)</f>
        <v/>
      </c>
      <c r="L104" s="1"/>
      <c r="M104" s="1"/>
      <c r="N104" s="1"/>
      <c r="O104" s="1"/>
    </row>
    <row r="105" spans="1:15" x14ac:dyDescent="0.15">
      <c r="A105" s="1"/>
      <c r="B105" s="4"/>
      <c r="C105" s="1"/>
      <c r="D105" s="1"/>
      <c r="E105" s="1"/>
      <c r="F105" s="1"/>
      <c r="G105" s="1"/>
      <c r="H105" s="1"/>
      <c r="I105" s="1"/>
      <c r="J105" s="1"/>
      <c r="K105" s="1" t="str">
        <f>IF(I105="","",I105*J105)</f>
        <v/>
      </c>
      <c r="L105" s="1"/>
      <c r="M105" s="1"/>
      <c r="N105" s="1"/>
      <c r="O105" s="1"/>
    </row>
    <row r="106" spans="1:15" x14ac:dyDescent="0.15">
      <c r="A106" s="1"/>
      <c r="B106" s="4"/>
      <c r="C106" s="1"/>
      <c r="D106" s="1"/>
      <c r="E106" s="1"/>
      <c r="F106" s="1"/>
      <c r="G106" s="1"/>
      <c r="H106" s="1"/>
      <c r="I106" s="1"/>
      <c r="J106" s="1"/>
      <c r="K106" s="1" t="str">
        <f>IF(I106="","",I106*J106)</f>
        <v/>
      </c>
      <c r="L106" s="1"/>
      <c r="M106" s="1"/>
      <c r="N106" s="1"/>
      <c r="O106" s="1"/>
    </row>
    <row r="107" spans="1:15" x14ac:dyDescent="0.15">
      <c r="A107" s="1"/>
      <c r="B107" s="4"/>
      <c r="C107" s="1"/>
      <c r="D107" s="1"/>
      <c r="E107" s="1"/>
      <c r="F107" s="1"/>
      <c r="G107" s="1"/>
      <c r="H107" s="1"/>
      <c r="I107" s="1"/>
      <c r="J107" s="1"/>
      <c r="K107" s="1" t="str">
        <f>IF(I107="","",I107*J107)</f>
        <v/>
      </c>
      <c r="L107" s="1"/>
      <c r="M107" s="1"/>
      <c r="N107" s="1"/>
      <c r="O107" s="1"/>
    </row>
    <row r="108" spans="1:15" x14ac:dyDescent="0.15">
      <c r="A108" s="1"/>
      <c r="B108" s="4"/>
      <c r="C108" s="1"/>
      <c r="D108" s="1"/>
      <c r="E108" s="1"/>
      <c r="F108" s="1"/>
      <c r="G108" s="1"/>
      <c r="H108" s="1"/>
      <c r="I108" s="1"/>
      <c r="J108" s="1"/>
      <c r="K108" s="1" t="str">
        <f>IF(I108="","",I108*J108)</f>
        <v/>
      </c>
      <c r="L108" s="1"/>
      <c r="M108" s="1"/>
      <c r="N108" s="1"/>
      <c r="O108" s="1"/>
    </row>
    <row r="109" spans="1:15" x14ac:dyDescent="0.15">
      <c r="A109" s="1"/>
      <c r="B109" s="4"/>
      <c r="C109" s="1"/>
      <c r="D109" s="1"/>
      <c r="E109" s="1"/>
      <c r="F109" s="1"/>
      <c r="G109" s="1"/>
      <c r="H109" s="1"/>
      <c r="I109" s="1"/>
      <c r="J109" s="1"/>
      <c r="K109" s="1" t="str">
        <f>IF(I109="","",I109*J109)</f>
        <v/>
      </c>
      <c r="L109" s="1"/>
      <c r="M109" s="1"/>
      <c r="N109" s="1"/>
      <c r="O109" s="1"/>
    </row>
    <row r="110" spans="1:15" x14ac:dyDescent="0.15">
      <c r="A110" s="1"/>
      <c r="B110" s="4"/>
      <c r="C110" s="1"/>
      <c r="D110" s="1"/>
      <c r="E110" s="1"/>
      <c r="F110" s="1"/>
      <c r="G110" s="1"/>
      <c r="H110" s="1"/>
      <c r="I110" s="1"/>
      <c r="J110" s="1"/>
      <c r="K110" s="1" t="str">
        <f>IF(I110="","",I110*J110)</f>
        <v/>
      </c>
      <c r="L110" s="1"/>
      <c r="M110" s="1"/>
      <c r="N110" s="1"/>
      <c r="O110" s="1"/>
    </row>
    <row r="111" spans="1:15" x14ac:dyDescent="0.15">
      <c r="A111" s="1"/>
      <c r="B111" s="4"/>
      <c r="C111" s="1"/>
      <c r="D111" s="1"/>
      <c r="E111" s="1"/>
      <c r="F111" s="1"/>
      <c r="G111" s="1"/>
      <c r="H111" s="1"/>
      <c r="I111" s="1"/>
      <c r="J111" s="1"/>
      <c r="K111" s="1" t="str">
        <f>IF(I111="","",I111*J111)</f>
        <v/>
      </c>
      <c r="L111" s="1"/>
      <c r="M111" s="1"/>
      <c r="N111" s="1"/>
      <c r="O111" s="1"/>
    </row>
    <row r="112" spans="1:15" x14ac:dyDescent="0.15">
      <c r="A112" s="1"/>
      <c r="B112" s="4"/>
      <c r="C112" s="1"/>
      <c r="D112" s="1"/>
      <c r="E112" s="1"/>
      <c r="F112" s="1"/>
      <c r="G112" s="1"/>
      <c r="H112" s="1"/>
      <c r="I112" s="1"/>
      <c r="J112" s="1"/>
      <c r="K112" s="1" t="str">
        <f>IF(I112="","",I112*J112)</f>
        <v/>
      </c>
      <c r="L112" s="1"/>
      <c r="M112" s="1"/>
      <c r="N112" s="1"/>
      <c r="O112" s="1"/>
    </row>
    <row r="113" spans="1:15" x14ac:dyDescent="0.15">
      <c r="A113" s="1"/>
      <c r="B113" s="4"/>
      <c r="C113" s="1"/>
      <c r="D113" s="1"/>
      <c r="E113" s="1"/>
      <c r="F113" s="1"/>
      <c r="G113" s="1"/>
      <c r="H113" s="1"/>
      <c r="I113" s="1"/>
      <c r="J113" s="1"/>
      <c r="K113" s="1" t="str">
        <f>IF(I113="","",I113*J113)</f>
        <v/>
      </c>
      <c r="L113" s="1"/>
      <c r="M113" s="1"/>
      <c r="N113" s="1"/>
      <c r="O113" s="1"/>
    </row>
    <row r="114" spans="1:15" x14ac:dyDescent="0.15">
      <c r="A114" s="1"/>
      <c r="B114" s="4"/>
      <c r="C114" s="1"/>
      <c r="D114" s="1"/>
      <c r="E114" s="1"/>
      <c r="F114" s="1"/>
      <c r="G114" s="1"/>
      <c r="H114" s="1"/>
      <c r="I114" s="1"/>
      <c r="J114" s="1"/>
      <c r="K114" s="1" t="str">
        <f>IF(I114="","",I114*J114)</f>
        <v/>
      </c>
      <c r="L114" s="1"/>
      <c r="M114" s="1"/>
      <c r="N114" s="1"/>
      <c r="O114" s="1"/>
    </row>
    <row r="115" spans="1:15" x14ac:dyDescent="0.15">
      <c r="A115" s="1"/>
      <c r="B115" s="4"/>
      <c r="C115" s="1"/>
      <c r="D115" s="1"/>
      <c r="E115" s="1"/>
      <c r="F115" s="1"/>
      <c r="G115" s="1"/>
      <c r="H115" s="1"/>
      <c r="I115" s="1"/>
      <c r="J115" s="1"/>
      <c r="K115" s="1" t="str">
        <f>IF(I115="","",I115*J115)</f>
        <v/>
      </c>
      <c r="L115" s="1"/>
      <c r="M115" s="1"/>
      <c r="N115" s="1"/>
      <c r="O115" s="1"/>
    </row>
    <row r="116" spans="1:15" x14ac:dyDescent="0.15">
      <c r="A116" s="1"/>
      <c r="B116" s="4"/>
      <c r="C116" s="1"/>
      <c r="D116" s="1"/>
      <c r="E116" s="1"/>
      <c r="F116" s="1"/>
      <c r="G116" s="1"/>
      <c r="H116" s="1"/>
      <c r="I116" s="1"/>
      <c r="J116" s="1"/>
      <c r="K116" s="1" t="str">
        <f>IF(I116="","",I116*J116)</f>
        <v/>
      </c>
      <c r="L116" s="1"/>
      <c r="M116" s="1"/>
      <c r="N116" s="1"/>
      <c r="O116" s="1"/>
    </row>
    <row r="117" spans="1:15" x14ac:dyDescent="0.15">
      <c r="A117" s="1"/>
      <c r="B117" s="4"/>
      <c r="C117" s="1"/>
      <c r="D117" s="1"/>
      <c r="E117" s="1"/>
      <c r="F117" s="1"/>
      <c r="G117" s="1"/>
      <c r="H117" s="1"/>
      <c r="I117" s="1"/>
      <c r="J117" s="1"/>
      <c r="K117" s="1" t="str">
        <f>IF(I117="","",I117*J117)</f>
        <v/>
      </c>
      <c r="L117" s="1"/>
      <c r="M117" s="1"/>
      <c r="N117" s="1"/>
      <c r="O117" s="1"/>
    </row>
    <row r="118" spans="1:15" x14ac:dyDescent="0.15">
      <c r="A118" s="1"/>
      <c r="B118" s="4"/>
      <c r="C118" s="1"/>
      <c r="D118" s="1"/>
      <c r="E118" s="1"/>
      <c r="F118" s="1"/>
      <c r="G118" s="1"/>
      <c r="H118" s="1"/>
      <c r="I118" s="1"/>
      <c r="J118" s="1"/>
      <c r="K118" s="1" t="str">
        <f>IF(I118="","",I118*J118)</f>
        <v/>
      </c>
      <c r="L118" s="1"/>
      <c r="M118" s="1"/>
      <c r="N118" s="1"/>
      <c r="O118" s="1"/>
    </row>
    <row r="119" spans="1:15" x14ac:dyDescent="0.15">
      <c r="A119" s="1"/>
      <c r="B119" s="4"/>
      <c r="C119" s="1"/>
      <c r="D119" s="1"/>
      <c r="E119" s="1"/>
      <c r="F119" s="1"/>
      <c r="G119" s="1"/>
      <c r="H119" s="1"/>
      <c r="I119" s="1"/>
      <c r="J119" s="1"/>
      <c r="K119" s="1" t="str">
        <f>IF(I119="","",I119*J119)</f>
        <v/>
      </c>
      <c r="L119" s="1"/>
      <c r="M119" s="1"/>
      <c r="N119" s="1"/>
      <c r="O119" s="1"/>
    </row>
    <row r="120" spans="1:15" x14ac:dyDescent="0.15">
      <c r="A120" s="1"/>
      <c r="B120" s="4"/>
      <c r="C120" s="1"/>
      <c r="D120" s="1"/>
      <c r="E120" s="1"/>
      <c r="F120" s="1"/>
      <c r="G120" s="1"/>
      <c r="H120" s="1"/>
      <c r="I120" s="1"/>
      <c r="J120" s="1"/>
      <c r="K120" s="1" t="str">
        <f>IF(I120="","",I120*J120)</f>
        <v/>
      </c>
      <c r="L120" s="1"/>
      <c r="M120" s="1"/>
      <c r="N120" s="1"/>
      <c r="O120" s="1"/>
    </row>
    <row r="121" spans="1:15" x14ac:dyDescent="0.15">
      <c r="A121" s="1"/>
      <c r="B121" s="4"/>
      <c r="C121" s="1"/>
      <c r="D121" s="1"/>
      <c r="E121" s="1"/>
      <c r="F121" s="1"/>
      <c r="G121" s="1"/>
      <c r="H121" s="1"/>
      <c r="I121" s="1"/>
      <c r="J121" s="1"/>
      <c r="K121" s="1" t="str">
        <f>IF(I121="","",I121*J121)</f>
        <v/>
      </c>
      <c r="L121" s="1"/>
      <c r="M121" s="1"/>
      <c r="N121" s="1"/>
      <c r="O121" s="1"/>
    </row>
    <row r="122" spans="1:15" x14ac:dyDescent="0.15">
      <c r="A122" s="1"/>
      <c r="B122" s="4"/>
      <c r="C122" s="1"/>
      <c r="D122" s="1"/>
      <c r="E122" s="1"/>
      <c r="F122" s="1"/>
      <c r="G122" s="1"/>
      <c r="H122" s="1"/>
      <c r="I122" s="1"/>
      <c r="J122" s="1"/>
      <c r="K122" s="1" t="str">
        <f>IF(I122="","",I122*J122)</f>
        <v/>
      </c>
      <c r="L122" s="1"/>
      <c r="M122" s="1"/>
      <c r="N122" s="1"/>
      <c r="O122" s="1"/>
    </row>
    <row r="123" spans="1:15" x14ac:dyDescent="0.15">
      <c r="A123" s="1"/>
      <c r="B123" s="4"/>
      <c r="C123" s="1"/>
      <c r="D123" s="1"/>
      <c r="E123" s="1"/>
      <c r="F123" s="1"/>
      <c r="G123" s="1"/>
      <c r="H123" s="1"/>
      <c r="I123" s="1"/>
      <c r="J123" s="1"/>
      <c r="K123" s="1" t="str">
        <f>IF(I123="","",I123*J123)</f>
        <v/>
      </c>
      <c r="L123" s="1"/>
      <c r="M123" s="1"/>
      <c r="N123" s="1"/>
      <c r="O123" s="1"/>
    </row>
    <row r="124" spans="1:15" x14ac:dyDescent="0.15">
      <c r="A124" s="1"/>
      <c r="B124" s="4"/>
      <c r="C124" s="1"/>
      <c r="D124" s="1"/>
      <c r="E124" s="1"/>
      <c r="F124" s="1"/>
      <c r="G124" s="1"/>
      <c r="H124" s="1"/>
      <c r="I124" s="1"/>
      <c r="J124" s="1"/>
      <c r="K124" s="1" t="str">
        <f>IF(I124="","",I124*J124)</f>
        <v/>
      </c>
      <c r="L124" s="1"/>
      <c r="M124" s="1"/>
      <c r="N124" s="1"/>
      <c r="O124" s="1"/>
    </row>
    <row r="125" spans="1:15" x14ac:dyDescent="0.15">
      <c r="A125" s="1"/>
      <c r="B125" s="4"/>
      <c r="C125" s="1"/>
      <c r="D125" s="1"/>
      <c r="E125" s="1"/>
      <c r="F125" s="1"/>
      <c r="G125" s="1"/>
      <c r="H125" s="1"/>
      <c r="I125" s="1"/>
      <c r="J125" s="1"/>
      <c r="K125" s="1" t="str">
        <f>IF(I125="","",I125*J125)</f>
        <v/>
      </c>
      <c r="L125" s="1"/>
      <c r="M125" s="1"/>
      <c r="N125" s="1"/>
      <c r="O125" s="1"/>
    </row>
    <row r="126" spans="1:15" x14ac:dyDescent="0.15">
      <c r="A126" s="1"/>
      <c r="B126" s="4"/>
      <c r="C126" s="1"/>
      <c r="D126" s="1"/>
      <c r="E126" s="1"/>
      <c r="F126" s="1"/>
      <c r="G126" s="1"/>
      <c r="H126" s="1"/>
      <c r="I126" s="1"/>
      <c r="J126" s="1"/>
      <c r="K126" s="1" t="str">
        <f>IF(I126="","",I126*J126)</f>
        <v/>
      </c>
      <c r="L126" s="1"/>
      <c r="M126" s="1"/>
      <c r="N126" s="1"/>
      <c r="O126" s="1"/>
    </row>
    <row r="127" spans="1:15" x14ac:dyDescent="0.15">
      <c r="A127" s="1"/>
      <c r="B127" s="4"/>
      <c r="C127" s="1"/>
      <c r="D127" s="1"/>
      <c r="E127" s="1"/>
      <c r="F127" s="1"/>
      <c r="G127" s="1"/>
      <c r="H127" s="1"/>
      <c r="I127" s="1"/>
      <c r="J127" s="1"/>
      <c r="K127" s="1" t="str">
        <f>IF(I127="","",I127*J127)</f>
        <v/>
      </c>
      <c r="L127" s="1"/>
      <c r="M127" s="1"/>
      <c r="N127" s="1"/>
      <c r="O127" s="1"/>
    </row>
    <row r="128" spans="1:15" x14ac:dyDescent="0.15">
      <c r="A128" s="1"/>
      <c r="B128" s="4"/>
      <c r="C128" s="1"/>
      <c r="D128" s="1"/>
      <c r="E128" s="1"/>
      <c r="F128" s="1"/>
      <c r="G128" s="1"/>
      <c r="H128" s="1"/>
      <c r="I128" s="1"/>
      <c r="J128" s="1"/>
      <c r="K128" s="1" t="str">
        <f>IF(I128="","",I128*J128)</f>
        <v/>
      </c>
      <c r="L128" s="1"/>
      <c r="M128" s="1"/>
      <c r="N128" s="1"/>
      <c r="O128" s="1"/>
    </row>
    <row r="129" spans="1:15" x14ac:dyDescent="0.15">
      <c r="A129" s="1"/>
      <c r="B129" s="4"/>
      <c r="C129" s="1"/>
      <c r="D129" s="1"/>
      <c r="E129" s="1"/>
      <c r="F129" s="1"/>
      <c r="G129" s="1"/>
      <c r="H129" s="1"/>
      <c r="I129" s="1"/>
      <c r="J129" s="1"/>
      <c r="K129" s="1" t="str">
        <f>IF(I129="","",I129*J129)</f>
        <v/>
      </c>
      <c r="L129" s="1"/>
      <c r="M129" s="1"/>
      <c r="N129" s="1"/>
      <c r="O129" s="1"/>
    </row>
    <row r="130" spans="1:15" x14ac:dyDescent="0.15">
      <c r="A130" s="1"/>
      <c r="B130" s="4"/>
      <c r="C130" s="1"/>
      <c r="D130" s="1"/>
      <c r="E130" s="1"/>
      <c r="F130" s="1"/>
      <c r="G130" s="1"/>
      <c r="H130" s="1"/>
      <c r="I130" s="1"/>
      <c r="J130" s="1"/>
      <c r="K130" s="1" t="str">
        <f>IF(I130="","",I130*J130)</f>
        <v/>
      </c>
      <c r="L130" s="1"/>
      <c r="M130" s="1"/>
      <c r="N130" s="1"/>
      <c r="O130" s="1"/>
    </row>
    <row r="131" spans="1:15" x14ac:dyDescent="0.15">
      <c r="A131" s="1"/>
      <c r="B131" s="4"/>
      <c r="C131" s="1"/>
      <c r="D131" s="1"/>
      <c r="E131" s="1"/>
      <c r="F131" s="1"/>
      <c r="G131" s="1"/>
      <c r="H131" s="1"/>
      <c r="I131" s="1"/>
      <c r="J131" s="1"/>
      <c r="K131" s="1" t="str">
        <f>IF(I131="","",I131*J131)</f>
        <v/>
      </c>
      <c r="L131" s="1"/>
      <c r="M131" s="1"/>
      <c r="N131" s="1"/>
      <c r="O131" s="1"/>
    </row>
    <row r="132" spans="1:15" x14ac:dyDescent="0.15">
      <c r="A132" s="1"/>
      <c r="B132" s="4"/>
      <c r="C132" s="1"/>
      <c r="D132" s="1"/>
      <c r="E132" s="1"/>
      <c r="F132" s="1"/>
      <c r="G132" s="1"/>
      <c r="H132" s="1"/>
      <c r="I132" s="1"/>
      <c r="J132" s="1"/>
      <c r="K132" s="1" t="str">
        <f>IF(I132="","",I132*J132)</f>
        <v/>
      </c>
      <c r="L132" s="1"/>
      <c r="M132" s="1"/>
      <c r="N132" s="1"/>
      <c r="O132" s="1"/>
    </row>
    <row r="133" spans="1:15" x14ac:dyDescent="0.15">
      <c r="A133" s="1"/>
      <c r="B133" s="4"/>
      <c r="C133" s="1"/>
      <c r="D133" s="1"/>
      <c r="E133" s="1"/>
      <c r="F133" s="1"/>
      <c r="G133" s="1"/>
      <c r="H133" s="1"/>
      <c r="I133" s="1"/>
      <c r="J133" s="1"/>
      <c r="K133" s="1" t="str">
        <f>IF(I133="","",I133*J133)</f>
        <v/>
      </c>
      <c r="L133" s="1"/>
      <c r="M133" s="1"/>
      <c r="N133" s="1"/>
      <c r="O133" s="1"/>
    </row>
    <row r="134" spans="1:15" x14ac:dyDescent="0.15">
      <c r="A134" s="1"/>
      <c r="B134" s="4"/>
      <c r="C134" s="1"/>
      <c r="D134" s="1"/>
      <c r="E134" s="1"/>
      <c r="F134" s="1"/>
      <c r="G134" s="1"/>
      <c r="H134" s="1"/>
      <c r="I134" s="1"/>
      <c r="J134" s="1"/>
      <c r="K134" s="1" t="str">
        <f>IF(I134="","",I134*J134)</f>
        <v/>
      </c>
      <c r="L134" s="1"/>
      <c r="M134" s="1"/>
      <c r="N134" s="1"/>
      <c r="O134" s="1"/>
    </row>
    <row r="135" spans="1:15" x14ac:dyDescent="0.15">
      <c r="A135" s="1"/>
      <c r="B135" s="4"/>
      <c r="C135" s="1"/>
      <c r="D135" s="1"/>
      <c r="E135" s="1"/>
      <c r="F135" s="1"/>
      <c r="G135" s="1"/>
      <c r="H135" s="1"/>
      <c r="I135" s="1"/>
      <c r="J135" s="1"/>
      <c r="K135" s="1" t="str">
        <f>IF(I135="","",I135*J135)</f>
        <v/>
      </c>
      <c r="L135" s="1"/>
      <c r="M135" s="1"/>
      <c r="N135" s="1"/>
      <c r="O135" s="1"/>
    </row>
    <row r="136" spans="1:15" x14ac:dyDescent="0.15">
      <c r="A136" s="1"/>
      <c r="B136" s="4"/>
      <c r="C136" s="1"/>
      <c r="D136" s="1"/>
      <c r="E136" s="1"/>
      <c r="F136" s="1"/>
      <c r="G136" s="1"/>
      <c r="H136" s="1"/>
      <c r="I136" s="1"/>
      <c r="J136" s="1"/>
      <c r="K136" s="1" t="str">
        <f>IF(I136="","",I136*J136)</f>
        <v/>
      </c>
      <c r="L136" s="1"/>
      <c r="M136" s="1"/>
      <c r="N136" s="1"/>
      <c r="O136" s="1"/>
    </row>
    <row r="137" spans="1:15" x14ac:dyDescent="0.15">
      <c r="A137" s="1"/>
      <c r="B137" s="4"/>
      <c r="C137" s="1"/>
      <c r="D137" s="1"/>
      <c r="E137" s="1"/>
      <c r="F137" s="1"/>
      <c r="G137" s="1"/>
      <c r="H137" s="1"/>
      <c r="I137" s="1"/>
      <c r="J137" s="1"/>
      <c r="K137" s="1" t="str">
        <f>IF(I137="","",I137*J137)</f>
        <v/>
      </c>
      <c r="L137" s="1"/>
      <c r="M137" s="1"/>
      <c r="N137" s="1"/>
      <c r="O137" s="1"/>
    </row>
    <row r="138" spans="1:15" x14ac:dyDescent="0.15">
      <c r="A138" s="1"/>
      <c r="B138" s="4"/>
      <c r="C138" s="1"/>
      <c r="D138" s="1"/>
      <c r="E138" s="1"/>
      <c r="F138" s="1"/>
      <c r="G138" s="1"/>
      <c r="H138" s="1"/>
      <c r="I138" s="1"/>
      <c r="J138" s="1"/>
      <c r="K138" s="1" t="str">
        <f>IF(I138="","",I138*J138)</f>
        <v/>
      </c>
      <c r="L138" s="1"/>
      <c r="M138" s="1"/>
      <c r="N138" s="1"/>
      <c r="O138" s="1"/>
    </row>
    <row r="139" spans="1:15" x14ac:dyDescent="0.15">
      <c r="A139" s="1"/>
      <c r="B139" s="4"/>
      <c r="C139" s="1"/>
      <c r="D139" s="1"/>
      <c r="E139" s="1"/>
      <c r="F139" s="1"/>
      <c r="G139" s="1"/>
      <c r="H139" s="1"/>
      <c r="I139" s="1"/>
      <c r="J139" s="1"/>
      <c r="K139" s="1" t="str">
        <f>IF(I139="","",I139*J139)</f>
        <v/>
      </c>
      <c r="L139" s="1"/>
      <c r="M139" s="1"/>
      <c r="N139" s="1"/>
      <c r="O139" s="1"/>
    </row>
    <row r="140" spans="1:15" x14ac:dyDescent="0.15">
      <c r="A140" s="1"/>
      <c r="B140" s="4"/>
      <c r="C140" s="1"/>
      <c r="D140" s="1"/>
      <c r="E140" s="1"/>
      <c r="F140" s="1"/>
      <c r="G140" s="1"/>
      <c r="H140" s="1"/>
      <c r="I140" s="1"/>
      <c r="J140" s="1"/>
      <c r="K140" s="1" t="str">
        <f>IF(I140="","",I140*J140)</f>
        <v/>
      </c>
      <c r="L140" s="1"/>
      <c r="M140" s="1"/>
      <c r="N140" s="1"/>
      <c r="O140" s="1"/>
    </row>
    <row r="141" spans="1:15" x14ac:dyDescent="0.15">
      <c r="A141" s="1"/>
      <c r="B141" s="4"/>
      <c r="C141" s="1"/>
      <c r="D141" s="1"/>
      <c r="E141" s="1"/>
      <c r="F141" s="1"/>
      <c r="G141" s="1"/>
      <c r="H141" s="1"/>
      <c r="I141" s="1"/>
      <c r="J141" s="1"/>
      <c r="K141" s="1" t="str">
        <f>IF(I141="","",I141*J141)</f>
        <v/>
      </c>
      <c r="L141" s="1"/>
      <c r="M141" s="1"/>
      <c r="N141" s="1"/>
      <c r="O141" s="1"/>
    </row>
    <row r="142" spans="1:15" x14ac:dyDescent="0.15">
      <c r="A142" s="1"/>
      <c r="B142" s="4"/>
      <c r="C142" s="1"/>
      <c r="D142" s="1"/>
      <c r="E142" s="1"/>
      <c r="F142" s="1"/>
      <c r="G142" s="1"/>
      <c r="H142" s="1"/>
      <c r="I142" s="1"/>
      <c r="J142" s="1"/>
      <c r="K142" s="1" t="str">
        <f>IF(I142="","",I142*J142)</f>
        <v/>
      </c>
      <c r="L142" s="1"/>
      <c r="M142" s="1"/>
      <c r="N142" s="1"/>
      <c r="O142" s="1"/>
    </row>
    <row r="143" spans="1:15" x14ac:dyDescent="0.15">
      <c r="A143" s="1"/>
      <c r="B143" s="4"/>
      <c r="C143" s="1"/>
      <c r="D143" s="1"/>
      <c r="E143" s="1"/>
      <c r="F143" s="1"/>
      <c r="G143" s="1"/>
      <c r="H143" s="1"/>
      <c r="I143" s="1"/>
      <c r="J143" s="1"/>
      <c r="K143" s="1" t="str">
        <f>IF(I143="","",I143*J143)</f>
        <v/>
      </c>
      <c r="L143" s="1"/>
      <c r="M143" s="1"/>
      <c r="N143" s="1"/>
      <c r="O143" s="1"/>
    </row>
    <row r="144" spans="1:15" x14ac:dyDescent="0.15">
      <c r="A144" s="1"/>
      <c r="B144" s="4"/>
      <c r="C144" s="1"/>
      <c r="D144" s="1"/>
      <c r="E144" s="1"/>
      <c r="F144" s="1"/>
      <c r="G144" s="1"/>
      <c r="H144" s="1"/>
      <c r="I144" s="1"/>
      <c r="J144" s="1"/>
      <c r="K144" s="1" t="str">
        <f>IF(I144="","",I144*J144)</f>
        <v/>
      </c>
      <c r="L144" s="1"/>
      <c r="M144" s="1"/>
      <c r="N144" s="1"/>
      <c r="O144" s="1"/>
    </row>
    <row r="145" spans="1:15" x14ac:dyDescent="0.15">
      <c r="A145" s="1"/>
      <c r="B145" s="4"/>
      <c r="C145" s="1"/>
      <c r="D145" s="1"/>
      <c r="E145" s="1"/>
      <c r="F145" s="1"/>
      <c r="G145" s="1"/>
      <c r="H145" s="1"/>
      <c r="I145" s="1"/>
      <c r="J145" s="1"/>
      <c r="K145" s="1" t="str">
        <f>IF(I145="","",I145*J145)</f>
        <v/>
      </c>
      <c r="L145" s="1"/>
      <c r="M145" s="1"/>
      <c r="N145" s="1"/>
      <c r="O145" s="1"/>
    </row>
    <row r="146" spans="1:15" x14ac:dyDescent="0.15">
      <c r="A146" s="1"/>
      <c r="B146" s="4"/>
      <c r="C146" s="1"/>
      <c r="D146" s="1"/>
      <c r="E146" s="1"/>
      <c r="F146" s="1"/>
      <c r="G146" s="1"/>
      <c r="H146" s="1"/>
      <c r="I146" s="1"/>
      <c r="J146" s="1"/>
      <c r="K146" s="1" t="str">
        <f>IF(I146="","",I146*J146)</f>
        <v/>
      </c>
      <c r="L146" s="1"/>
      <c r="M146" s="1"/>
      <c r="N146" s="1"/>
      <c r="O146" s="1"/>
    </row>
    <row r="147" spans="1:15" x14ac:dyDescent="0.15">
      <c r="A147" s="1"/>
      <c r="B147" s="4"/>
      <c r="C147" s="1"/>
      <c r="D147" s="1"/>
      <c r="E147" s="1"/>
      <c r="F147" s="1"/>
      <c r="G147" s="1"/>
      <c r="H147" s="1"/>
      <c r="I147" s="1"/>
      <c r="J147" s="1"/>
      <c r="K147" s="1" t="str">
        <f>IF(I147="","",I147*J147)</f>
        <v/>
      </c>
      <c r="L147" s="1"/>
      <c r="M147" s="1"/>
      <c r="N147" s="1"/>
      <c r="O147" s="1"/>
    </row>
    <row r="148" spans="1:15" x14ac:dyDescent="0.15">
      <c r="A148" s="1"/>
      <c r="B148" s="4"/>
      <c r="C148" s="1"/>
      <c r="D148" s="1"/>
      <c r="E148" s="1"/>
      <c r="F148" s="1"/>
      <c r="G148" s="1"/>
      <c r="H148" s="1"/>
      <c r="I148" s="1"/>
      <c r="J148" s="1"/>
      <c r="K148" s="1" t="str">
        <f>IF(I148="","",I148*J148)</f>
        <v/>
      </c>
      <c r="L148" s="1"/>
      <c r="M148" s="1"/>
      <c r="N148" s="1"/>
      <c r="O148" s="1"/>
    </row>
    <row r="149" spans="1:15" x14ac:dyDescent="0.15">
      <c r="A149" s="1"/>
      <c r="B149" s="4"/>
      <c r="C149" s="1"/>
      <c r="D149" s="1"/>
      <c r="E149" s="1"/>
      <c r="F149" s="1"/>
      <c r="G149" s="1"/>
      <c r="H149" s="1"/>
      <c r="I149" s="1"/>
      <c r="J149" s="1"/>
      <c r="K149" s="1" t="str">
        <f>IF(I149="","",I149*J149)</f>
        <v/>
      </c>
      <c r="L149" s="1"/>
      <c r="M149" s="1"/>
      <c r="N149" s="1"/>
      <c r="O149" s="1"/>
    </row>
    <row r="150" spans="1:15" x14ac:dyDescent="0.15">
      <c r="A150" s="1"/>
      <c r="B150" s="4"/>
      <c r="C150" s="1"/>
      <c r="D150" s="1"/>
      <c r="E150" s="1"/>
      <c r="F150" s="1"/>
      <c r="G150" s="1"/>
      <c r="H150" s="1"/>
      <c r="I150" s="1"/>
      <c r="J150" s="1"/>
      <c r="K150" s="1" t="str">
        <f>IF(I150="","",I150*J150)</f>
        <v/>
      </c>
      <c r="L150" s="1"/>
      <c r="M150" s="1"/>
      <c r="N150" s="1"/>
      <c r="O150" s="1"/>
    </row>
    <row r="151" spans="1:15" x14ac:dyDescent="0.15">
      <c r="A151" s="1"/>
      <c r="B151" s="4"/>
      <c r="C151" s="1"/>
      <c r="D151" s="1"/>
      <c r="E151" s="1"/>
      <c r="F151" s="1"/>
      <c r="G151" s="1"/>
      <c r="H151" s="1"/>
      <c r="I151" s="1"/>
      <c r="J151" s="1"/>
      <c r="K151" s="1" t="str">
        <f>IF(I151="","",I151*J151)</f>
        <v/>
      </c>
      <c r="L151" s="1"/>
      <c r="M151" s="1"/>
      <c r="N151" s="1"/>
      <c r="O151" s="1"/>
    </row>
    <row r="152" spans="1:15" x14ac:dyDescent="0.15">
      <c r="A152" s="1"/>
      <c r="B152" s="4"/>
      <c r="C152" s="1"/>
      <c r="D152" s="1"/>
      <c r="E152" s="1"/>
      <c r="F152" s="1"/>
      <c r="G152" s="1"/>
      <c r="H152" s="1"/>
      <c r="I152" s="1"/>
      <c r="J152" s="1"/>
      <c r="K152" s="1" t="str">
        <f>IF(I152="","",I152*J152)</f>
        <v/>
      </c>
      <c r="L152" s="1"/>
      <c r="M152" s="1"/>
      <c r="N152" s="1"/>
      <c r="O152" s="1"/>
    </row>
    <row r="153" spans="1:15" x14ac:dyDescent="0.15">
      <c r="A153" s="1"/>
      <c r="B153" s="4"/>
      <c r="C153" s="1"/>
      <c r="D153" s="1"/>
      <c r="E153" s="1"/>
      <c r="F153" s="1"/>
      <c r="G153" s="1"/>
      <c r="H153" s="1"/>
      <c r="I153" s="1"/>
      <c r="J153" s="1"/>
      <c r="K153" s="1" t="str">
        <f>IF(I153="","",I153*J153)</f>
        <v/>
      </c>
      <c r="L153" s="1"/>
      <c r="M153" s="1"/>
      <c r="N153" s="1"/>
      <c r="O153" s="1"/>
    </row>
    <row r="154" spans="1:15" x14ac:dyDescent="0.15">
      <c r="A154" s="1"/>
      <c r="B154" s="4"/>
      <c r="C154" s="1"/>
      <c r="D154" s="1"/>
      <c r="E154" s="1"/>
      <c r="F154" s="1"/>
      <c r="G154" s="1"/>
      <c r="H154" s="1"/>
      <c r="I154" s="1"/>
      <c r="J154" s="1"/>
      <c r="K154" s="1" t="str">
        <f>IF(I154="","",I154*J154)</f>
        <v/>
      </c>
      <c r="L154" s="1"/>
      <c r="M154" s="1"/>
      <c r="N154" s="1"/>
      <c r="O154" s="1"/>
    </row>
    <row r="155" spans="1:15" x14ac:dyDescent="0.15">
      <c r="A155" s="1"/>
      <c r="B155" s="4"/>
      <c r="C155" s="1"/>
      <c r="D155" s="1"/>
      <c r="E155" s="1"/>
      <c r="F155" s="1"/>
      <c r="G155" s="1"/>
      <c r="H155" s="1"/>
      <c r="I155" s="1"/>
      <c r="J155" s="1"/>
      <c r="K155" s="1" t="str">
        <f>IF(I155="","",I155*J155)</f>
        <v/>
      </c>
      <c r="L155" s="1"/>
      <c r="M155" s="1"/>
      <c r="N155" s="1"/>
      <c r="O155" s="1"/>
    </row>
    <row r="156" spans="1:15" x14ac:dyDescent="0.15">
      <c r="A156" s="1"/>
      <c r="B156" s="4"/>
      <c r="C156" s="1"/>
      <c r="D156" s="1"/>
      <c r="E156" s="1"/>
      <c r="F156" s="1"/>
      <c r="G156" s="1"/>
      <c r="H156" s="1"/>
      <c r="I156" s="1"/>
      <c r="J156" s="1"/>
      <c r="K156" s="1" t="str">
        <f>IF(I156="","",I156*J156)</f>
        <v/>
      </c>
      <c r="L156" s="1"/>
      <c r="M156" s="1"/>
      <c r="N156" s="1"/>
      <c r="O156" s="1"/>
    </row>
    <row r="157" spans="1:15" x14ac:dyDescent="0.15">
      <c r="A157" s="1"/>
      <c r="B157" s="4"/>
      <c r="C157" s="1"/>
      <c r="D157" s="1"/>
      <c r="E157" s="1"/>
      <c r="F157" s="1"/>
      <c r="G157" s="1"/>
      <c r="H157" s="1"/>
      <c r="I157" s="1"/>
      <c r="J157" s="1"/>
      <c r="K157" s="1" t="str">
        <f>IF(I157="","",I157*J157)</f>
        <v/>
      </c>
      <c r="L157" s="1"/>
      <c r="M157" s="1"/>
      <c r="N157" s="1"/>
      <c r="O157" s="1"/>
    </row>
    <row r="158" spans="1:15" x14ac:dyDescent="0.15">
      <c r="A158" s="1"/>
      <c r="B158" s="4"/>
      <c r="C158" s="1"/>
      <c r="D158" s="1"/>
      <c r="E158" s="1"/>
      <c r="F158" s="1"/>
      <c r="G158" s="1"/>
      <c r="H158" s="1"/>
      <c r="I158" s="1"/>
      <c r="J158" s="1"/>
      <c r="K158" s="1" t="str">
        <f>IF(I158="","",I158*J158)</f>
        <v/>
      </c>
      <c r="L158" s="1"/>
      <c r="M158" s="1"/>
      <c r="N158" s="1"/>
      <c r="O158" s="1"/>
    </row>
    <row r="159" spans="1:15" x14ac:dyDescent="0.15">
      <c r="A159" s="1"/>
      <c r="B159" s="4"/>
      <c r="C159" s="1"/>
      <c r="D159" s="1"/>
      <c r="E159" s="1"/>
      <c r="F159" s="1"/>
      <c r="G159" s="1"/>
      <c r="H159" s="1"/>
      <c r="I159" s="1"/>
      <c r="J159" s="1"/>
      <c r="K159" s="1" t="str">
        <f>IF(I159="","",I159*J159)</f>
        <v/>
      </c>
      <c r="L159" s="1"/>
      <c r="M159" s="1"/>
      <c r="N159" s="1"/>
      <c r="O159" s="1"/>
    </row>
    <row r="160" spans="1:15" x14ac:dyDescent="0.15">
      <c r="A160" s="1"/>
      <c r="B160" s="4"/>
      <c r="C160" s="1"/>
      <c r="D160" s="1"/>
      <c r="E160" s="1"/>
      <c r="F160" s="1"/>
      <c r="G160" s="1"/>
      <c r="H160" s="1"/>
      <c r="I160" s="1"/>
      <c r="J160" s="1"/>
      <c r="K160" s="1" t="str">
        <f>IF(I160="","",I160*J160)</f>
        <v/>
      </c>
      <c r="L160" s="1"/>
      <c r="M160" s="1"/>
      <c r="N160" s="1"/>
      <c r="O160" s="1"/>
    </row>
    <row r="161" spans="1:15" x14ac:dyDescent="0.15">
      <c r="A161" s="1"/>
      <c r="B161" s="4"/>
      <c r="C161" s="1"/>
      <c r="D161" s="1"/>
      <c r="E161" s="1"/>
      <c r="F161" s="1"/>
      <c r="G161" s="1"/>
      <c r="H161" s="1"/>
      <c r="I161" s="1"/>
      <c r="J161" s="1"/>
      <c r="K161" s="1" t="str">
        <f>IF(I161="","",I161*J161)</f>
        <v/>
      </c>
      <c r="L161" s="1"/>
      <c r="M161" s="1"/>
      <c r="N161" s="1"/>
      <c r="O161" s="1"/>
    </row>
    <row r="162" spans="1:15" x14ac:dyDescent="0.15">
      <c r="A162" s="1"/>
      <c r="B162" s="4"/>
      <c r="C162" s="1"/>
      <c r="D162" s="1"/>
      <c r="E162" s="1"/>
      <c r="F162" s="1"/>
      <c r="G162" s="1"/>
      <c r="H162" s="1"/>
      <c r="I162" s="1"/>
      <c r="J162" s="1"/>
      <c r="K162" s="1" t="str">
        <f>IF(I162="","",I162*J162)</f>
        <v/>
      </c>
      <c r="L162" s="1"/>
      <c r="M162" s="1"/>
      <c r="N162" s="1"/>
      <c r="O162" s="1"/>
    </row>
    <row r="163" spans="1:15" x14ac:dyDescent="0.15">
      <c r="A163" s="1"/>
      <c r="B163" s="4"/>
      <c r="C163" s="1"/>
      <c r="D163" s="1"/>
      <c r="E163" s="1"/>
      <c r="F163" s="1"/>
      <c r="G163" s="1"/>
      <c r="H163" s="1"/>
      <c r="I163" s="1"/>
      <c r="J163" s="1"/>
      <c r="K163" s="1" t="str">
        <f>IF(I163="","",I163*J163)</f>
        <v/>
      </c>
      <c r="L163" s="1"/>
      <c r="M163" s="1"/>
      <c r="N163" s="1"/>
      <c r="O163" s="1"/>
    </row>
    <row r="164" spans="1:15" x14ac:dyDescent="0.15">
      <c r="A164" s="1"/>
      <c r="B164" s="4"/>
      <c r="C164" s="1"/>
      <c r="D164" s="1"/>
      <c r="E164" s="1"/>
      <c r="F164" s="1"/>
      <c r="G164" s="1"/>
      <c r="H164" s="1"/>
      <c r="I164" s="1"/>
      <c r="J164" s="1"/>
      <c r="K164" s="1" t="str">
        <f>IF(I164="","",I164*J164)</f>
        <v/>
      </c>
      <c r="L164" s="1"/>
      <c r="M164" s="1"/>
      <c r="N164" s="1"/>
      <c r="O164" s="1"/>
    </row>
    <row r="165" spans="1:15" x14ac:dyDescent="0.15">
      <c r="A165" s="1"/>
      <c r="B165" s="4"/>
      <c r="C165" s="1"/>
      <c r="D165" s="1"/>
      <c r="E165" s="1"/>
      <c r="F165" s="1"/>
      <c r="G165" s="1"/>
      <c r="H165" s="1"/>
      <c r="I165" s="1"/>
      <c r="J165" s="1"/>
      <c r="K165" s="1" t="str">
        <f>IF(I165="","",I165*J165)</f>
        <v/>
      </c>
      <c r="L165" s="1"/>
      <c r="M165" s="1"/>
      <c r="N165" s="1"/>
      <c r="O165" s="1"/>
    </row>
    <row r="166" spans="1:15" x14ac:dyDescent="0.15">
      <c r="A166" s="1"/>
      <c r="B166" s="4"/>
      <c r="C166" s="1"/>
      <c r="D166" s="1"/>
      <c r="E166" s="1"/>
      <c r="F166" s="1"/>
      <c r="G166" s="1"/>
      <c r="H166" s="1"/>
      <c r="I166" s="1"/>
      <c r="J166" s="1"/>
      <c r="K166" s="1" t="str">
        <f>IF(I166="","",I166*J166)</f>
        <v/>
      </c>
      <c r="L166" s="1"/>
      <c r="M166" s="1"/>
      <c r="N166" s="1"/>
      <c r="O166" s="1"/>
    </row>
    <row r="167" spans="1:15" x14ac:dyDescent="0.15">
      <c r="A167" s="1"/>
      <c r="B167" s="4"/>
      <c r="C167" s="1"/>
      <c r="D167" s="1"/>
      <c r="E167" s="1"/>
      <c r="F167" s="1"/>
      <c r="G167" s="1"/>
      <c r="H167" s="1"/>
      <c r="I167" s="1"/>
      <c r="J167" s="1"/>
      <c r="K167" s="1" t="str">
        <f>IF(I167="","",I167*J167)</f>
        <v/>
      </c>
      <c r="L167" s="1"/>
      <c r="M167" s="1"/>
      <c r="N167" s="1"/>
      <c r="O167" s="1"/>
    </row>
    <row r="168" spans="1:15" x14ac:dyDescent="0.15">
      <c r="A168" s="1"/>
      <c r="B168" s="4"/>
      <c r="C168" s="1"/>
      <c r="D168" s="1"/>
      <c r="E168" s="1"/>
      <c r="F168" s="1"/>
      <c r="G168" s="1"/>
      <c r="H168" s="1"/>
      <c r="I168" s="1"/>
      <c r="J168" s="1"/>
      <c r="K168" s="1" t="str">
        <f>IF(I168="","",I168*J168)</f>
        <v/>
      </c>
      <c r="L168" s="1"/>
      <c r="M168" s="1"/>
      <c r="N168" s="1"/>
      <c r="O168" s="1"/>
    </row>
    <row r="169" spans="1:15" x14ac:dyDescent="0.15">
      <c r="A169" s="1"/>
      <c r="B169" s="4"/>
      <c r="C169" s="1"/>
      <c r="D169" s="1"/>
      <c r="E169" s="1"/>
      <c r="F169" s="1"/>
      <c r="G169" s="1"/>
      <c r="H169" s="1"/>
      <c r="I169" s="1"/>
      <c r="J169" s="1"/>
      <c r="K169" s="1" t="str">
        <f>IF(I169="","",I169*J169)</f>
        <v/>
      </c>
      <c r="L169" s="1"/>
      <c r="M169" s="1"/>
      <c r="N169" s="1"/>
      <c r="O169" s="1"/>
    </row>
    <row r="170" spans="1:15" x14ac:dyDescent="0.15">
      <c r="A170" s="1"/>
      <c r="B170" s="4"/>
      <c r="C170" s="1"/>
      <c r="D170" s="1"/>
      <c r="E170" s="1"/>
      <c r="F170" s="1"/>
      <c r="G170" s="1"/>
      <c r="H170" s="1"/>
      <c r="I170" s="1"/>
      <c r="J170" s="1"/>
      <c r="K170" s="1" t="str">
        <f>IF(I170="","",I170*J170)</f>
        <v/>
      </c>
      <c r="L170" s="1"/>
      <c r="M170" s="1"/>
      <c r="N170" s="1"/>
      <c r="O170" s="1"/>
    </row>
    <row r="171" spans="1:15" x14ac:dyDescent="0.15">
      <c r="A171" s="1"/>
      <c r="B171" s="4"/>
      <c r="C171" s="1"/>
      <c r="D171" s="1"/>
      <c r="E171" s="1"/>
      <c r="F171" s="1"/>
      <c r="G171" s="1"/>
      <c r="H171" s="1"/>
      <c r="I171" s="1"/>
      <c r="J171" s="1"/>
      <c r="K171" s="1" t="str">
        <f>IF(I171="","",I171*J171)</f>
        <v/>
      </c>
      <c r="L171" s="1"/>
      <c r="M171" s="1"/>
      <c r="N171" s="1"/>
      <c r="O171" s="1"/>
    </row>
    <row r="172" spans="1:15" x14ac:dyDescent="0.15">
      <c r="A172" s="1"/>
      <c r="B172" s="4"/>
      <c r="C172" s="1"/>
      <c r="D172" s="1"/>
      <c r="E172" s="1"/>
      <c r="F172" s="1"/>
      <c r="G172" s="1"/>
      <c r="H172" s="1"/>
      <c r="I172" s="1"/>
      <c r="J172" s="1"/>
      <c r="K172" s="1" t="str">
        <f>IF(I172="","",I172*J172)</f>
        <v/>
      </c>
      <c r="L172" s="1"/>
      <c r="M172" s="1"/>
      <c r="N172" s="1"/>
      <c r="O172" s="1"/>
    </row>
    <row r="173" spans="1:15" x14ac:dyDescent="0.15">
      <c r="A173" s="1"/>
      <c r="B173" s="4"/>
      <c r="C173" s="1"/>
      <c r="D173" s="1"/>
      <c r="E173" s="1"/>
      <c r="F173" s="1"/>
      <c r="G173" s="1"/>
      <c r="H173" s="1"/>
      <c r="I173" s="1"/>
      <c r="J173" s="1"/>
      <c r="K173" s="1" t="str">
        <f>IF(I173="","",I173*J173)</f>
        <v/>
      </c>
      <c r="L173" s="1"/>
      <c r="M173" s="1"/>
      <c r="N173" s="1"/>
      <c r="O173" s="1"/>
    </row>
    <row r="174" spans="1:15" x14ac:dyDescent="0.15">
      <c r="A174" s="1"/>
      <c r="B174" s="4"/>
      <c r="C174" s="1"/>
      <c r="D174" s="1"/>
      <c r="E174" s="1"/>
      <c r="F174" s="1"/>
      <c r="G174" s="1"/>
      <c r="H174" s="1"/>
      <c r="I174" s="1"/>
      <c r="J174" s="1"/>
      <c r="K174" s="1" t="str">
        <f>IF(I174="","",I174*J174)</f>
        <v/>
      </c>
      <c r="L174" s="1"/>
      <c r="M174" s="1"/>
      <c r="N174" s="1"/>
      <c r="O174" s="1"/>
    </row>
    <row r="175" spans="1:15" x14ac:dyDescent="0.15">
      <c r="A175" s="1"/>
      <c r="B175" s="4"/>
      <c r="C175" s="1"/>
      <c r="D175" s="1"/>
      <c r="E175" s="1"/>
      <c r="F175" s="1"/>
      <c r="G175" s="1"/>
      <c r="H175" s="1"/>
      <c r="I175" s="1"/>
      <c r="J175" s="1"/>
      <c r="K175" s="1" t="str">
        <f>IF(I175="","",I175*J175)</f>
        <v/>
      </c>
      <c r="L175" s="1"/>
      <c r="M175" s="1"/>
      <c r="N175" s="1"/>
      <c r="O175" s="1"/>
    </row>
    <row r="176" spans="1:15" x14ac:dyDescent="0.15">
      <c r="A176" s="1"/>
      <c r="B176" s="4"/>
      <c r="C176" s="1"/>
      <c r="D176" s="1"/>
      <c r="E176" s="1"/>
      <c r="F176" s="1"/>
      <c r="G176" s="1"/>
      <c r="H176" s="1"/>
      <c r="I176" s="1"/>
      <c r="J176" s="1"/>
      <c r="K176" s="1" t="str">
        <f>IF(I176="","",I176*J176)</f>
        <v/>
      </c>
      <c r="L176" s="1"/>
      <c r="M176" s="1"/>
      <c r="N176" s="1"/>
      <c r="O176" s="1"/>
    </row>
    <row r="177" spans="1:15" x14ac:dyDescent="0.15">
      <c r="A177" s="1"/>
      <c r="B177" s="4"/>
      <c r="C177" s="1"/>
      <c r="D177" s="1"/>
      <c r="E177" s="1"/>
      <c r="F177" s="1"/>
      <c r="G177" s="1"/>
      <c r="H177" s="1"/>
      <c r="I177" s="1"/>
      <c r="J177" s="1"/>
      <c r="K177" s="1" t="str">
        <f>IF(I177="","",I177*J177)</f>
        <v/>
      </c>
      <c r="L177" s="1"/>
      <c r="M177" s="1"/>
      <c r="N177" s="1"/>
      <c r="O177" s="1"/>
    </row>
    <row r="178" spans="1:15" x14ac:dyDescent="0.15">
      <c r="A178" s="1"/>
      <c r="B178" s="4"/>
      <c r="C178" s="1"/>
      <c r="D178" s="1"/>
      <c r="E178" s="1"/>
      <c r="F178" s="1"/>
      <c r="G178" s="1"/>
      <c r="H178" s="1"/>
      <c r="I178" s="1"/>
      <c r="J178" s="1"/>
      <c r="K178" s="1" t="str">
        <f>IF(I178="","",I178*J178)</f>
        <v/>
      </c>
      <c r="L178" s="1"/>
      <c r="M178" s="1"/>
      <c r="N178" s="1"/>
      <c r="O178" s="1"/>
    </row>
    <row r="179" spans="1:15" x14ac:dyDescent="0.15">
      <c r="A179" s="1"/>
      <c r="B179" s="4"/>
      <c r="C179" s="1"/>
      <c r="D179" s="1"/>
      <c r="E179" s="1"/>
      <c r="F179" s="1"/>
      <c r="G179" s="1"/>
      <c r="H179" s="1"/>
      <c r="I179" s="1"/>
      <c r="J179" s="1"/>
      <c r="K179" s="1" t="str">
        <f>IF(I179="","",I179*J179)</f>
        <v/>
      </c>
      <c r="L179" s="1"/>
      <c r="M179" s="1"/>
      <c r="N179" s="1"/>
      <c r="O179" s="1"/>
    </row>
    <row r="180" spans="1:15" x14ac:dyDescent="0.15">
      <c r="A180" s="1"/>
      <c r="B180" s="4"/>
      <c r="C180" s="1"/>
      <c r="D180" s="1"/>
      <c r="E180" s="1"/>
      <c r="F180" s="1"/>
      <c r="G180" s="1"/>
      <c r="H180" s="1"/>
      <c r="I180" s="1"/>
      <c r="J180" s="1"/>
      <c r="K180" s="1" t="str">
        <f>IF(I180="","",I180*J180)</f>
        <v/>
      </c>
      <c r="L180" s="1"/>
      <c r="M180" s="1"/>
      <c r="N180" s="1"/>
      <c r="O180" s="1"/>
    </row>
    <row r="181" spans="1:15" x14ac:dyDescent="0.15">
      <c r="A181" s="1"/>
      <c r="B181" s="4"/>
      <c r="C181" s="1"/>
      <c r="D181" s="1"/>
      <c r="E181" s="1"/>
      <c r="F181" s="1"/>
      <c r="G181" s="1"/>
      <c r="H181" s="1"/>
      <c r="I181" s="1"/>
      <c r="J181" s="1"/>
      <c r="K181" s="1" t="str">
        <f>IF(I181="","",I181*J181)</f>
        <v/>
      </c>
      <c r="L181" s="1"/>
      <c r="M181" s="1"/>
      <c r="N181" s="1"/>
      <c r="O181" s="1"/>
    </row>
    <row r="182" spans="1:15" x14ac:dyDescent="0.15">
      <c r="A182" s="1"/>
      <c r="B182" s="4"/>
      <c r="C182" s="1"/>
      <c r="D182" s="1"/>
      <c r="E182" s="1"/>
      <c r="F182" s="1"/>
      <c r="G182" s="1"/>
      <c r="H182" s="1"/>
      <c r="I182" s="1"/>
      <c r="J182" s="1"/>
      <c r="K182" s="1" t="str">
        <f>IF(I182="","",I182*J182)</f>
        <v/>
      </c>
      <c r="L182" s="1"/>
      <c r="M182" s="1"/>
      <c r="N182" s="1"/>
      <c r="O182" s="1"/>
    </row>
    <row r="183" spans="1:15" x14ac:dyDescent="0.15">
      <c r="A183" s="1"/>
      <c r="B183" s="4"/>
      <c r="C183" s="1"/>
      <c r="D183" s="1"/>
      <c r="E183" s="1"/>
      <c r="F183" s="1"/>
      <c r="G183" s="1"/>
      <c r="H183" s="1"/>
      <c r="I183" s="1"/>
      <c r="J183" s="1"/>
      <c r="K183" s="1" t="str">
        <f>IF(I183="","",I183*J183)</f>
        <v/>
      </c>
      <c r="L183" s="1"/>
      <c r="M183" s="1"/>
      <c r="N183" s="1"/>
      <c r="O183" s="1"/>
    </row>
    <row r="184" spans="1:15" x14ac:dyDescent="0.15">
      <c r="A184" s="1"/>
      <c r="B184" s="4"/>
      <c r="C184" s="1"/>
      <c r="D184" s="1"/>
      <c r="E184" s="1"/>
      <c r="F184" s="1"/>
      <c r="G184" s="1"/>
      <c r="H184" s="1"/>
      <c r="I184" s="1"/>
      <c r="J184" s="1"/>
      <c r="K184" s="1" t="str">
        <f>IF(I184="","",I184*J184)</f>
        <v/>
      </c>
      <c r="L184" s="1"/>
      <c r="M184" s="1"/>
      <c r="N184" s="1"/>
      <c r="O184" s="1"/>
    </row>
    <row r="185" spans="1:15" x14ac:dyDescent="0.15">
      <c r="A185" s="1"/>
      <c r="B185" s="4"/>
      <c r="C185" s="1"/>
      <c r="D185" s="1"/>
      <c r="E185" s="1"/>
      <c r="F185" s="1"/>
      <c r="G185" s="1"/>
      <c r="H185" s="1"/>
      <c r="I185" s="1"/>
      <c r="J185" s="1"/>
      <c r="K185" s="1" t="str">
        <f>IF(I185="","",I185*J185)</f>
        <v/>
      </c>
      <c r="L185" s="1"/>
      <c r="M185" s="1"/>
      <c r="N185" s="1"/>
      <c r="O185" s="1"/>
    </row>
    <row r="186" spans="1:15" x14ac:dyDescent="0.15">
      <c r="A186" s="1"/>
      <c r="B186" s="4"/>
      <c r="C186" s="1"/>
      <c r="D186" s="1"/>
      <c r="E186" s="1"/>
      <c r="F186" s="1"/>
      <c r="G186" s="1"/>
      <c r="H186" s="1"/>
      <c r="I186" s="1"/>
      <c r="J186" s="1"/>
      <c r="K186" s="1" t="str">
        <f>IF(I186="","",I186*J186)</f>
        <v/>
      </c>
      <c r="L186" s="1"/>
      <c r="M186" s="1"/>
      <c r="N186" s="1"/>
      <c r="O186" s="1"/>
    </row>
    <row r="187" spans="1:15" x14ac:dyDescent="0.15">
      <c r="A187" s="1"/>
      <c r="B187" s="4"/>
      <c r="C187" s="1"/>
      <c r="D187" s="1"/>
      <c r="E187" s="1"/>
      <c r="F187" s="1"/>
      <c r="G187" s="1"/>
      <c r="H187" s="1"/>
      <c r="I187" s="1"/>
      <c r="J187" s="1"/>
      <c r="K187" s="1" t="str">
        <f>IF(I187="","",I187*J187)</f>
        <v/>
      </c>
      <c r="L187" s="1"/>
      <c r="M187" s="1"/>
      <c r="N187" s="1"/>
      <c r="O187" s="1"/>
    </row>
    <row r="188" spans="1:15" x14ac:dyDescent="0.15">
      <c r="A188" s="1"/>
      <c r="B188" s="4"/>
      <c r="C188" s="1"/>
      <c r="D188" s="1"/>
      <c r="E188" s="1"/>
      <c r="F188" s="1"/>
      <c r="G188" s="1"/>
      <c r="H188" s="1"/>
      <c r="I188" s="1"/>
      <c r="J188" s="1"/>
      <c r="K188" s="1" t="str">
        <f>IF(I188="","",I188*J188)</f>
        <v/>
      </c>
      <c r="L188" s="1"/>
      <c r="M188" s="1"/>
      <c r="N188" s="1"/>
      <c r="O188" s="1"/>
    </row>
    <row r="189" spans="1:15" x14ac:dyDescent="0.15">
      <c r="A189" s="1"/>
      <c r="B189" s="4"/>
      <c r="C189" s="1"/>
      <c r="D189" s="1"/>
      <c r="E189" s="1"/>
      <c r="F189" s="1"/>
      <c r="G189" s="1"/>
      <c r="H189" s="1"/>
      <c r="I189" s="1"/>
      <c r="J189" s="1"/>
      <c r="K189" s="1" t="str">
        <f>IF(I189="","",I189*J189)</f>
        <v/>
      </c>
      <c r="L189" s="1"/>
      <c r="M189" s="1"/>
      <c r="N189" s="1"/>
      <c r="O189" s="1"/>
    </row>
    <row r="190" spans="1:15" x14ac:dyDescent="0.15">
      <c r="A190" s="1"/>
      <c r="B190" s="4"/>
      <c r="C190" s="1"/>
      <c r="D190" s="1"/>
      <c r="E190" s="1"/>
      <c r="F190" s="1"/>
      <c r="G190" s="1"/>
      <c r="H190" s="1"/>
      <c r="I190" s="1"/>
      <c r="J190" s="1"/>
      <c r="K190" s="1" t="str">
        <f>IF(I190="","",I190*J190)</f>
        <v/>
      </c>
      <c r="L190" s="1"/>
      <c r="M190" s="1"/>
      <c r="N190" s="1"/>
      <c r="O190" s="1"/>
    </row>
    <row r="191" spans="1:15" x14ac:dyDescent="0.15">
      <c r="A191" s="1"/>
      <c r="B191" s="4"/>
      <c r="C191" s="1"/>
      <c r="D191" s="1"/>
      <c r="E191" s="1"/>
      <c r="F191" s="1"/>
      <c r="G191" s="1"/>
      <c r="H191" s="1"/>
      <c r="I191" s="1"/>
      <c r="J191" s="1"/>
      <c r="K191" s="1" t="str">
        <f>IF(I191="","",I191*J191)</f>
        <v/>
      </c>
      <c r="L191" s="1"/>
      <c r="M191" s="1"/>
      <c r="N191" s="1"/>
      <c r="O191" s="1"/>
    </row>
    <row r="192" spans="1:15" x14ac:dyDescent="0.15">
      <c r="A192" s="1"/>
      <c r="B192" s="4"/>
      <c r="C192" s="1"/>
      <c r="D192" s="1"/>
      <c r="E192" s="1"/>
      <c r="F192" s="1"/>
      <c r="G192" s="1"/>
      <c r="H192" s="1"/>
      <c r="I192" s="1"/>
      <c r="J192" s="1"/>
      <c r="K192" s="1" t="str">
        <f>IF(I192="","",I192*J192)</f>
        <v/>
      </c>
      <c r="L192" s="1"/>
      <c r="M192" s="1"/>
      <c r="N192" s="1"/>
      <c r="O192" s="1"/>
    </row>
    <row r="193" spans="1:15" x14ac:dyDescent="0.15">
      <c r="A193" s="1"/>
      <c r="B193" s="4"/>
      <c r="C193" s="1"/>
      <c r="D193" s="1"/>
      <c r="E193" s="1"/>
      <c r="F193" s="1"/>
      <c r="G193" s="1"/>
      <c r="H193" s="1"/>
      <c r="I193" s="1"/>
      <c r="J193" s="1"/>
      <c r="K193" s="1" t="str">
        <f>IF(I193="","",I193*J193)</f>
        <v/>
      </c>
      <c r="L193" s="1"/>
      <c r="M193" s="1"/>
      <c r="N193" s="1"/>
      <c r="O193" s="1"/>
    </row>
    <row r="194" spans="1:15" x14ac:dyDescent="0.15">
      <c r="A194" s="1"/>
      <c r="B194" s="4"/>
      <c r="C194" s="1"/>
      <c r="D194" s="1"/>
      <c r="E194" s="1"/>
      <c r="F194" s="1"/>
      <c r="G194" s="1"/>
      <c r="H194" s="1"/>
      <c r="I194" s="1"/>
      <c r="J194" s="1"/>
      <c r="K194" s="1" t="str">
        <f>IF(I194="","",I194*J194)</f>
        <v/>
      </c>
      <c r="L194" s="1"/>
      <c r="M194" s="1"/>
      <c r="N194" s="1"/>
      <c r="O194" s="1"/>
    </row>
    <row r="195" spans="1:15" x14ac:dyDescent="0.15">
      <c r="A195" s="1"/>
      <c r="B195" s="4"/>
      <c r="C195" s="1"/>
      <c r="D195" s="1"/>
      <c r="E195" s="1"/>
      <c r="F195" s="1"/>
      <c r="G195" s="1"/>
      <c r="H195" s="1"/>
      <c r="I195" s="1"/>
      <c r="J195" s="1"/>
      <c r="K195" s="1" t="str">
        <f>IF(I195="","",I195*J195)</f>
        <v/>
      </c>
      <c r="L195" s="1"/>
      <c r="M195" s="1"/>
      <c r="N195" s="1"/>
      <c r="O195" s="1"/>
    </row>
    <row r="196" spans="1:15" x14ac:dyDescent="0.15">
      <c r="A196" s="1"/>
      <c r="B196" s="4"/>
      <c r="C196" s="1"/>
      <c r="D196" s="1"/>
      <c r="E196" s="1"/>
      <c r="F196" s="1"/>
      <c r="G196" s="1"/>
      <c r="H196" s="1"/>
      <c r="I196" s="1"/>
      <c r="J196" s="1"/>
      <c r="K196" s="1" t="str">
        <f>IF(I196="","",I196*J196)</f>
        <v/>
      </c>
      <c r="L196" s="1"/>
      <c r="M196" s="1"/>
      <c r="N196" s="1"/>
      <c r="O196" s="1"/>
    </row>
    <row r="197" spans="1:15" x14ac:dyDescent="0.15">
      <c r="A197" s="1"/>
      <c r="B197" s="4"/>
      <c r="C197" s="1"/>
      <c r="D197" s="1"/>
      <c r="E197" s="1"/>
      <c r="F197" s="1"/>
      <c r="G197" s="1"/>
      <c r="H197" s="1"/>
      <c r="I197" s="1"/>
      <c r="J197" s="1"/>
      <c r="K197" s="1" t="str">
        <f>IF(I197="","",I197*J197)</f>
        <v/>
      </c>
      <c r="L197" s="1"/>
      <c r="M197" s="1"/>
      <c r="N197" s="1"/>
      <c r="O197" s="1"/>
    </row>
    <row r="198" spans="1:15" x14ac:dyDescent="0.15">
      <c r="A198" s="1"/>
      <c r="B198" s="4"/>
      <c r="C198" s="1"/>
      <c r="D198" s="1"/>
      <c r="E198" s="1"/>
      <c r="F198" s="1"/>
      <c r="G198" s="1"/>
      <c r="H198" s="1"/>
      <c r="I198" s="1"/>
      <c r="J198" s="1"/>
      <c r="K198" s="1" t="str">
        <f>IF(I198="","",I198*J198)</f>
        <v/>
      </c>
      <c r="L198" s="1"/>
      <c r="M198" s="1"/>
      <c r="N198" s="1"/>
      <c r="O198" s="1"/>
    </row>
    <row r="199" spans="1:15" x14ac:dyDescent="0.15">
      <c r="A199" s="1"/>
      <c r="B199" s="4"/>
      <c r="C199" s="1"/>
      <c r="D199" s="1"/>
      <c r="E199" s="1"/>
      <c r="F199" s="1"/>
      <c r="G199" s="1"/>
      <c r="H199" s="1"/>
      <c r="I199" s="1"/>
      <c r="J199" s="1"/>
      <c r="K199" s="1" t="str">
        <f>IF(I199="","",I199*J199)</f>
        <v/>
      </c>
      <c r="L199" s="1"/>
      <c r="M199" s="1"/>
      <c r="N199" s="1"/>
      <c r="O199" s="1"/>
    </row>
    <row r="200" spans="1:15" x14ac:dyDescent="0.15">
      <c r="A200" s="1"/>
      <c r="B200" s="4"/>
      <c r="C200" s="1"/>
      <c r="D200" s="1"/>
      <c r="E200" s="1"/>
      <c r="F200" s="1"/>
      <c r="G200" s="1"/>
      <c r="H200" s="1"/>
      <c r="I200" s="1"/>
      <c r="J200" s="1"/>
      <c r="K200" s="1" t="str">
        <f>IF(I200="","",I200*J200)</f>
        <v/>
      </c>
      <c r="L200" s="1"/>
      <c r="M200" s="1"/>
      <c r="N200" s="1"/>
      <c r="O200" s="1"/>
    </row>
    <row r="201" spans="1:15" x14ac:dyDescent="0.15">
      <c r="A201" s="1"/>
      <c r="B201" s="4"/>
      <c r="C201" s="1"/>
      <c r="D201" s="1"/>
      <c r="E201" s="1"/>
      <c r="F201" s="1"/>
      <c r="G201" s="1"/>
      <c r="H201" s="1"/>
      <c r="I201" s="1"/>
      <c r="J201" s="1"/>
      <c r="K201" s="1" t="str">
        <f>IF(I201="","",I201*J201)</f>
        <v/>
      </c>
      <c r="L201" s="1"/>
      <c r="M201" s="1"/>
      <c r="N201" s="1"/>
      <c r="O201" s="1"/>
    </row>
    <row r="202" spans="1:15" x14ac:dyDescent="0.15">
      <c r="A202" s="1"/>
      <c r="B202" s="4"/>
      <c r="C202" s="1"/>
      <c r="D202" s="1"/>
      <c r="E202" s="1"/>
      <c r="F202" s="1"/>
      <c r="G202" s="1"/>
      <c r="H202" s="1"/>
      <c r="I202" s="1"/>
      <c r="J202" s="1"/>
      <c r="K202" s="1" t="str">
        <f>IF(I202="","",I202*J202)</f>
        <v/>
      </c>
      <c r="L202" s="1"/>
      <c r="M202" s="1"/>
      <c r="N202" s="1"/>
      <c r="O202" s="1"/>
    </row>
    <row r="203" spans="1:15" x14ac:dyDescent="0.15">
      <c r="A203" s="1"/>
      <c r="B203" s="4"/>
      <c r="C203" s="1"/>
      <c r="D203" s="1"/>
      <c r="E203" s="1"/>
      <c r="F203" s="1"/>
      <c r="G203" s="1"/>
      <c r="H203" s="1"/>
      <c r="I203" s="1"/>
      <c r="J203" s="1"/>
      <c r="K203" s="1" t="str">
        <f>IF(I203="","",I203*J203)</f>
        <v/>
      </c>
      <c r="L203" s="1"/>
      <c r="M203" s="1"/>
      <c r="N203" s="1"/>
      <c r="O203" s="1"/>
    </row>
  </sheetData>
  <mergeCells count="1">
    <mergeCell ref="A1:O1"/>
  </mergeCell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Lists!$E$2:$E$7</xm:f>
          </x14:formula1>
          <xm:sqref>D4:D203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3"/>
  <sheetViews>
    <sheetView showGridLines="0" workbookViewId="0">
      <pane ySplit="3" topLeftCell="A4" activePane="bottomLeft" state="frozen"/>
      <selection pane="bottomLeft"/>
    </sheetView>
  </sheetViews>
  <sheetFormatPr defaultRowHeight="13.5" x14ac:dyDescent="0.15"/>
  <cols>
    <col min="1" max="12" width="19" customWidth="1"/>
  </cols>
  <sheetData>
    <row r="1" spans="1:12" ht="22.5" x14ac:dyDescent="0.15">
      <c r="A1" s="14" t="s">
        <v>85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15">
      <c r="A3" s="2" t="s">
        <v>86</v>
      </c>
      <c r="B3" s="2" t="s">
        <v>64</v>
      </c>
      <c r="C3" s="2" t="s">
        <v>68</v>
      </c>
      <c r="D3" s="2" t="s">
        <v>45</v>
      </c>
      <c r="E3" s="2" t="s">
        <v>46</v>
      </c>
      <c r="F3" s="2" t="s">
        <v>87</v>
      </c>
      <c r="G3" s="2" t="s">
        <v>88</v>
      </c>
      <c r="H3" s="2" t="s">
        <v>89</v>
      </c>
      <c r="I3" s="2" t="s">
        <v>81</v>
      </c>
      <c r="J3" s="2" t="s">
        <v>90</v>
      </c>
      <c r="K3" s="2" t="s">
        <v>91</v>
      </c>
      <c r="L3" s="2" t="s">
        <v>11</v>
      </c>
    </row>
    <row r="4" spans="1:12" x14ac:dyDescent="0.15">
      <c r="A4" s="1"/>
      <c r="B4" s="4"/>
      <c r="C4" s="1"/>
      <c r="D4" s="1"/>
      <c r="E4" s="1"/>
      <c r="F4" s="1"/>
      <c r="G4" s="1"/>
      <c r="H4" s="1" t="str">
        <f>IF(OR(F4="",G4=""),"",G4-F4)</f>
        <v/>
      </c>
      <c r="I4" s="1"/>
      <c r="J4" s="1" t="str">
        <f>IF(OR(H4="",I4=""),"",H4*I4)</f>
        <v/>
      </c>
      <c r="K4" s="1"/>
      <c r="L4" s="1"/>
    </row>
    <row r="5" spans="1:12" x14ac:dyDescent="0.15">
      <c r="A5" s="1"/>
      <c r="B5" s="4"/>
      <c r="C5" s="1"/>
      <c r="D5" s="1"/>
      <c r="E5" s="1"/>
      <c r="F5" s="1"/>
      <c r="G5" s="1"/>
      <c r="H5" s="1" t="str">
        <f>IF(OR(F5="",G5=""),"",G5-F5)</f>
        <v/>
      </c>
      <c r="I5" s="1"/>
      <c r="J5" s="1" t="str">
        <f>IF(OR(H5="",I5=""),"",H5*I5)</f>
        <v/>
      </c>
      <c r="K5" s="1"/>
      <c r="L5" s="1"/>
    </row>
    <row r="6" spans="1:12" x14ac:dyDescent="0.15">
      <c r="A6" s="1"/>
      <c r="B6" s="4"/>
      <c r="C6" s="1"/>
      <c r="D6" s="1"/>
      <c r="E6" s="1"/>
      <c r="F6" s="1"/>
      <c r="G6" s="1"/>
      <c r="H6" s="1" t="str">
        <f>IF(OR(F6="",G6=""),"",G6-F6)</f>
        <v/>
      </c>
      <c r="I6" s="1"/>
      <c r="J6" s="1" t="str">
        <f>IF(OR(H6="",I6=""),"",H6*I6)</f>
        <v/>
      </c>
      <c r="K6" s="1"/>
      <c r="L6" s="1"/>
    </row>
    <row r="7" spans="1:12" x14ac:dyDescent="0.15">
      <c r="A7" s="1"/>
      <c r="B7" s="4"/>
      <c r="C7" s="1"/>
      <c r="D7" s="1"/>
      <c r="E7" s="1"/>
      <c r="F7" s="1"/>
      <c r="G7" s="1"/>
      <c r="H7" s="1" t="str">
        <f>IF(OR(F7="",G7=""),"",G7-F7)</f>
        <v/>
      </c>
      <c r="I7" s="1"/>
      <c r="J7" s="1" t="str">
        <f>IF(OR(H7="",I7=""),"",H7*I7)</f>
        <v/>
      </c>
      <c r="K7" s="1"/>
      <c r="L7" s="1"/>
    </row>
    <row r="8" spans="1:12" x14ac:dyDescent="0.15">
      <c r="A8" s="1"/>
      <c r="B8" s="4"/>
      <c r="C8" s="1"/>
      <c r="D8" s="1"/>
      <c r="E8" s="1"/>
      <c r="F8" s="1"/>
      <c r="G8" s="1"/>
      <c r="H8" s="1" t="str">
        <f>IF(OR(F8="",G8=""),"",G8-F8)</f>
        <v/>
      </c>
      <c r="I8" s="1"/>
      <c r="J8" s="1" t="str">
        <f>IF(OR(H8="",I8=""),"",H8*I8)</f>
        <v/>
      </c>
      <c r="K8" s="1"/>
      <c r="L8" s="1"/>
    </row>
    <row r="9" spans="1:12" x14ac:dyDescent="0.15">
      <c r="A9" s="1"/>
      <c r="B9" s="4"/>
      <c r="C9" s="1"/>
      <c r="D9" s="1"/>
      <c r="E9" s="1"/>
      <c r="F9" s="1"/>
      <c r="G9" s="1"/>
      <c r="H9" s="1" t="str">
        <f>IF(OR(F9="",G9=""),"",G9-F9)</f>
        <v/>
      </c>
      <c r="I9" s="1"/>
      <c r="J9" s="1" t="str">
        <f>IF(OR(H9="",I9=""),"",H9*I9)</f>
        <v/>
      </c>
      <c r="K9" s="1"/>
      <c r="L9" s="1"/>
    </row>
    <row r="10" spans="1:12" x14ac:dyDescent="0.15">
      <c r="A10" s="1"/>
      <c r="B10" s="4"/>
      <c r="C10" s="1"/>
      <c r="D10" s="1"/>
      <c r="E10" s="1"/>
      <c r="F10" s="1"/>
      <c r="G10" s="1"/>
      <c r="H10" s="1" t="str">
        <f>IF(OR(F10="",G10=""),"",G10-F10)</f>
        <v/>
      </c>
      <c r="I10" s="1"/>
      <c r="J10" s="1" t="str">
        <f>IF(OR(H10="",I10=""),"",H10*I10)</f>
        <v/>
      </c>
      <c r="K10" s="1"/>
      <c r="L10" s="1"/>
    </row>
    <row r="11" spans="1:12" x14ac:dyDescent="0.15">
      <c r="A11" s="1"/>
      <c r="B11" s="4"/>
      <c r="C11" s="1"/>
      <c r="D11" s="1"/>
      <c r="E11" s="1"/>
      <c r="F11" s="1"/>
      <c r="G11" s="1"/>
      <c r="H11" s="1" t="str">
        <f>IF(OR(F11="",G11=""),"",G11-F11)</f>
        <v/>
      </c>
      <c r="I11" s="1"/>
      <c r="J11" s="1" t="str">
        <f>IF(OR(H11="",I11=""),"",H11*I11)</f>
        <v/>
      </c>
      <c r="K11" s="1"/>
      <c r="L11" s="1"/>
    </row>
    <row r="12" spans="1:12" x14ac:dyDescent="0.15">
      <c r="A12" s="1"/>
      <c r="B12" s="4"/>
      <c r="C12" s="1"/>
      <c r="D12" s="1"/>
      <c r="E12" s="1"/>
      <c r="F12" s="1"/>
      <c r="G12" s="1"/>
      <c r="H12" s="1" t="str">
        <f>IF(OR(F12="",G12=""),"",G12-F12)</f>
        <v/>
      </c>
      <c r="I12" s="1"/>
      <c r="J12" s="1" t="str">
        <f>IF(OR(H12="",I12=""),"",H12*I12)</f>
        <v/>
      </c>
      <c r="K12" s="1"/>
      <c r="L12" s="1"/>
    </row>
    <row r="13" spans="1:12" x14ac:dyDescent="0.15">
      <c r="A13" s="1"/>
      <c r="B13" s="4"/>
      <c r="C13" s="1"/>
      <c r="D13" s="1"/>
      <c r="E13" s="1"/>
      <c r="F13" s="1"/>
      <c r="G13" s="1"/>
      <c r="H13" s="1" t="str">
        <f>IF(OR(F13="",G13=""),"",G13-F13)</f>
        <v/>
      </c>
      <c r="I13" s="1"/>
      <c r="J13" s="1" t="str">
        <f>IF(OR(H13="",I13=""),"",H13*I13)</f>
        <v/>
      </c>
      <c r="K13" s="1"/>
      <c r="L13" s="1"/>
    </row>
    <row r="14" spans="1:12" x14ac:dyDescent="0.15">
      <c r="A14" s="1"/>
      <c r="B14" s="4"/>
      <c r="C14" s="1"/>
      <c r="D14" s="1"/>
      <c r="E14" s="1"/>
      <c r="F14" s="1"/>
      <c r="G14" s="1"/>
      <c r="H14" s="1" t="str">
        <f>IF(OR(F14="",G14=""),"",G14-F14)</f>
        <v/>
      </c>
      <c r="I14" s="1"/>
      <c r="J14" s="1" t="str">
        <f>IF(OR(H14="",I14=""),"",H14*I14)</f>
        <v/>
      </c>
      <c r="K14" s="1"/>
      <c r="L14" s="1"/>
    </row>
    <row r="15" spans="1:12" x14ac:dyDescent="0.15">
      <c r="A15" s="1"/>
      <c r="B15" s="4"/>
      <c r="C15" s="1"/>
      <c r="D15" s="1"/>
      <c r="E15" s="1"/>
      <c r="F15" s="1"/>
      <c r="G15" s="1"/>
      <c r="H15" s="1" t="str">
        <f>IF(OR(F15="",G15=""),"",G15-F15)</f>
        <v/>
      </c>
      <c r="I15" s="1"/>
      <c r="J15" s="1" t="str">
        <f>IF(OR(H15="",I15=""),"",H15*I15)</f>
        <v/>
      </c>
      <c r="K15" s="1"/>
      <c r="L15" s="1"/>
    </row>
    <row r="16" spans="1:12" x14ac:dyDescent="0.15">
      <c r="A16" s="1"/>
      <c r="B16" s="4"/>
      <c r="C16" s="1"/>
      <c r="D16" s="1"/>
      <c r="E16" s="1"/>
      <c r="F16" s="1"/>
      <c r="G16" s="1"/>
      <c r="H16" s="1" t="str">
        <f>IF(OR(F16="",G16=""),"",G16-F16)</f>
        <v/>
      </c>
      <c r="I16" s="1"/>
      <c r="J16" s="1" t="str">
        <f>IF(OR(H16="",I16=""),"",H16*I16)</f>
        <v/>
      </c>
      <c r="K16" s="1"/>
      <c r="L16" s="1"/>
    </row>
    <row r="17" spans="1:12" x14ac:dyDescent="0.15">
      <c r="A17" s="1"/>
      <c r="B17" s="4"/>
      <c r="C17" s="1"/>
      <c r="D17" s="1"/>
      <c r="E17" s="1"/>
      <c r="F17" s="1"/>
      <c r="G17" s="1"/>
      <c r="H17" s="1" t="str">
        <f>IF(OR(F17="",G17=""),"",G17-F17)</f>
        <v/>
      </c>
      <c r="I17" s="1"/>
      <c r="J17" s="1" t="str">
        <f>IF(OR(H17="",I17=""),"",H17*I17)</f>
        <v/>
      </c>
      <c r="K17" s="1"/>
      <c r="L17" s="1"/>
    </row>
    <row r="18" spans="1:12" x14ac:dyDescent="0.15">
      <c r="A18" s="1"/>
      <c r="B18" s="4"/>
      <c r="C18" s="1"/>
      <c r="D18" s="1"/>
      <c r="E18" s="1"/>
      <c r="F18" s="1"/>
      <c r="G18" s="1"/>
      <c r="H18" s="1" t="str">
        <f>IF(OR(F18="",G18=""),"",G18-F18)</f>
        <v/>
      </c>
      <c r="I18" s="1"/>
      <c r="J18" s="1" t="str">
        <f>IF(OR(H18="",I18=""),"",H18*I18)</f>
        <v/>
      </c>
      <c r="K18" s="1"/>
      <c r="L18" s="1"/>
    </row>
    <row r="19" spans="1:12" x14ac:dyDescent="0.15">
      <c r="A19" s="1"/>
      <c r="B19" s="4"/>
      <c r="C19" s="1"/>
      <c r="D19" s="1"/>
      <c r="E19" s="1"/>
      <c r="F19" s="1"/>
      <c r="G19" s="1"/>
      <c r="H19" s="1" t="str">
        <f>IF(OR(F19="",G19=""),"",G19-F19)</f>
        <v/>
      </c>
      <c r="I19" s="1"/>
      <c r="J19" s="1" t="str">
        <f>IF(OR(H19="",I19=""),"",H19*I19)</f>
        <v/>
      </c>
      <c r="K19" s="1"/>
      <c r="L19" s="1"/>
    </row>
    <row r="20" spans="1:12" x14ac:dyDescent="0.15">
      <c r="A20" s="1"/>
      <c r="B20" s="4"/>
      <c r="C20" s="1"/>
      <c r="D20" s="1"/>
      <c r="E20" s="1"/>
      <c r="F20" s="1"/>
      <c r="G20" s="1"/>
      <c r="H20" s="1" t="str">
        <f>IF(OR(F20="",G20=""),"",G20-F20)</f>
        <v/>
      </c>
      <c r="I20" s="1"/>
      <c r="J20" s="1" t="str">
        <f>IF(OR(H20="",I20=""),"",H20*I20)</f>
        <v/>
      </c>
      <c r="K20" s="1"/>
      <c r="L20" s="1"/>
    </row>
    <row r="21" spans="1:12" x14ac:dyDescent="0.15">
      <c r="A21" s="1"/>
      <c r="B21" s="4"/>
      <c r="C21" s="1"/>
      <c r="D21" s="1"/>
      <c r="E21" s="1"/>
      <c r="F21" s="1"/>
      <c r="G21" s="1"/>
      <c r="H21" s="1" t="str">
        <f>IF(OR(F21="",G21=""),"",G21-F21)</f>
        <v/>
      </c>
      <c r="I21" s="1"/>
      <c r="J21" s="1" t="str">
        <f>IF(OR(H21="",I21=""),"",H21*I21)</f>
        <v/>
      </c>
      <c r="K21" s="1"/>
      <c r="L21" s="1"/>
    </row>
    <row r="22" spans="1:12" x14ac:dyDescent="0.15">
      <c r="A22" s="1"/>
      <c r="B22" s="4"/>
      <c r="C22" s="1"/>
      <c r="D22" s="1"/>
      <c r="E22" s="1"/>
      <c r="F22" s="1"/>
      <c r="G22" s="1"/>
      <c r="H22" s="1" t="str">
        <f>IF(OR(F22="",G22=""),"",G22-F22)</f>
        <v/>
      </c>
      <c r="I22" s="1"/>
      <c r="J22" s="1" t="str">
        <f>IF(OR(H22="",I22=""),"",H22*I22)</f>
        <v/>
      </c>
      <c r="K22" s="1"/>
      <c r="L22" s="1"/>
    </row>
    <row r="23" spans="1:12" x14ac:dyDescent="0.15">
      <c r="A23" s="1"/>
      <c r="B23" s="4"/>
      <c r="C23" s="1"/>
      <c r="D23" s="1"/>
      <c r="E23" s="1"/>
      <c r="F23" s="1"/>
      <c r="G23" s="1"/>
      <c r="H23" s="1" t="str">
        <f>IF(OR(F23="",G23=""),"",G23-F23)</f>
        <v/>
      </c>
      <c r="I23" s="1"/>
      <c r="J23" s="1" t="str">
        <f>IF(OR(H23="",I23=""),"",H23*I23)</f>
        <v/>
      </c>
      <c r="K23" s="1"/>
      <c r="L23" s="1"/>
    </row>
    <row r="24" spans="1:12" x14ac:dyDescent="0.15">
      <c r="A24" s="1"/>
      <c r="B24" s="4"/>
      <c r="C24" s="1"/>
      <c r="D24" s="1"/>
      <c r="E24" s="1"/>
      <c r="F24" s="1"/>
      <c r="G24" s="1"/>
      <c r="H24" s="1" t="str">
        <f>IF(OR(F24="",G24=""),"",G24-F24)</f>
        <v/>
      </c>
      <c r="I24" s="1"/>
      <c r="J24" s="1" t="str">
        <f>IF(OR(H24="",I24=""),"",H24*I24)</f>
        <v/>
      </c>
      <c r="K24" s="1"/>
      <c r="L24" s="1"/>
    </row>
    <row r="25" spans="1:12" x14ac:dyDescent="0.15">
      <c r="A25" s="1"/>
      <c r="B25" s="4"/>
      <c r="C25" s="1"/>
      <c r="D25" s="1"/>
      <c r="E25" s="1"/>
      <c r="F25" s="1"/>
      <c r="G25" s="1"/>
      <c r="H25" s="1" t="str">
        <f>IF(OR(F25="",G25=""),"",G25-F25)</f>
        <v/>
      </c>
      <c r="I25" s="1"/>
      <c r="J25" s="1" t="str">
        <f>IF(OR(H25="",I25=""),"",H25*I25)</f>
        <v/>
      </c>
      <c r="K25" s="1"/>
      <c r="L25" s="1"/>
    </row>
    <row r="26" spans="1:12" x14ac:dyDescent="0.15">
      <c r="A26" s="1"/>
      <c r="B26" s="4"/>
      <c r="C26" s="1"/>
      <c r="D26" s="1"/>
      <c r="E26" s="1"/>
      <c r="F26" s="1"/>
      <c r="G26" s="1"/>
      <c r="H26" s="1" t="str">
        <f>IF(OR(F26="",G26=""),"",G26-F26)</f>
        <v/>
      </c>
      <c r="I26" s="1"/>
      <c r="J26" s="1" t="str">
        <f>IF(OR(H26="",I26=""),"",H26*I26)</f>
        <v/>
      </c>
      <c r="K26" s="1"/>
      <c r="L26" s="1"/>
    </row>
    <row r="27" spans="1:12" x14ac:dyDescent="0.15">
      <c r="A27" s="1"/>
      <c r="B27" s="4"/>
      <c r="C27" s="1"/>
      <c r="D27" s="1"/>
      <c r="E27" s="1"/>
      <c r="F27" s="1"/>
      <c r="G27" s="1"/>
      <c r="H27" s="1" t="str">
        <f>IF(OR(F27="",G27=""),"",G27-F27)</f>
        <v/>
      </c>
      <c r="I27" s="1"/>
      <c r="J27" s="1" t="str">
        <f>IF(OR(H27="",I27=""),"",H27*I27)</f>
        <v/>
      </c>
      <c r="K27" s="1"/>
      <c r="L27" s="1"/>
    </row>
    <row r="28" spans="1:12" x14ac:dyDescent="0.15">
      <c r="A28" s="1"/>
      <c r="B28" s="4"/>
      <c r="C28" s="1"/>
      <c r="D28" s="1"/>
      <c r="E28" s="1"/>
      <c r="F28" s="1"/>
      <c r="G28" s="1"/>
      <c r="H28" s="1" t="str">
        <f>IF(OR(F28="",G28=""),"",G28-F28)</f>
        <v/>
      </c>
      <c r="I28" s="1"/>
      <c r="J28" s="1" t="str">
        <f>IF(OR(H28="",I28=""),"",H28*I28)</f>
        <v/>
      </c>
      <c r="K28" s="1"/>
      <c r="L28" s="1"/>
    </row>
    <row r="29" spans="1:12" x14ac:dyDescent="0.15">
      <c r="A29" s="1"/>
      <c r="B29" s="4"/>
      <c r="C29" s="1"/>
      <c r="D29" s="1"/>
      <c r="E29" s="1"/>
      <c r="F29" s="1"/>
      <c r="G29" s="1"/>
      <c r="H29" s="1" t="str">
        <f>IF(OR(F29="",G29=""),"",G29-F29)</f>
        <v/>
      </c>
      <c r="I29" s="1"/>
      <c r="J29" s="1" t="str">
        <f>IF(OR(H29="",I29=""),"",H29*I29)</f>
        <v/>
      </c>
      <c r="K29" s="1"/>
      <c r="L29" s="1"/>
    </row>
    <row r="30" spans="1:12" x14ac:dyDescent="0.15">
      <c r="A30" s="1"/>
      <c r="B30" s="4"/>
      <c r="C30" s="1"/>
      <c r="D30" s="1"/>
      <c r="E30" s="1"/>
      <c r="F30" s="1"/>
      <c r="G30" s="1"/>
      <c r="H30" s="1" t="str">
        <f>IF(OR(F30="",G30=""),"",G30-F30)</f>
        <v/>
      </c>
      <c r="I30" s="1"/>
      <c r="J30" s="1" t="str">
        <f>IF(OR(H30="",I30=""),"",H30*I30)</f>
        <v/>
      </c>
      <c r="K30" s="1"/>
      <c r="L30" s="1"/>
    </row>
    <row r="31" spans="1:12" x14ac:dyDescent="0.15">
      <c r="A31" s="1"/>
      <c r="B31" s="4"/>
      <c r="C31" s="1"/>
      <c r="D31" s="1"/>
      <c r="E31" s="1"/>
      <c r="F31" s="1"/>
      <c r="G31" s="1"/>
      <c r="H31" s="1" t="str">
        <f>IF(OR(F31="",G31=""),"",G31-F31)</f>
        <v/>
      </c>
      <c r="I31" s="1"/>
      <c r="J31" s="1" t="str">
        <f>IF(OR(H31="",I31=""),"",H31*I31)</f>
        <v/>
      </c>
      <c r="K31" s="1"/>
      <c r="L31" s="1"/>
    </row>
    <row r="32" spans="1:12" x14ac:dyDescent="0.15">
      <c r="A32" s="1"/>
      <c r="B32" s="4"/>
      <c r="C32" s="1"/>
      <c r="D32" s="1"/>
      <c r="E32" s="1"/>
      <c r="F32" s="1"/>
      <c r="G32" s="1"/>
      <c r="H32" s="1" t="str">
        <f>IF(OR(F32="",G32=""),"",G32-F32)</f>
        <v/>
      </c>
      <c r="I32" s="1"/>
      <c r="J32" s="1" t="str">
        <f>IF(OR(H32="",I32=""),"",H32*I32)</f>
        <v/>
      </c>
      <c r="K32" s="1"/>
      <c r="L32" s="1"/>
    </row>
    <row r="33" spans="1:12" x14ac:dyDescent="0.15">
      <c r="A33" s="1"/>
      <c r="B33" s="4"/>
      <c r="C33" s="1"/>
      <c r="D33" s="1"/>
      <c r="E33" s="1"/>
      <c r="F33" s="1"/>
      <c r="G33" s="1"/>
      <c r="H33" s="1" t="str">
        <f>IF(OR(F33="",G33=""),"",G33-F33)</f>
        <v/>
      </c>
      <c r="I33" s="1"/>
      <c r="J33" s="1" t="str">
        <f>IF(OR(H33="",I33=""),"",H33*I33)</f>
        <v/>
      </c>
      <c r="K33" s="1"/>
      <c r="L33" s="1"/>
    </row>
    <row r="34" spans="1:12" x14ac:dyDescent="0.15">
      <c r="A34" s="1"/>
      <c r="B34" s="4"/>
      <c r="C34" s="1"/>
      <c r="D34" s="1"/>
      <c r="E34" s="1"/>
      <c r="F34" s="1"/>
      <c r="G34" s="1"/>
      <c r="H34" s="1" t="str">
        <f>IF(OR(F34="",G34=""),"",G34-F34)</f>
        <v/>
      </c>
      <c r="I34" s="1"/>
      <c r="J34" s="1" t="str">
        <f>IF(OR(H34="",I34=""),"",H34*I34)</f>
        <v/>
      </c>
      <c r="K34" s="1"/>
      <c r="L34" s="1"/>
    </row>
    <row r="35" spans="1:12" x14ac:dyDescent="0.15">
      <c r="A35" s="1"/>
      <c r="B35" s="4"/>
      <c r="C35" s="1"/>
      <c r="D35" s="1"/>
      <c r="E35" s="1"/>
      <c r="F35" s="1"/>
      <c r="G35" s="1"/>
      <c r="H35" s="1" t="str">
        <f>IF(OR(F35="",G35=""),"",G35-F35)</f>
        <v/>
      </c>
      <c r="I35" s="1"/>
      <c r="J35" s="1" t="str">
        <f>IF(OR(H35="",I35=""),"",H35*I35)</f>
        <v/>
      </c>
      <c r="K35" s="1"/>
      <c r="L35" s="1"/>
    </row>
    <row r="36" spans="1:12" x14ac:dyDescent="0.15">
      <c r="A36" s="1"/>
      <c r="B36" s="4"/>
      <c r="C36" s="1"/>
      <c r="D36" s="1"/>
      <c r="E36" s="1"/>
      <c r="F36" s="1"/>
      <c r="G36" s="1"/>
      <c r="H36" s="1" t="str">
        <f>IF(OR(F36="",G36=""),"",G36-F36)</f>
        <v/>
      </c>
      <c r="I36" s="1"/>
      <c r="J36" s="1" t="str">
        <f>IF(OR(H36="",I36=""),"",H36*I36)</f>
        <v/>
      </c>
      <c r="K36" s="1"/>
      <c r="L36" s="1"/>
    </row>
    <row r="37" spans="1:12" x14ac:dyDescent="0.15">
      <c r="A37" s="1"/>
      <c r="B37" s="4"/>
      <c r="C37" s="1"/>
      <c r="D37" s="1"/>
      <c r="E37" s="1"/>
      <c r="F37" s="1"/>
      <c r="G37" s="1"/>
      <c r="H37" s="1" t="str">
        <f>IF(OR(F37="",G37=""),"",G37-F37)</f>
        <v/>
      </c>
      <c r="I37" s="1"/>
      <c r="J37" s="1" t="str">
        <f>IF(OR(H37="",I37=""),"",H37*I37)</f>
        <v/>
      </c>
      <c r="K37" s="1"/>
      <c r="L37" s="1"/>
    </row>
    <row r="38" spans="1:12" x14ac:dyDescent="0.15">
      <c r="A38" s="1"/>
      <c r="B38" s="4"/>
      <c r="C38" s="1"/>
      <c r="D38" s="1"/>
      <c r="E38" s="1"/>
      <c r="F38" s="1"/>
      <c r="G38" s="1"/>
      <c r="H38" s="1" t="str">
        <f>IF(OR(F38="",G38=""),"",G38-F38)</f>
        <v/>
      </c>
      <c r="I38" s="1"/>
      <c r="J38" s="1" t="str">
        <f>IF(OR(H38="",I38=""),"",H38*I38)</f>
        <v/>
      </c>
      <c r="K38" s="1"/>
      <c r="L38" s="1"/>
    </row>
    <row r="39" spans="1:12" x14ac:dyDescent="0.15">
      <c r="A39" s="1"/>
      <c r="B39" s="4"/>
      <c r="C39" s="1"/>
      <c r="D39" s="1"/>
      <c r="E39" s="1"/>
      <c r="F39" s="1"/>
      <c r="G39" s="1"/>
      <c r="H39" s="1" t="str">
        <f>IF(OR(F39="",G39=""),"",G39-F39)</f>
        <v/>
      </c>
      <c r="I39" s="1"/>
      <c r="J39" s="1" t="str">
        <f>IF(OR(H39="",I39=""),"",H39*I39)</f>
        <v/>
      </c>
      <c r="K39" s="1"/>
      <c r="L39" s="1"/>
    </row>
    <row r="40" spans="1:12" x14ac:dyDescent="0.15">
      <c r="A40" s="1"/>
      <c r="B40" s="4"/>
      <c r="C40" s="1"/>
      <c r="D40" s="1"/>
      <c r="E40" s="1"/>
      <c r="F40" s="1"/>
      <c r="G40" s="1"/>
      <c r="H40" s="1" t="str">
        <f>IF(OR(F40="",G40=""),"",G40-F40)</f>
        <v/>
      </c>
      <c r="I40" s="1"/>
      <c r="J40" s="1" t="str">
        <f>IF(OR(H40="",I40=""),"",H40*I40)</f>
        <v/>
      </c>
      <c r="K40" s="1"/>
      <c r="L40" s="1"/>
    </row>
    <row r="41" spans="1:12" x14ac:dyDescent="0.15">
      <c r="A41" s="1"/>
      <c r="B41" s="4"/>
      <c r="C41" s="1"/>
      <c r="D41" s="1"/>
      <c r="E41" s="1"/>
      <c r="F41" s="1"/>
      <c r="G41" s="1"/>
      <c r="H41" s="1" t="str">
        <f>IF(OR(F41="",G41=""),"",G41-F41)</f>
        <v/>
      </c>
      <c r="I41" s="1"/>
      <c r="J41" s="1" t="str">
        <f>IF(OR(H41="",I41=""),"",H41*I41)</f>
        <v/>
      </c>
      <c r="K41" s="1"/>
      <c r="L41" s="1"/>
    </row>
    <row r="42" spans="1:12" x14ac:dyDescent="0.15">
      <c r="A42" s="1"/>
      <c r="B42" s="4"/>
      <c r="C42" s="1"/>
      <c r="D42" s="1"/>
      <c r="E42" s="1"/>
      <c r="F42" s="1"/>
      <c r="G42" s="1"/>
      <c r="H42" s="1" t="str">
        <f>IF(OR(F42="",G42=""),"",G42-F42)</f>
        <v/>
      </c>
      <c r="I42" s="1"/>
      <c r="J42" s="1" t="str">
        <f>IF(OR(H42="",I42=""),"",H42*I42)</f>
        <v/>
      </c>
      <c r="K42" s="1"/>
      <c r="L42" s="1"/>
    </row>
    <row r="43" spans="1:12" x14ac:dyDescent="0.15">
      <c r="A43" s="1"/>
      <c r="B43" s="4"/>
      <c r="C43" s="1"/>
      <c r="D43" s="1"/>
      <c r="E43" s="1"/>
      <c r="F43" s="1"/>
      <c r="G43" s="1"/>
      <c r="H43" s="1" t="str">
        <f>IF(OR(F43="",G43=""),"",G43-F43)</f>
        <v/>
      </c>
      <c r="I43" s="1"/>
      <c r="J43" s="1" t="str">
        <f>IF(OR(H43="",I43=""),"",H43*I43)</f>
        <v/>
      </c>
      <c r="K43" s="1"/>
      <c r="L43" s="1"/>
    </row>
    <row r="44" spans="1:12" x14ac:dyDescent="0.15">
      <c r="A44" s="1"/>
      <c r="B44" s="4"/>
      <c r="C44" s="1"/>
      <c r="D44" s="1"/>
      <c r="E44" s="1"/>
      <c r="F44" s="1"/>
      <c r="G44" s="1"/>
      <c r="H44" s="1" t="str">
        <f>IF(OR(F44="",G44=""),"",G44-F44)</f>
        <v/>
      </c>
      <c r="I44" s="1"/>
      <c r="J44" s="1" t="str">
        <f>IF(OR(H44="",I44=""),"",H44*I44)</f>
        <v/>
      </c>
      <c r="K44" s="1"/>
      <c r="L44" s="1"/>
    </row>
    <row r="45" spans="1:12" x14ac:dyDescent="0.15">
      <c r="A45" s="1"/>
      <c r="B45" s="4"/>
      <c r="C45" s="1"/>
      <c r="D45" s="1"/>
      <c r="E45" s="1"/>
      <c r="F45" s="1"/>
      <c r="G45" s="1"/>
      <c r="H45" s="1" t="str">
        <f>IF(OR(F45="",G45=""),"",G45-F45)</f>
        <v/>
      </c>
      <c r="I45" s="1"/>
      <c r="J45" s="1" t="str">
        <f>IF(OR(H45="",I45=""),"",H45*I45)</f>
        <v/>
      </c>
      <c r="K45" s="1"/>
      <c r="L45" s="1"/>
    </row>
    <row r="46" spans="1:12" x14ac:dyDescent="0.15">
      <c r="A46" s="1"/>
      <c r="B46" s="4"/>
      <c r="C46" s="1"/>
      <c r="D46" s="1"/>
      <c r="E46" s="1"/>
      <c r="F46" s="1"/>
      <c r="G46" s="1"/>
      <c r="H46" s="1" t="str">
        <f>IF(OR(F46="",G46=""),"",G46-F46)</f>
        <v/>
      </c>
      <c r="I46" s="1"/>
      <c r="J46" s="1" t="str">
        <f>IF(OR(H46="",I46=""),"",H46*I46)</f>
        <v/>
      </c>
      <c r="K46" s="1"/>
      <c r="L46" s="1"/>
    </row>
    <row r="47" spans="1:12" x14ac:dyDescent="0.15">
      <c r="A47" s="1"/>
      <c r="B47" s="4"/>
      <c r="C47" s="1"/>
      <c r="D47" s="1"/>
      <c r="E47" s="1"/>
      <c r="F47" s="1"/>
      <c r="G47" s="1"/>
      <c r="H47" s="1" t="str">
        <f>IF(OR(F47="",G47=""),"",G47-F47)</f>
        <v/>
      </c>
      <c r="I47" s="1"/>
      <c r="J47" s="1" t="str">
        <f>IF(OR(H47="",I47=""),"",H47*I47)</f>
        <v/>
      </c>
      <c r="K47" s="1"/>
      <c r="L47" s="1"/>
    </row>
    <row r="48" spans="1:12" x14ac:dyDescent="0.15">
      <c r="A48" s="1"/>
      <c r="B48" s="4"/>
      <c r="C48" s="1"/>
      <c r="D48" s="1"/>
      <c r="E48" s="1"/>
      <c r="F48" s="1"/>
      <c r="G48" s="1"/>
      <c r="H48" s="1" t="str">
        <f>IF(OR(F48="",G48=""),"",G48-F48)</f>
        <v/>
      </c>
      <c r="I48" s="1"/>
      <c r="J48" s="1" t="str">
        <f>IF(OR(H48="",I48=""),"",H48*I48)</f>
        <v/>
      </c>
      <c r="K48" s="1"/>
      <c r="L48" s="1"/>
    </row>
    <row r="49" spans="1:12" x14ac:dyDescent="0.15">
      <c r="A49" s="1"/>
      <c r="B49" s="4"/>
      <c r="C49" s="1"/>
      <c r="D49" s="1"/>
      <c r="E49" s="1"/>
      <c r="F49" s="1"/>
      <c r="G49" s="1"/>
      <c r="H49" s="1" t="str">
        <f>IF(OR(F49="",G49=""),"",G49-F49)</f>
        <v/>
      </c>
      <c r="I49" s="1"/>
      <c r="J49" s="1" t="str">
        <f>IF(OR(H49="",I49=""),"",H49*I49)</f>
        <v/>
      </c>
      <c r="K49" s="1"/>
      <c r="L49" s="1"/>
    </row>
    <row r="50" spans="1:12" x14ac:dyDescent="0.15">
      <c r="A50" s="1"/>
      <c r="B50" s="4"/>
      <c r="C50" s="1"/>
      <c r="D50" s="1"/>
      <c r="E50" s="1"/>
      <c r="F50" s="1"/>
      <c r="G50" s="1"/>
      <c r="H50" s="1" t="str">
        <f>IF(OR(F50="",G50=""),"",G50-F50)</f>
        <v/>
      </c>
      <c r="I50" s="1"/>
      <c r="J50" s="1" t="str">
        <f>IF(OR(H50="",I50=""),"",H50*I50)</f>
        <v/>
      </c>
      <c r="K50" s="1"/>
      <c r="L50" s="1"/>
    </row>
    <row r="51" spans="1:12" x14ac:dyDescent="0.15">
      <c r="A51" s="1"/>
      <c r="B51" s="4"/>
      <c r="C51" s="1"/>
      <c r="D51" s="1"/>
      <c r="E51" s="1"/>
      <c r="F51" s="1"/>
      <c r="G51" s="1"/>
      <c r="H51" s="1" t="str">
        <f>IF(OR(F51="",G51=""),"",G51-F51)</f>
        <v/>
      </c>
      <c r="I51" s="1"/>
      <c r="J51" s="1" t="str">
        <f>IF(OR(H51="",I51=""),"",H51*I51)</f>
        <v/>
      </c>
      <c r="K51" s="1"/>
      <c r="L51" s="1"/>
    </row>
    <row r="52" spans="1:12" x14ac:dyDescent="0.15">
      <c r="A52" s="1"/>
      <c r="B52" s="4"/>
      <c r="C52" s="1"/>
      <c r="D52" s="1"/>
      <c r="E52" s="1"/>
      <c r="F52" s="1"/>
      <c r="G52" s="1"/>
      <c r="H52" s="1" t="str">
        <f>IF(OR(F52="",G52=""),"",G52-F52)</f>
        <v/>
      </c>
      <c r="I52" s="1"/>
      <c r="J52" s="1" t="str">
        <f>IF(OR(H52="",I52=""),"",H52*I52)</f>
        <v/>
      </c>
      <c r="K52" s="1"/>
      <c r="L52" s="1"/>
    </row>
    <row r="53" spans="1:12" x14ac:dyDescent="0.15">
      <c r="A53" s="1"/>
      <c r="B53" s="4"/>
      <c r="C53" s="1"/>
      <c r="D53" s="1"/>
      <c r="E53" s="1"/>
      <c r="F53" s="1"/>
      <c r="G53" s="1"/>
      <c r="H53" s="1" t="str">
        <f>IF(OR(F53="",G53=""),"",G53-F53)</f>
        <v/>
      </c>
      <c r="I53" s="1"/>
      <c r="J53" s="1" t="str">
        <f>IF(OR(H53="",I53=""),"",H53*I53)</f>
        <v/>
      </c>
      <c r="K53" s="1"/>
      <c r="L53" s="1"/>
    </row>
    <row r="54" spans="1:12" x14ac:dyDescent="0.15">
      <c r="A54" s="1"/>
      <c r="B54" s="4"/>
      <c r="C54" s="1"/>
      <c r="D54" s="1"/>
      <c r="E54" s="1"/>
      <c r="F54" s="1"/>
      <c r="G54" s="1"/>
      <c r="H54" s="1" t="str">
        <f>IF(OR(F54="",G54=""),"",G54-F54)</f>
        <v/>
      </c>
      <c r="I54" s="1"/>
      <c r="J54" s="1" t="str">
        <f>IF(OR(H54="",I54=""),"",H54*I54)</f>
        <v/>
      </c>
      <c r="K54" s="1"/>
      <c r="L54" s="1"/>
    </row>
    <row r="55" spans="1:12" x14ac:dyDescent="0.15">
      <c r="A55" s="1"/>
      <c r="B55" s="4"/>
      <c r="C55" s="1"/>
      <c r="D55" s="1"/>
      <c r="E55" s="1"/>
      <c r="F55" s="1"/>
      <c r="G55" s="1"/>
      <c r="H55" s="1" t="str">
        <f>IF(OR(F55="",G55=""),"",G55-F55)</f>
        <v/>
      </c>
      <c r="I55" s="1"/>
      <c r="J55" s="1" t="str">
        <f>IF(OR(H55="",I55=""),"",H55*I55)</f>
        <v/>
      </c>
      <c r="K55" s="1"/>
      <c r="L55" s="1"/>
    </row>
    <row r="56" spans="1:12" x14ac:dyDescent="0.15">
      <c r="A56" s="1"/>
      <c r="B56" s="4"/>
      <c r="C56" s="1"/>
      <c r="D56" s="1"/>
      <c r="E56" s="1"/>
      <c r="F56" s="1"/>
      <c r="G56" s="1"/>
      <c r="H56" s="1" t="str">
        <f>IF(OR(F56="",G56=""),"",G56-F56)</f>
        <v/>
      </c>
      <c r="I56" s="1"/>
      <c r="J56" s="1" t="str">
        <f>IF(OR(H56="",I56=""),"",H56*I56)</f>
        <v/>
      </c>
      <c r="K56" s="1"/>
      <c r="L56" s="1"/>
    </row>
    <row r="57" spans="1:12" x14ac:dyDescent="0.15">
      <c r="A57" s="1"/>
      <c r="B57" s="4"/>
      <c r="C57" s="1"/>
      <c r="D57" s="1"/>
      <c r="E57" s="1"/>
      <c r="F57" s="1"/>
      <c r="G57" s="1"/>
      <c r="H57" s="1" t="str">
        <f>IF(OR(F57="",G57=""),"",G57-F57)</f>
        <v/>
      </c>
      <c r="I57" s="1"/>
      <c r="J57" s="1" t="str">
        <f>IF(OR(H57="",I57=""),"",H57*I57)</f>
        <v/>
      </c>
      <c r="K57" s="1"/>
      <c r="L57" s="1"/>
    </row>
    <row r="58" spans="1:12" x14ac:dyDescent="0.15">
      <c r="A58" s="1"/>
      <c r="B58" s="4"/>
      <c r="C58" s="1"/>
      <c r="D58" s="1"/>
      <c r="E58" s="1"/>
      <c r="F58" s="1"/>
      <c r="G58" s="1"/>
      <c r="H58" s="1" t="str">
        <f>IF(OR(F58="",G58=""),"",G58-F58)</f>
        <v/>
      </c>
      <c r="I58" s="1"/>
      <c r="J58" s="1" t="str">
        <f>IF(OR(H58="",I58=""),"",H58*I58)</f>
        <v/>
      </c>
      <c r="K58" s="1"/>
      <c r="L58" s="1"/>
    </row>
    <row r="59" spans="1:12" x14ac:dyDescent="0.15">
      <c r="A59" s="1"/>
      <c r="B59" s="4"/>
      <c r="C59" s="1"/>
      <c r="D59" s="1"/>
      <c r="E59" s="1"/>
      <c r="F59" s="1"/>
      <c r="G59" s="1"/>
      <c r="H59" s="1" t="str">
        <f>IF(OR(F59="",G59=""),"",G59-F59)</f>
        <v/>
      </c>
      <c r="I59" s="1"/>
      <c r="J59" s="1" t="str">
        <f>IF(OR(H59="",I59=""),"",H59*I59)</f>
        <v/>
      </c>
      <c r="K59" s="1"/>
      <c r="L59" s="1"/>
    </row>
    <row r="60" spans="1:12" x14ac:dyDescent="0.15">
      <c r="A60" s="1"/>
      <c r="B60" s="4"/>
      <c r="C60" s="1"/>
      <c r="D60" s="1"/>
      <c r="E60" s="1"/>
      <c r="F60" s="1"/>
      <c r="G60" s="1"/>
      <c r="H60" s="1" t="str">
        <f>IF(OR(F60="",G60=""),"",G60-F60)</f>
        <v/>
      </c>
      <c r="I60" s="1"/>
      <c r="J60" s="1" t="str">
        <f>IF(OR(H60="",I60=""),"",H60*I60)</f>
        <v/>
      </c>
      <c r="K60" s="1"/>
      <c r="L60" s="1"/>
    </row>
    <row r="61" spans="1:12" x14ac:dyDescent="0.15">
      <c r="A61" s="1"/>
      <c r="B61" s="4"/>
      <c r="C61" s="1"/>
      <c r="D61" s="1"/>
      <c r="E61" s="1"/>
      <c r="F61" s="1"/>
      <c r="G61" s="1"/>
      <c r="H61" s="1" t="str">
        <f>IF(OR(F61="",G61=""),"",G61-F61)</f>
        <v/>
      </c>
      <c r="I61" s="1"/>
      <c r="J61" s="1" t="str">
        <f>IF(OR(H61="",I61=""),"",H61*I61)</f>
        <v/>
      </c>
      <c r="K61" s="1"/>
      <c r="L61" s="1"/>
    </row>
    <row r="62" spans="1:12" x14ac:dyDescent="0.15">
      <c r="A62" s="1"/>
      <c r="B62" s="4"/>
      <c r="C62" s="1"/>
      <c r="D62" s="1"/>
      <c r="E62" s="1"/>
      <c r="F62" s="1"/>
      <c r="G62" s="1"/>
      <c r="H62" s="1" t="str">
        <f>IF(OR(F62="",G62=""),"",G62-F62)</f>
        <v/>
      </c>
      <c r="I62" s="1"/>
      <c r="J62" s="1" t="str">
        <f>IF(OR(H62="",I62=""),"",H62*I62)</f>
        <v/>
      </c>
      <c r="K62" s="1"/>
      <c r="L62" s="1"/>
    </row>
    <row r="63" spans="1:12" x14ac:dyDescent="0.15">
      <c r="A63" s="1"/>
      <c r="B63" s="4"/>
      <c r="C63" s="1"/>
      <c r="D63" s="1"/>
      <c r="E63" s="1"/>
      <c r="F63" s="1"/>
      <c r="G63" s="1"/>
      <c r="H63" s="1" t="str">
        <f>IF(OR(F63="",G63=""),"",G63-F63)</f>
        <v/>
      </c>
      <c r="I63" s="1"/>
      <c r="J63" s="1" t="str">
        <f>IF(OR(H63="",I63=""),"",H63*I63)</f>
        <v/>
      </c>
      <c r="K63" s="1"/>
      <c r="L63" s="1"/>
    </row>
    <row r="64" spans="1:12" x14ac:dyDescent="0.15">
      <c r="A64" s="1"/>
      <c r="B64" s="4"/>
      <c r="C64" s="1"/>
      <c r="D64" s="1"/>
      <c r="E64" s="1"/>
      <c r="F64" s="1"/>
      <c r="G64" s="1"/>
      <c r="H64" s="1" t="str">
        <f>IF(OR(F64="",G64=""),"",G64-F64)</f>
        <v/>
      </c>
      <c r="I64" s="1"/>
      <c r="J64" s="1" t="str">
        <f>IF(OR(H64="",I64=""),"",H64*I64)</f>
        <v/>
      </c>
      <c r="K64" s="1"/>
      <c r="L64" s="1"/>
    </row>
    <row r="65" spans="1:12" x14ac:dyDescent="0.15">
      <c r="A65" s="1"/>
      <c r="B65" s="4"/>
      <c r="C65" s="1"/>
      <c r="D65" s="1"/>
      <c r="E65" s="1"/>
      <c r="F65" s="1"/>
      <c r="G65" s="1"/>
      <c r="H65" s="1" t="str">
        <f>IF(OR(F65="",G65=""),"",G65-F65)</f>
        <v/>
      </c>
      <c r="I65" s="1"/>
      <c r="J65" s="1" t="str">
        <f>IF(OR(H65="",I65=""),"",H65*I65)</f>
        <v/>
      </c>
      <c r="K65" s="1"/>
      <c r="L65" s="1"/>
    </row>
    <row r="66" spans="1:12" x14ac:dyDescent="0.15">
      <c r="A66" s="1"/>
      <c r="B66" s="4"/>
      <c r="C66" s="1"/>
      <c r="D66" s="1"/>
      <c r="E66" s="1"/>
      <c r="F66" s="1"/>
      <c r="G66" s="1"/>
      <c r="H66" s="1" t="str">
        <f>IF(OR(F66="",G66=""),"",G66-F66)</f>
        <v/>
      </c>
      <c r="I66" s="1"/>
      <c r="J66" s="1" t="str">
        <f>IF(OR(H66="",I66=""),"",H66*I66)</f>
        <v/>
      </c>
      <c r="K66" s="1"/>
      <c r="L66" s="1"/>
    </row>
    <row r="67" spans="1:12" x14ac:dyDescent="0.15">
      <c r="A67" s="1"/>
      <c r="B67" s="4"/>
      <c r="C67" s="1"/>
      <c r="D67" s="1"/>
      <c r="E67" s="1"/>
      <c r="F67" s="1"/>
      <c r="G67" s="1"/>
      <c r="H67" s="1" t="str">
        <f>IF(OR(F67="",G67=""),"",G67-F67)</f>
        <v/>
      </c>
      <c r="I67" s="1"/>
      <c r="J67" s="1" t="str">
        <f>IF(OR(H67="",I67=""),"",H67*I67)</f>
        <v/>
      </c>
      <c r="K67" s="1"/>
      <c r="L67" s="1"/>
    </row>
    <row r="68" spans="1:12" x14ac:dyDescent="0.15">
      <c r="A68" s="1"/>
      <c r="B68" s="4"/>
      <c r="C68" s="1"/>
      <c r="D68" s="1"/>
      <c r="E68" s="1"/>
      <c r="F68" s="1"/>
      <c r="G68" s="1"/>
      <c r="H68" s="1" t="str">
        <f>IF(OR(F68="",G68=""),"",G68-F68)</f>
        <v/>
      </c>
      <c r="I68" s="1"/>
      <c r="J68" s="1" t="str">
        <f>IF(OR(H68="",I68=""),"",H68*I68)</f>
        <v/>
      </c>
      <c r="K68" s="1"/>
      <c r="L68" s="1"/>
    </row>
    <row r="69" spans="1:12" x14ac:dyDescent="0.15">
      <c r="A69" s="1"/>
      <c r="B69" s="4"/>
      <c r="C69" s="1"/>
      <c r="D69" s="1"/>
      <c r="E69" s="1"/>
      <c r="F69" s="1"/>
      <c r="G69" s="1"/>
      <c r="H69" s="1" t="str">
        <f>IF(OR(F69="",G69=""),"",G69-F69)</f>
        <v/>
      </c>
      <c r="I69" s="1"/>
      <c r="J69" s="1" t="str">
        <f>IF(OR(H69="",I69=""),"",H69*I69)</f>
        <v/>
      </c>
      <c r="K69" s="1"/>
      <c r="L69" s="1"/>
    </row>
    <row r="70" spans="1:12" x14ac:dyDescent="0.15">
      <c r="A70" s="1"/>
      <c r="B70" s="4"/>
      <c r="C70" s="1"/>
      <c r="D70" s="1"/>
      <c r="E70" s="1"/>
      <c r="F70" s="1"/>
      <c r="G70" s="1"/>
      <c r="H70" s="1" t="str">
        <f>IF(OR(F70="",G70=""),"",G70-F70)</f>
        <v/>
      </c>
      <c r="I70" s="1"/>
      <c r="J70" s="1" t="str">
        <f>IF(OR(H70="",I70=""),"",H70*I70)</f>
        <v/>
      </c>
      <c r="K70" s="1"/>
      <c r="L70" s="1"/>
    </row>
    <row r="71" spans="1:12" x14ac:dyDescent="0.15">
      <c r="A71" s="1"/>
      <c r="B71" s="4"/>
      <c r="C71" s="1"/>
      <c r="D71" s="1"/>
      <c r="E71" s="1"/>
      <c r="F71" s="1"/>
      <c r="G71" s="1"/>
      <c r="H71" s="1" t="str">
        <f>IF(OR(F71="",G71=""),"",G71-F71)</f>
        <v/>
      </c>
      <c r="I71" s="1"/>
      <c r="J71" s="1" t="str">
        <f>IF(OR(H71="",I71=""),"",H71*I71)</f>
        <v/>
      </c>
      <c r="K71" s="1"/>
      <c r="L71" s="1"/>
    </row>
    <row r="72" spans="1:12" x14ac:dyDescent="0.15">
      <c r="A72" s="1"/>
      <c r="B72" s="4"/>
      <c r="C72" s="1"/>
      <c r="D72" s="1"/>
      <c r="E72" s="1"/>
      <c r="F72" s="1"/>
      <c r="G72" s="1"/>
      <c r="H72" s="1" t="str">
        <f>IF(OR(F72="",G72=""),"",G72-F72)</f>
        <v/>
      </c>
      <c r="I72" s="1"/>
      <c r="J72" s="1" t="str">
        <f>IF(OR(H72="",I72=""),"",H72*I72)</f>
        <v/>
      </c>
      <c r="K72" s="1"/>
      <c r="L72" s="1"/>
    </row>
    <row r="73" spans="1:12" x14ac:dyDescent="0.15">
      <c r="A73" s="1"/>
      <c r="B73" s="4"/>
      <c r="C73" s="1"/>
      <c r="D73" s="1"/>
      <c r="E73" s="1"/>
      <c r="F73" s="1"/>
      <c r="G73" s="1"/>
      <c r="H73" s="1" t="str">
        <f>IF(OR(F73="",G73=""),"",G73-F73)</f>
        <v/>
      </c>
      <c r="I73" s="1"/>
      <c r="J73" s="1" t="str">
        <f>IF(OR(H73="",I73=""),"",H73*I73)</f>
        <v/>
      </c>
      <c r="K73" s="1"/>
      <c r="L73" s="1"/>
    </row>
    <row r="74" spans="1:12" x14ac:dyDescent="0.15">
      <c r="A74" s="1"/>
      <c r="B74" s="4"/>
      <c r="C74" s="1"/>
      <c r="D74" s="1"/>
      <c r="E74" s="1"/>
      <c r="F74" s="1"/>
      <c r="G74" s="1"/>
      <c r="H74" s="1" t="str">
        <f>IF(OR(F74="",G74=""),"",G74-F74)</f>
        <v/>
      </c>
      <c r="I74" s="1"/>
      <c r="J74" s="1" t="str">
        <f>IF(OR(H74="",I74=""),"",H74*I74)</f>
        <v/>
      </c>
      <c r="K74" s="1"/>
      <c r="L74" s="1"/>
    </row>
    <row r="75" spans="1:12" x14ac:dyDescent="0.15">
      <c r="A75" s="1"/>
      <c r="B75" s="4"/>
      <c r="C75" s="1"/>
      <c r="D75" s="1"/>
      <c r="E75" s="1"/>
      <c r="F75" s="1"/>
      <c r="G75" s="1"/>
      <c r="H75" s="1" t="str">
        <f>IF(OR(F75="",G75=""),"",G75-F75)</f>
        <v/>
      </c>
      <c r="I75" s="1"/>
      <c r="J75" s="1" t="str">
        <f>IF(OR(H75="",I75=""),"",H75*I75)</f>
        <v/>
      </c>
      <c r="K75" s="1"/>
      <c r="L75" s="1"/>
    </row>
    <row r="76" spans="1:12" x14ac:dyDescent="0.15">
      <c r="A76" s="1"/>
      <c r="B76" s="4"/>
      <c r="C76" s="1"/>
      <c r="D76" s="1"/>
      <c r="E76" s="1"/>
      <c r="F76" s="1"/>
      <c r="G76" s="1"/>
      <c r="H76" s="1" t="str">
        <f>IF(OR(F76="",G76=""),"",G76-F76)</f>
        <v/>
      </c>
      <c r="I76" s="1"/>
      <c r="J76" s="1" t="str">
        <f>IF(OR(H76="",I76=""),"",H76*I76)</f>
        <v/>
      </c>
      <c r="K76" s="1"/>
      <c r="L76" s="1"/>
    </row>
    <row r="77" spans="1:12" x14ac:dyDescent="0.15">
      <c r="A77" s="1"/>
      <c r="B77" s="4"/>
      <c r="C77" s="1"/>
      <c r="D77" s="1"/>
      <c r="E77" s="1"/>
      <c r="F77" s="1"/>
      <c r="G77" s="1"/>
      <c r="H77" s="1" t="str">
        <f>IF(OR(F77="",G77=""),"",G77-F77)</f>
        <v/>
      </c>
      <c r="I77" s="1"/>
      <c r="J77" s="1" t="str">
        <f>IF(OR(H77="",I77=""),"",H77*I77)</f>
        <v/>
      </c>
      <c r="K77" s="1"/>
      <c r="L77" s="1"/>
    </row>
    <row r="78" spans="1:12" x14ac:dyDescent="0.15">
      <c r="A78" s="1"/>
      <c r="B78" s="4"/>
      <c r="C78" s="1"/>
      <c r="D78" s="1"/>
      <c r="E78" s="1"/>
      <c r="F78" s="1"/>
      <c r="G78" s="1"/>
      <c r="H78" s="1" t="str">
        <f>IF(OR(F78="",G78=""),"",G78-F78)</f>
        <v/>
      </c>
      <c r="I78" s="1"/>
      <c r="J78" s="1" t="str">
        <f>IF(OR(H78="",I78=""),"",H78*I78)</f>
        <v/>
      </c>
      <c r="K78" s="1"/>
      <c r="L78" s="1"/>
    </row>
    <row r="79" spans="1:12" x14ac:dyDescent="0.15">
      <c r="A79" s="1"/>
      <c r="B79" s="4"/>
      <c r="C79" s="1"/>
      <c r="D79" s="1"/>
      <c r="E79" s="1"/>
      <c r="F79" s="1"/>
      <c r="G79" s="1"/>
      <c r="H79" s="1" t="str">
        <f>IF(OR(F79="",G79=""),"",G79-F79)</f>
        <v/>
      </c>
      <c r="I79" s="1"/>
      <c r="J79" s="1" t="str">
        <f>IF(OR(H79="",I79=""),"",H79*I79)</f>
        <v/>
      </c>
      <c r="K79" s="1"/>
      <c r="L79" s="1"/>
    </row>
    <row r="80" spans="1:12" x14ac:dyDescent="0.15">
      <c r="A80" s="1"/>
      <c r="B80" s="4"/>
      <c r="C80" s="1"/>
      <c r="D80" s="1"/>
      <c r="E80" s="1"/>
      <c r="F80" s="1"/>
      <c r="G80" s="1"/>
      <c r="H80" s="1" t="str">
        <f>IF(OR(F80="",G80=""),"",G80-F80)</f>
        <v/>
      </c>
      <c r="I80" s="1"/>
      <c r="J80" s="1" t="str">
        <f>IF(OR(H80="",I80=""),"",H80*I80)</f>
        <v/>
      </c>
      <c r="K80" s="1"/>
      <c r="L80" s="1"/>
    </row>
    <row r="81" spans="1:12" x14ac:dyDescent="0.15">
      <c r="A81" s="1"/>
      <c r="B81" s="4"/>
      <c r="C81" s="1"/>
      <c r="D81" s="1"/>
      <c r="E81" s="1"/>
      <c r="F81" s="1"/>
      <c r="G81" s="1"/>
      <c r="H81" s="1" t="str">
        <f>IF(OR(F81="",G81=""),"",G81-F81)</f>
        <v/>
      </c>
      <c r="I81" s="1"/>
      <c r="J81" s="1" t="str">
        <f>IF(OR(H81="",I81=""),"",H81*I81)</f>
        <v/>
      </c>
      <c r="K81" s="1"/>
      <c r="L81" s="1"/>
    </row>
    <row r="82" spans="1:12" x14ac:dyDescent="0.15">
      <c r="A82" s="1"/>
      <c r="B82" s="4"/>
      <c r="C82" s="1"/>
      <c r="D82" s="1"/>
      <c r="E82" s="1"/>
      <c r="F82" s="1"/>
      <c r="G82" s="1"/>
      <c r="H82" s="1" t="str">
        <f>IF(OR(F82="",G82=""),"",G82-F82)</f>
        <v/>
      </c>
      <c r="I82" s="1"/>
      <c r="J82" s="1" t="str">
        <f>IF(OR(H82="",I82=""),"",H82*I82)</f>
        <v/>
      </c>
      <c r="K82" s="1"/>
      <c r="L82" s="1"/>
    </row>
    <row r="83" spans="1:12" x14ac:dyDescent="0.15">
      <c r="A83" s="1"/>
      <c r="B83" s="4"/>
      <c r="C83" s="1"/>
      <c r="D83" s="1"/>
      <c r="E83" s="1"/>
      <c r="F83" s="1"/>
      <c r="G83" s="1"/>
      <c r="H83" s="1" t="str">
        <f>IF(OR(F83="",G83=""),"",G83-F83)</f>
        <v/>
      </c>
      <c r="I83" s="1"/>
      <c r="J83" s="1" t="str">
        <f>IF(OR(H83="",I83=""),"",H83*I83)</f>
        <v/>
      </c>
      <c r="K83" s="1"/>
      <c r="L83" s="1"/>
    </row>
    <row r="84" spans="1:12" x14ac:dyDescent="0.15">
      <c r="A84" s="1"/>
      <c r="B84" s="4"/>
      <c r="C84" s="1"/>
      <c r="D84" s="1"/>
      <c r="E84" s="1"/>
      <c r="F84" s="1"/>
      <c r="G84" s="1"/>
      <c r="H84" s="1" t="str">
        <f>IF(OR(F84="",G84=""),"",G84-F84)</f>
        <v/>
      </c>
      <c r="I84" s="1"/>
      <c r="J84" s="1" t="str">
        <f>IF(OR(H84="",I84=""),"",H84*I84)</f>
        <v/>
      </c>
      <c r="K84" s="1"/>
      <c r="L84" s="1"/>
    </row>
    <row r="85" spans="1:12" x14ac:dyDescent="0.15">
      <c r="A85" s="1"/>
      <c r="B85" s="4"/>
      <c r="C85" s="1"/>
      <c r="D85" s="1"/>
      <c r="E85" s="1"/>
      <c r="F85" s="1"/>
      <c r="G85" s="1"/>
      <c r="H85" s="1" t="str">
        <f>IF(OR(F85="",G85=""),"",G85-F85)</f>
        <v/>
      </c>
      <c r="I85" s="1"/>
      <c r="J85" s="1" t="str">
        <f>IF(OR(H85="",I85=""),"",H85*I85)</f>
        <v/>
      </c>
      <c r="K85" s="1"/>
      <c r="L85" s="1"/>
    </row>
    <row r="86" spans="1:12" x14ac:dyDescent="0.15">
      <c r="A86" s="1"/>
      <c r="B86" s="4"/>
      <c r="C86" s="1"/>
      <c r="D86" s="1"/>
      <c r="E86" s="1"/>
      <c r="F86" s="1"/>
      <c r="G86" s="1"/>
      <c r="H86" s="1" t="str">
        <f>IF(OR(F86="",G86=""),"",G86-F86)</f>
        <v/>
      </c>
      <c r="I86" s="1"/>
      <c r="J86" s="1" t="str">
        <f>IF(OR(H86="",I86=""),"",H86*I86)</f>
        <v/>
      </c>
      <c r="K86" s="1"/>
      <c r="L86" s="1"/>
    </row>
    <row r="87" spans="1:12" x14ac:dyDescent="0.15">
      <c r="A87" s="1"/>
      <c r="B87" s="4"/>
      <c r="C87" s="1"/>
      <c r="D87" s="1"/>
      <c r="E87" s="1"/>
      <c r="F87" s="1"/>
      <c r="G87" s="1"/>
      <c r="H87" s="1" t="str">
        <f>IF(OR(F87="",G87=""),"",G87-F87)</f>
        <v/>
      </c>
      <c r="I87" s="1"/>
      <c r="J87" s="1" t="str">
        <f>IF(OR(H87="",I87=""),"",H87*I87)</f>
        <v/>
      </c>
      <c r="K87" s="1"/>
      <c r="L87" s="1"/>
    </row>
    <row r="88" spans="1:12" x14ac:dyDescent="0.15">
      <c r="A88" s="1"/>
      <c r="B88" s="4"/>
      <c r="C88" s="1"/>
      <c r="D88" s="1"/>
      <c r="E88" s="1"/>
      <c r="F88" s="1"/>
      <c r="G88" s="1"/>
      <c r="H88" s="1" t="str">
        <f>IF(OR(F88="",G88=""),"",G88-F88)</f>
        <v/>
      </c>
      <c r="I88" s="1"/>
      <c r="J88" s="1" t="str">
        <f>IF(OR(H88="",I88=""),"",H88*I88)</f>
        <v/>
      </c>
      <c r="K88" s="1"/>
      <c r="L88" s="1"/>
    </row>
    <row r="89" spans="1:12" x14ac:dyDescent="0.15">
      <c r="A89" s="1"/>
      <c r="B89" s="4"/>
      <c r="C89" s="1"/>
      <c r="D89" s="1"/>
      <c r="E89" s="1"/>
      <c r="F89" s="1"/>
      <c r="G89" s="1"/>
      <c r="H89" s="1" t="str">
        <f>IF(OR(F89="",G89=""),"",G89-F89)</f>
        <v/>
      </c>
      <c r="I89" s="1"/>
      <c r="J89" s="1" t="str">
        <f>IF(OR(H89="",I89=""),"",H89*I89)</f>
        <v/>
      </c>
      <c r="K89" s="1"/>
      <c r="L89" s="1"/>
    </row>
    <row r="90" spans="1:12" x14ac:dyDescent="0.15">
      <c r="A90" s="1"/>
      <c r="B90" s="4"/>
      <c r="C90" s="1"/>
      <c r="D90" s="1"/>
      <c r="E90" s="1"/>
      <c r="F90" s="1"/>
      <c r="G90" s="1"/>
      <c r="H90" s="1" t="str">
        <f>IF(OR(F90="",G90=""),"",G90-F90)</f>
        <v/>
      </c>
      <c r="I90" s="1"/>
      <c r="J90" s="1" t="str">
        <f>IF(OR(H90="",I90=""),"",H90*I90)</f>
        <v/>
      </c>
      <c r="K90" s="1"/>
      <c r="L90" s="1"/>
    </row>
    <row r="91" spans="1:12" x14ac:dyDescent="0.15">
      <c r="A91" s="1"/>
      <c r="B91" s="4"/>
      <c r="C91" s="1"/>
      <c r="D91" s="1"/>
      <c r="E91" s="1"/>
      <c r="F91" s="1"/>
      <c r="G91" s="1"/>
      <c r="H91" s="1" t="str">
        <f>IF(OR(F91="",G91=""),"",G91-F91)</f>
        <v/>
      </c>
      <c r="I91" s="1"/>
      <c r="J91" s="1" t="str">
        <f>IF(OR(H91="",I91=""),"",H91*I91)</f>
        <v/>
      </c>
      <c r="K91" s="1"/>
      <c r="L91" s="1"/>
    </row>
    <row r="92" spans="1:12" x14ac:dyDescent="0.15">
      <c r="A92" s="1"/>
      <c r="B92" s="4"/>
      <c r="C92" s="1"/>
      <c r="D92" s="1"/>
      <c r="E92" s="1"/>
      <c r="F92" s="1"/>
      <c r="G92" s="1"/>
      <c r="H92" s="1" t="str">
        <f>IF(OR(F92="",G92=""),"",G92-F92)</f>
        <v/>
      </c>
      <c r="I92" s="1"/>
      <c r="J92" s="1" t="str">
        <f>IF(OR(H92="",I92=""),"",H92*I92)</f>
        <v/>
      </c>
      <c r="K92" s="1"/>
      <c r="L92" s="1"/>
    </row>
    <row r="93" spans="1:12" x14ac:dyDescent="0.15">
      <c r="A93" s="1"/>
      <c r="B93" s="4"/>
      <c r="C93" s="1"/>
      <c r="D93" s="1"/>
      <c r="E93" s="1"/>
      <c r="F93" s="1"/>
      <c r="G93" s="1"/>
      <c r="H93" s="1" t="str">
        <f>IF(OR(F93="",G93=""),"",G93-F93)</f>
        <v/>
      </c>
      <c r="I93" s="1"/>
      <c r="J93" s="1" t="str">
        <f>IF(OR(H93="",I93=""),"",H93*I93)</f>
        <v/>
      </c>
      <c r="K93" s="1"/>
      <c r="L93" s="1"/>
    </row>
    <row r="94" spans="1:12" x14ac:dyDescent="0.15">
      <c r="A94" s="1"/>
      <c r="B94" s="4"/>
      <c r="C94" s="1"/>
      <c r="D94" s="1"/>
      <c r="E94" s="1"/>
      <c r="F94" s="1"/>
      <c r="G94" s="1"/>
      <c r="H94" s="1" t="str">
        <f>IF(OR(F94="",G94=""),"",G94-F94)</f>
        <v/>
      </c>
      <c r="I94" s="1"/>
      <c r="J94" s="1" t="str">
        <f>IF(OR(H94="",I94=""),"",H94*I94)</f>
        <v/>
      </c>
      <c r="K94" s="1"/>
      <c r="L94" s="1"/>
    </row>
    <row r="95" spans="1:12" x14ac:dyDescent="0.15">
      <c r="A95" s="1"/>
      <c r="B95" s="4"/>
      <c r="C95" s="1"/>
      <c r="D95" s="1"/>
      <c r="E95" s="1"/>
      <c r="F95" s="1"/>
      <c r="G95" s="1"/>
      <c r="H95" s="1" t="str">
        <f>IF(OR(F95="",G95=""),"",G95-F95)</f>
        <v/>
      </c>
      <c r="I95" s="1"/>
      <c r="J95" s="1" t="str">
        <f>IF(OR(H95="",I95=""),"",H95*I95)</f>
        <v/>
      </c>
      <c r="K95" s="1"/>
      <c r="L95" s="1"/>
    </row>
    <row r="96" spans="1:12" x14ac:dyDescent="0.15">
      <c r="A96" s="1"/>
      <c r="B96" s="4"/>
      <c r="C96" s="1"/>
      <c r="D96" s="1"/>
      <c r="E96" s="1"/>
      <c r="F96" s="1"/>
      <c r="G96" s="1"/>
      <c r="H96" s="1" t="str">
        <f>IF(OR(F96="",G96=""),"",G96-F96)</f>
        <v/>
      </c>
      <c r="I96" s="1"/>
      <c r="J96" s="1" t="str">
        <f>IF(OR(H96="",I96=""),"",H96*I96)</f>
        <v/>
      </c>
      <c r="K96" s="1"/>
      <c r="L96" s="1"/>
    </row>
    <row r="97" spans="1:12" x14ac:dyDescent="0.15">
      <c r="A97" s="1"/>
      <c r="B97" s="4"/>
      <c r="C97" s="1"/>
      <c r="D97" s="1"/>
      <c r="E97" s="1"/>
      <c r="F97" s="1"/>
      <c r="G97" s="1"/>
      <c r="H97" s="1" t="str">
        <f>IF(OR(F97="",G97=""),"",G97-F97)</f>
        <v/>
      </c>
      <c r="I97" s="1"/>
      <c r="J97" s="1" t="str">
        <f>IF(OR(H97="",I97=""),"",H97*I97)</f>
        <v/>
      </c>
      <c r="K97" s="1"/>
      <c r="L97" s="1"/>
    </row>
    <row r="98" spans="1:12" x14ac:dyDescent="0.15">
      <c r="A98" s="1"/>
      <c r="B98" s="4"/>
      <c r="C98" s="1"/>
      <c r="D98" s="1"/>
      <c r="E98" s="1"/>
      <c r="F98" s="1"/>
      <c r="G98" s="1"/>
      <c r="H98" s="1" t="str">
        <f>IF(OR(F98="",G98=""),"",G98-F98)</f>
        <v/>
      </c>
      <c r="I98" s="1"/>
      <c r="J98" s="1" t="str">
        <f>IF(OR(H98="",I98=""),"",H98*I98)</f>
        <v/>
      </c>
      <c r="K98" s="1"/>
      <c r="L98" s="1"/>
    </row>
    <row r="99" spans="1:12" x14ac:dyDescent="0.15">
      <c r="A99" s="1"/>
      <c r="B99" s="4"/>
      <c r="C99" s="1"/>
      <c r="D99" s="1"/>
      <c r="E99" s="1"/>
      <c r="F99" s="1"/>
      <c r="G99" s="1"/>
      <c r="H99" s="1" t="str">
        <f>IF(OR(F99="",G99=""),"",G99-F99)</f>
        <v/>
      </c>
      <c r="I99" s="1"/>
      <c r="J99" s="1" t="str">
        <f>IF(OR(H99="",I99=""),"",H99*I99)</f>
        <v/>
      </c>
      <c r="K99" s="1"/>
      <c r="L99" s="1"/>
    </row>
    <row r="100" spans="1:12" x14ac:dyDescent="0.15">
      <c r="A100" s="1"/>
      <c r="B100" s="4"/>
      <c r="C100" s="1"/>
      <c r="D100" s="1"/>
      <c r="E100" s="1"/>
      <c r="F100" s="1"/>
      <c r="G100" s="1"/>
      <c r="H100" s="1" t="str">
        <f>IF(OR(F100="",G100=""),"",G100-F100)</f>
        <v/>
      </c>
      <c r="I100" s="1"/>
      <c r="J100" s="1" t="str">
        <f>IF(OR(H100="",I100=""),"",H100*I100)</f>
        <v/>
      </c>
      <c r="K100" s="1"/>
      <c r="L100" s="1"/>
    </row>
    <row r="101" spans="1:12" x14ac:dyDescent="0.15">
      <c r="A101" s="1"/>
      <c r="B101" s="4"/>
      <c r="C101" s="1"/>
      <c r="D101" s="1"/>
      <c r="E101" s="1"/>
      <c r="F101" s="1"/>
      <c r="G101" s="1"/>
      <c r="H101" s="1" t="str">
        <f>IF(OR(F101="",G101=""),"",G101-F101)</f>
        <v/>
      </c>
      <c r="I101" s="1"/>
      <c r="J101" s="1" t="str">
        <f>IF(OR(H101="",I101=""),"",H101*I101)</f>
        <v/>
      </c>
      <c r="K101" s="1"/>
      <c r="L101" s="1"/>
    </row>
    <row r="102" spans="1:12" x14ac:dyDescent="0.15">
      <c r="A102" s="1"/>
      <c r="B102" s="4"/>
      <c r="C102" s="1"/>
      <c r="D102" s="1"/>
      <c r="E102" s="1"/>
      <c r="F102" s="1"/>
      <c r="G102" s="1"/>
      <c r="H102" s="1" t="str">
        <f>IF(OR(F102="",G102=""),"",G102-F102)</f>
        <v/>
      </c>
      <c r="I102" s="1"/>
      <c r="J102" s="1" t="str">
        <f>IF(OR(H102="",I102=""),"",H102*I102)</f>
        <v/>
      </c>
      <c r="K102" s="1"/>
      <c r="L102" s="1"/>
    </row>
    <row r="103" spans="1:12" x14ac:dyDescent="0.15">
      <c r="A103" s="1"/>
      <c r="B103" s="4"/>
      <c r="C103" s="1"/>
      <c r="D103" s="1"/>
      <c r="E103" s="1"/>
      <c r="F103" s="1"/>
      <c r="G103" s="1"/>
      <c r="H103" s="1" t="str">
        <f>IF(OR(F103="",G103=""),"",G103-F103)</f>
        <v/>
      </c>
      <c r="I103" s="1"/>
      <c r="J103" s="1" t="str">
        <f>IF(OR(H103="",I103=""),"",H103*I103)</f>
        <v/>
      </c>
      <c r="K103" s="1"/>
      <c r="L103" s="1"/>
    </row>
  </sheetData>
  <mergeCells count="1">
    <mergeCell ref="A1:L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3"/>
  <sheetViews>
    <sheetView showGridLines="0" workbookViewId="0">
      <pane ySplit="3" topLeftCell="A4" activePane="bottomLeft" state="frozen"/>
      <selection pane="bottomLeft"/>
    </sheetView>
  </sheetViews>
  <sheetFormatPr defaultRowHeight="13.5" x14ac:dyDescent="0.15"/>
  <cols>
    <col min="1" max="14" width="19" customWidth="1"/>
  </cols>
  <sheetData>
    <row r="1" spans="1:14" ht="22.5" x14ac:dyDescent="0.15">
      <c r="A1" s="14" t="s">
        <v>92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15">
      <c r="A3" s="2" t="s">
        <v>45</v>
      </c>
      <c r="B3" s="2" t="s">
        <v>46</v>
      </c>
      <c r="C3" s="2" t="s">
        <v>69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  <c r="M3" s="2" t="s">
        <v>102</v>
      </c>
      <c r="N3" s="2" t="s">
        <v>11</v>
      </c>
    </row>
    <row r="4" spans="1:14" x14ac:dyDescent="0.15">
      <c r="A4" s="1"/>
      <c r="B4" s="1"/>
      <c r="C4" s="1"/>
      <c r="D4" s="1"/>
      <c r="E4" s="1" t="str">
        <f>IF(OR(C4="",D4=""),"",C4*D4)</f>
        <v/>
      </c>
      <c r="F4" s="1"/>
      <c r="G4" s="1"/>
      <c r="H4" s="1"/>
      <c r="I4" s="1" t="str">
        <f>IF(F4="","",F4-IF(G4="",0,G4)-IF(H4="",0,H4))</f>
        <v/>
      </c>
      <c r="J4" s="1" t="str">
        <f>IF(OR(C4="",I4=""),"",C4*I4)</f>
        <v/>
      </c>
      <c r="K4" s="1" t="str">
        <f>IF(OR(E4="",J4=""),"",MIN(E4,J4))</f>
        <v/>
      </c>
      <c r="L4" s="1" t="str">
        <f>IF(OR(E4="",K4=""),"",MAX(0,E4-K4))</f>
        <v/>
      </c>
      <c r="M4" s="1"/>
      <c r="N4" s="1"/>
    </row>
    <row r="5" spans="1:14" x14ac:dyDescent="0.15">
      <c r="A5" s="1"/>
      <c r="B5" s="1"/>
      <c r="C5" s="1"/>
      <c r="D5" s="1"/>
      <c r="E5" s="1" t="str">
        <f>IF(OR(C5="",D5=""),"",C5*D5)</f>
        <v/>
      </c>
      <c r="F5" s="1"/>
      <c r="G5" s="1"/>
      <c r="H5" s="1"/>
      <c r="I5" s="1" t="str">
        <f>IF(F5="","",F5-IF(G5="",0,G5)-IF(H5="",0,H5))</f>
        <v/>
      </c>
      <c r="J5" s="1" t="str">
        <f>IF(OR(C5="",I5=""),"",C5*I5)</f>
        <v/>
      </c>
      <c r="K5" s="1" t="str">
        <f>IF(OR(E5="",J5=""),"",MIN(E5,J5))</f>
        <v/>
      </c>
      <c r="L5" s="1" t="str">
        <f>IF(OR(E5="",K5=""),"",MAX(0,E5-K5))</f>
        <v/>
      </c>
      <c r="M5" s="1"/>
      <c r="N5" s="1"/>
    </row>
    <row r="6" spans="1:14" x14ac:dyDescent="0.15">
      <c r="A6" s="1"/>
      <c r="B6" s="1"/>
      <c r="C6" s="1"/>
      <c r="D6" s="1"/>
      <c r="E6" s="1" t="str">
        <f>IF(OR(C6="",D6=""),"",C6*D6)</f>
        <v/>
      </c>
      <c r="F6" s="1"/>
      <c r="G6" s="1"/>
      <c r="H6" s="1"/>
      <c r="I6" s="1" t="str">
        <f>IF(F6="","",F6-IF(G6="",0,G6)-IF(H6="",0,H6))</f>
        <v/>
      </c>
      <c r="J6" s="1" t="str">
        <f>IF(OR(C6="",I6=""),"",C6*I6)</f>
        <v/>
      </c>
      <c r="K6" s="1" t="str">
        <f>IF(OR(E6="",J6=""),"",MIN(E6,J6))</f>
        <v/>
      </c>
      <c r="L6" s="1" t="str">
        <f>IF(OR(E6="",K6=""),"",MAX(0,E6-K6))</f>
        <v/>
      </c>
      <c r="M6" s="1"/>
      <c r="N6" s="1"/>
    </row>
    <row r="7" spans="1:14" x14ac:dyDescent="0.15">
      <c r="A7" s="1"/>
      <c r="B7" s="1"/>
      <c r="C7" s="1"/>
      <c r="D7" s="1"/>
      <c r="E7" s="1" t="str">
        <f>IF(OR(C7="",D7=""),"",C7*D7)</f>
        <v/>
      </c>
      <c r="F7" s="1"/>
      <c r="G7" s="1"/>
      <c r="H7" s="1"/>
      <c r="I7" s="1" t="str">
        <f>IF(F7="","",F7-IF(G7="",0,G7)-IF(H7="",0,H7))</f>
        <v/>
      </c>
      <c r="J7" s="1" t="str">
        <f>IF(OR(C7="",I7=""),"",C7*I7)</f>
        <v/>
      </c>
      <c r="K7" s="1" t="str">
        <f>IF(OR(E7="",J7=""),"",MIN(E7,J7))</f>
        <v/>
      </c>
      <c r="L7" s="1" t="str">
        <f>IF(OR(E7="",K7=""),"",MAX(0,E7-K7))</f>
        <v/>
      </c>
      <c r="M7" s="1"/>
      <c r="N7" s="1"/>
    </row>
    <row r="8" spans="1:14" x14ac:dyDescent="0.15">
      <c r="A8" s="1"/>
      <c r="B8" s="1"/>
      <c r="C8" s="1"/>
      <c r="D8" s="1"/>
      <c r="E8" s="1" t="str">
        <f>IF(OR(C8="",D8=""),"",C8*D8)</f>
        <v/>
      </c>
      <c r="F8" s="1"/>
      <c r="G8" s="1"/>
      <c r="H8" s="1"/>
      <c r="I8" s="1" t="str">
        <f>IF(F8="","",F8-IF(G8="",0,G8)-IF(H8="",0,H8))</f>
        <v/>
      </c>
      <c r="J8" s="1" t="str">
        <f>IF(OR(C8="",I8=""),"",C8*I8)</f>
        <v/>
      </c>
      <c r="K8" s="1" t="str">
        <f>IF(OR(E8="",J8=""),"",MIN(E8,J8))</f>
        <v/>
      </c>
      <c r="L8" s="1" t="str">
        <f>IF(OR(E8="",K8=""),"",MAX(0,E8-K8))</f>
        <v/>
      </c>
      <c r="M8" s="1"/>
      <c r="N8" s="1"/>
    </row>
    <row r="9" spans="1:14" x14ac:dyDescent="0.15">
      <c r="A9" s="1"/>
      <c r="B9" s="1"/>
      <c r="C9" s="1"/>
      <c r="D9" s="1"/>
      <c r="E9" s="1" t="str">
        <f>IF(OR(C9="",D9=""),"",C9*D9)</f>
        <v/>
      </c>
      <c r="F9" s="1"/>
      <c r="G9" s="1"/>
      <c r="H9" s="1"/>
      <c r="I9" s="1" t="str">
        <f>IF(F9="","",F9-IF(G9="",0,G9)-IF(H9="",0,H9))</f>
        <v/>
      </c>
      <c r="J9" s="1" t="str">
        <f>IF(OR(C9="",I9=""),"",C9*I9)</f>
        <v/>
      </c>
      <c r="K9" s="1" t="str">
        <f>IF(OR(E9="",J9=""),"",MIN(E9,J9))</f>
        <v/>
      </c>
      <c r="L9" s="1" t="str">
        <f>IF(OR(E9="",K9=""),"",MAX(0,E9-K9))</f>
        <v/>
      </c>
      <c r="M9" s="1"/>
      <c r="N9" s="1"/>
    </row>
    <row r="10" spans="1:14" x14ac:dyDescent="0.15">
      <c r="A10" s="1"/>
      <c r="B10" s="1"/>
      <c r="C10" s="1"/>
      <c r="D10" s="1"/>
      <c r="E10" s="1" t="str">
        <f>IF(OR(C10="",D10=""),"",C10*D10)</f>
        <v/>
      </c>
      <c r="F10" s="1"/>
      <c r="G10" s="1"/>
      <c r="H10" s="1"/>
      <c r="I10" s="1" t="str">
        <f>IF(F10="","",F10-IF(G10="",0,G10)-IF(H10="",0,H10))</f>
        <v/>
      </c>
      <c r="J10" s="1" t="str">
        <f>IF(OR(C10="",I10=""),"",C10*I10)</f>
        <v/>
      </c>
      <c r="K10" s="1" t="str">
        <f>IF(OR(E10="",J10=""),"",MIN(E10,J10))</f>
        <v/>
      </c>
      <c r="L10" s="1" t="str">
        <f>IF(OR(E10="",K10=""),"",MAX(0,E10-K10))</f>
        <v/>
      </c>
      <c r="M10" s="1"/>
      <c r="N10" s="1"/>
    </row>
    <row r="11" spans="1:14" x14ac:dyDescent="0.15">
      <c r="A11" s="1"/>
      <c r="B11" s="1"/>
      <c r="C11" s="1"/>
      <c r="D11" s="1"/>
      <c r="E11" s="1" t="str">
        <f>IF(OR(C11="",D11=""),"",C11*D11)</f>
        <v/>
      </c>
      <c r="F11" s="1"/>
      <c r="G11" s="1"/>
      <c r="H11" s="1"/>
      <c r="I11" s="1" t="str">
        <f>IF(F11="","",F11-IF(G11="",0,G11)-IF(H11="",0,H11))</f>
        <v/>
      </c>
      <c r="J11" s="1" t="str">
        <f>IF(OR(C11="",I11=""),"",C11*I11)</f>
        <v/>
      </c>
      <c r="K11" s="1" t="str">
        <f>IF(OR(E11="",J11=""),"",MIN(E11,J11))</f>
        <v/>
      </c>
      <c r="L11" s="1" t="str">
        <f>IF(OR(E11="",K11=""),"",MAX(0,E11-K11))</f>
        <v/>
      </c>
      <c r="M11" s="1"/>
      <c r="N11" s="1"/>
    </row>
    <row r="12" spans="1:14" x14ac:dyDescent="0.15">
      <c r="A12" s="1"/>
      <c r="B12" s="1"/>
      <c r="C12" s="1"/>
      <c r="D12" s="1"/>
      <c r="E12" s="1" t="str">
        <f>IF(OR(C12="",D12=""),"",C12*D12)</f>
        <v/>
      </c>
      <c r="F12" s="1"/>
      <c r="G12" s="1"/>
      <c r="H12" s="1"/>
      <c r="I12" s="1" t="str">
        <f>IF(F12="","",F12-IF(G12="",0,G12)-IF(H12="",0,H12))</f>
        <v/>
      </c>
      <c r="J12" s="1" t="str">
        <f>IF(OR(C12="",I12=""),"",C12*I12)</f>
        <v/>
      </c>
      <c r="K12" s="1" t="str">
        <f>IF(OR(E12="",J12=""),"",MIN(E12,J12))</f>
        <v/>
      </c>
      <c r="L12" s="1" t="str">
        <f>IF(OR(E12="",K12=""),"",MAX(0,E12-K12))</f>
        <v/>
      </c>
      <c r="M12" s="1"/>
      <c r="N12" s="1"/>
    </row>
    <row r="13" spans="1:14" x14ac:dyDescent="0.15">
      <c r="A13" s="1"/>
      <c r="B13" s="1"/>
      <c r="C13" s="1"/>
      <c r="D13" s="1"/>
      <c r="E13" s="1" t="str">
        <f>IF(OR(C13="",D13=""),"",C13*D13)</f>
        <v/>
      </c>
      <c r="F13" s="1"/>
      <c r="G13" s="1"/>
      <c r="H13" s="1"/>
      <c r="I13" s="1" t="str">
        <f>IF(F13="","",F13-IF(G13="",0,G13)-IF(H13="",0,H13))</f>
        <v/>
      </c>
      <c r="J13" s="1" t="str">
        <f>IF(OR(C13="",I13=""),"",C13*I13)</f>
        <v/>
      </c>
      <c r="K13" s="1" t="str">
        <f>IF(OR(E13="",J13=""),"",MIN(E13,J13))</f>
        <v/>
      </c>
      <c r="L13" s="1" t="str">
        <f>IF(OR(E13="",K13=""),"",MAX(0,E13-K13))</f>
        <v/>
      </c>
      <c r="M13" s="1"/>
      <c r="N13" s="1"/>
    </row>
    <row r="14" spans="1:14" x14ac:dyDescent="0.15">
      <c r="A14" s="1"/>
      <c r="B14" s="1"/>
      <c r="C14" s="1"/>
      <c r="D14" s="1"/>
      <c r="E14" s="1" t="str">
        <f>IF(OR(C14="",D14=""),"",C14*D14)</f>
        <v/>
      </c>
      <c r="F14" s="1"/>
      <c r="G14" s="1"/>
      <c r="H14" s="1"/>
      <c r="I14" s="1" t="str">
        <f>IF(F14="","",F14-IF(G14="",0,G14)-IF(H14="",0,H14))</f>
        <v/>
      </c>
      <c r="J14" s="1" t="str">
        <f>IF(OR(C14="",I14=""),"",C14*I14)</f>
        <v/>
      </c>
      <c r="K14" s="1" t="str">
        <f>IF(OR(E14="",J14=""),"",MIN(E14,J14))</f>
        <v/>
      </c>
      <c r="L14" s="1" t="str">
        <f>IF(OR(E14="",K14=""),"",MAX(0,E14-K14))</f>
        <v/>
      </c>
      <c r="M14" s="1"/>
      <c r="N14" s="1"/>
    </row>
    <row r="15" spans="1:14" x14ac:dyDescent="0.15">
      <c r="A15" s="1"/>
      <c r="B15" s="1"/>
      <c r="C15" s="1"/>
      <c r="D15" s="1"/>
      <c r="E15" s="1" t="str">
        <f>IF(OR(C15="",D15=""),"",C15*D15)</f>
        <v/>
      </c>
      <c r="F15" s="1"/>
      <c r="G15" s="1"/>
      <c r="H15" s="1"/>
      <c r="I15" s="1" t="str">
        <f>IF(F15="","",F15-IF(G15="",0,G15)-IF(H15="",0,H15))</f>
        <v/>
      </c>
      <c r="J15" s="1" t="str">
        <f>IF(OR(C15="",I15=""),"",C15*I15)</f>
        <v/>
      </c>
      <c r="K15" s="1" t="str">
        <f>IF(OR(E15="",J15=""),"",MIN(E15,J15))</f>
        <v/>
      </c>
      <c r="L15" s="1" t="str">
        <f>IF(OR(E15="",K15=""),"",MAX(0,E15-K15))</f>
        <v/>
      </c>
      <c r="M15" s="1"/>
      <c r="N15" s="1"/>
    </row>
    <row r="16" spans="1:14" x14ac:dyDescent="0.15">
      <c r="A16" s="1"/>
      <c r="B16" s="1"/>
      <c r="C16" s="1"/>
      <c r="D16" s="1"/>
      <c r="E16" s="1" t="str">
        <f>IF(OR(C16="",D16=""),"",C16*D16)</f>
        <v/>
      </c>
      <c r="F16" s="1"/>
      <c r="G16" s="1"/>
      <c r="H16" s="1"/>
      <c r="I16" s="1" t="str">
        <f>IF(F16="","",F16-IF(G16="",0,G16)-IF(H16="",0,H16))</f>
        <v/>
      </c>
      <c r="J16" s="1" t="str">
        <f>IF(OR(C16="",I16=""),"",C16*I16)</f>
        <v/>
      </c>
      <c r="K16" s="1" t="str">
        <f>IF(OR(E16="",J16=""),"",MIN(E16,J16))</f>
        <v/>
      </c>
      <c r="L16" s="1" t="str">
        <f>IF(OR(E16="",K16=""),"",MAX(0,E16-K16))</f>
        <v/>
      </c>
      <c r="M16" s="1"/>
      <c r="N16" s="1"/>
    </row>
    <row r="17" spans="1:14" x14ac:dyDescent="0.15">
      <c r="A17" s="1"/>
      <c r="B17" s="1"/>
      <c r="C17" s="1"/>
      <c r="D17" s="1"/>
      <c r="E17" s="1" t="str">
        <f>IF(OR(C17="",D17=""),"",C17*D17)</f>
        <v/>
      </c>
      <c r="F17" s="1"/>
      <c r="G17" s="1"/>
      <c r="H17" s="1"/>
      <c r="I17" s="1" t="str">
        <f>IF(F17="","",F17-IF(G17="",0,G17)-IF(H17="",0,H17))</f>
        <v/>
      </c>
      <c r="J17" s="1" t="str">
        <f>IF(OR(C17="",I17=""),"",C17*I17)</f>
        <v/>
      </c>
      <c r="K17" s="1" t="str">
        <f>IF(OR(E17="",J17=""),"",MIN(E17,J17))</f>
        <v/>
      </c>
      <c r="L17" s="1" t="str">
        <f>IF(OR(E17="",K17=""),"",MAX(0,E17-K17))</f>
        <v/>
      </c>
      <c r="M17" s="1"/>
      <c r="N17" s="1"/>
    </row>
    <row r="18" spans="1:14" x14ac:dyDescent="0.15">
      <c r="A18" s="1"/>
      <c r="B18" s="1"/>
      <c r="C18" s="1"/>
      <c r="D18" s="1"/>
      <c r="E18" s="1" t="str">
        <f>IF(OR(C18="",D18=""),"",C18*D18)</f>
        <v/>
      </c>
      <c r="F18" s="1"/>
      <c r="G18" s="1"/>
      <c r="H18" s="1"/>
      <c r="I18" s="1" t="str">
        <f>IF(F18="","",F18-IF(G18="",0,G18)-IF(H18="",0,H18))</f>
        <v/>
      </c>
      <c r="J18" s="1" t="str">
        <f>IF(OR(C18="",I18=""),"",C18*I18)</f>
        <v/>
      </c>
      <c r="K18" s="1" t="str">
        <f>IF(OR(E18="",J18=""),"",MIN(E18,J18))</f>
        <v/>
      </c>
      <c r="L18" s="1" t="str">
        <f>IF(OR(E18="",K18=""),"",MAX(0,E18-K18))</f>
        <v/>
      </c>
      <c r="M18" s="1"/>
      <c r="N18" s="1"/>
    </row>
    <row r="19" spans="1:14" x14ac:dyDescent="0.15">
      <c r="A19" s="1"/>
      <c r="B19" s="1"/>
      <c r="C19" s="1"/>
      <c r="D19" s="1"/>
      <c r="E19" s="1" t="str">
        <f>IF(OR(C19="",D19=""),"",C19*D19)</f>
        <v/>
      </c>
      <c r="F19" s="1"/>
      <c r="G19" s="1"/>
      <c r="H19" s="1"/>
      <c r="I19" s="1" t="str">
        <f>IF(F19="","",F19-IF(G19="",0,G19)-IF(H19="",0,H19))</f>
        <v/>
      </c>
      <c r="J19" s="1" t="str">
        <f>IF(OR(C19="",I19=""),"",C19*I19)</f>
        <v/>
      </c>
      <c r="K19" s="1" t="str">
        <f>IF(OR(E19="",J19=""),"",MIN(E19,J19))</f>
        <v/>
      </c>
      <c r="L19" s="1" t="str">
        <f>IF(OR(E19="",K19=""),"",MAX(0,E19-K19))</f>
        <v/>
      </c>
      <c r="M19" s="1"/>
      <c r="N19" s="1"/>
    </row>
    <row r="20" spans="1:14" x14ac:dyDescent="0.15">
      <c r="A20" s="1"/>
      <c r="B20" s="1"/>
      <c r="C20" s="1"/>
      <c r="D20" s="1"/>
      <c r="E20" s="1" t="str">
        <f>IF(OR(C20="",D20=""),"",C20*D20)</f>
        <v/>
      </c>
      <c r="F20" s="1"/>
      <c r="G20" s="1"/>
      <c r="H20" s="1"/>
      <c r="I20" s="1" t="str">
        <f>IF(F20="","",F20-IF(G20="",0,G20)-IF(H20="",0,H20))</f>
        <v/>
      </c>
      <c r="J20" s="1" t="str">
        <f>IF(OR(C20="",I20=""),"",C20*I20)</f>
        <v/>
      </c>
      <c r="K20" s="1" t="str">
        <f>IF(OR(E20="",J20=""),"",MIN(E20,J20))</f>
        <v/>
      </c>
      <c r="L20" s="1" t="str">
        <f>IF(OR(E20="",K20=""),"",MAX(0,E20-K20))</f>
        <v/>
      </c>
      <c r="M20" s="1"/>
      <c r="N20" s="1"/>
    </row>
    <row r="21" spans="1:14" x14ac:dyDescent="0.15">
      <c r="A21" s="1"/>
      <c r="B21" s="1"/>
      <c r="C21" s="1"/>
      <c r="D21" s="1"/>
      <c r="E21" s="1" t="str">
        <f>IF(OR(C21="",D21=""),"",C21*D21)</f>
        <v/>
      </c>
      <c r="F21" s="1"/>
      <c r="G21" s="1"/>
      <c r="H21" s="1"/>
      <c r="I21" s="1" t="str">
        <f>IF(F21="","",F21-IF(G21="",0,G21)-IF(H21="",0,H21))</f>
        <v/>
      </c>
      <c r="J21" s="1" t="str">
        <f>IF(OR(C21="",I21=""),"",C21*I21)</f>
        <v/>
      </c>
      <c r="K21" s="1" t="str">
        <f>IF(OR(E21="",J21=""),"",MIN(E21,J21))</f>
        <v/>
      </c>
      <c r="L21" s="1" t="str">
        <f>IF(OR(E21="",K21=""),"",MAX(0,E21-K21))</f>
        <v/>
      </c>
      <c r="M21" s="1"/>
      <c r="N21" s="1"/>
    </row>
    <row r="22" spans="1:14" x14ac:dyDescent="0.15">
      <c r="A22" s="1"/>
      <c r="B22" s="1"/>
      <c r="C22" s="1"/>
      <c r="D22" s="1"/>
      <c r="E22" s="1" t="str">
        <f>IF(OR(C22="",D22=""),"",C22*D22)</f>
        <v/>
      </c>
      <c r="F22" s="1"/>
      <c r="G22" s="1"/>
      <c r="H22" s="1"/>
      <c r="I22" s="1" t="str">
        <f>IF(F22="","",F22-IF(G22="",0,G22)-IF(H22="",0,H22))</f>
        <v/>
      </c>
      <c r="J22" s="1" t="str">
        <f>IF(OR(C22="",I22=""),"",C22*I22)</f>
        <v/>
      </c>
      <c r="K22" s="1" t="str">
        <f>IF(OR(E22="",J22=""),"",MIN(E22,J22))</f>
        <v/>
      </c>
      <c r="L22" s="1" t="str">
        <f>IF(OR(E22="",K22=""),"",MAX(0,E22-K22))</f>
        <v/>
      </c>
      <c r="M22" s="1"/>
      <c r="N22" s="1"/>
    </row>
    <row r="23" spans="1:14" x14ac:dyDescent="0.15">
      <c r="A23" s="1"/>
      <c r="B23" s="1"/>
      <c r="C23" s="1"/>
      <c r="D23" s="1"/>
      <c r="E23" s="1" t="str">
        <f>IF(OR(C23="",D23=""),"",C23*D23)</f>
        <v/>
      </c>
      <c r="F23" s="1"/>
      <c r="G23" s="1"/>
      <c r="H23" s="1"/>
      <c r="I23" s="1" t="str">
        <f>IF(F23="","",F23-IF(G23="",0,G23)-IF(H23="",0,H23))</f>
        <v/>
      </c>
      <c r="J23" s="1" t="str">
        <f>IF(OR(C23="",I23=""),"",C23*I23)</f>
        <v/>
      </c>
      <c r="K23" s="1" t="str">
        <f>IF(OR(E23="",J23=""),"",MIN(E23,J23))</f>
        <v/>
      </c>
      <c r="L23" s="1" t="str">
        <f>IF(OR(E23="",K23=""),"",MAX(0,E23-K23))</f>
        <v/>
      </c>
      <c r="M23" s="1"/>
      <c r="N23" s="1"/>
    </row>
    <row r="24" spans="1:14" x14ac:dyDescent="0.15">
      <c r="A24" s="1"/>
      <c r="B24" s="1"/>
      <c r="C24" s="1"/>
      <c r="D24" s="1"/>
      <c r="E24" s="1" t="str">
        <f>IF(OR(C24="",D24=""),"",C24*D24)</f>
        <v/>
      </c>
      <c r="F24" s="1"/>
      <c r="G24" s="1"/>
      <c r="H24" s="1"/>
      <c r="I24" s="1" t="str">
        <f>IF(F24="","",F24-IF(G24="",0,G24)-IF(H24="",0,H24))</f>
        <v/>
      </c>
      <c r="J24" s="1" t="str">
        <f>IF(OR(C24="",I24=""),"",C24*I24)</f>
        <v/>
      </c>
      <c r="K24" s="1" t="str">
        <f>IF(OR(E24="",J24=""),"",MIN(E24,J24))</f>
        <v/>
      </c>
      <c r="L24" s="1" t="str">
        <f>IF(OR(E24="",K24=""),"",MAX(0,E24-K24))</f>
        <v/>
      </c>
      <c r="M24" s="1"/>
      <c r="N24" s="1"/>
    </row>
    <row r="25" spans="1:14" x14ac:dyDescent="0.15">
      <c r="A25" s="1"/>
      <c r="B25" s="1"/>
      <c r="C25" s="1"/>
      <c r="D25" s="1"/>
      <c r="E25" s="1" t="str">
        <f>IF(OR(C25="",D25=""),"",C25*D25)</f>
        <v/>
      </c>
      <c r="F25" s="1"/>
      <c r="G25" s="1"/>
      <c r="H25" s="1"/>
      <c r="I25" s="1" t="str">
        <f>IF(F25="","",F25-IF(G25="",0,G25)-IF(H25="",0,H25))</f>
        <v/>
      </c>
      <c r="J25" s="1" t="str">
        <f>IF(OR(C25="",I25=""),"",C25*I25)</f>
        <v/>
      </c>
      <c r="K25" s="1" t="str">
        <f>IF(OR(E25="",J25=""),"",MIN(E25,J25))</f>
        <v/>
      </c>
      <c r="L25" s="1" t="str">
        <f>IF(OR(E25="",K25=""),"",MAX(0,E25-K25))</f>
        <v/>
      </c>
      <c r="M25" s="1"/>
      <c r="N25" s="1"/>
    </row>
    <row r="26" spans="1:14" x14ac:dyDescent="0.15">
      <c r="A26" s="1"/>
      <c r="B26" s="1"/>
      <c r="C26" s="1"/>
      <c r="D26" s="1"/>
      <c r="E26" s="1" t="str">
        <f>IF(OR(C26="",D26=""),"",C26*D26)</f>
        <v/>
      </c>
      <c r="F26" s="1"/>
      <c r="G26" s="1"/>
      <c r="H26" s="1"/>
      <c r="I26" s="1" t="str">
        <f>IF(F26="","",F26-IF(G26="",0,G26)-IF(H26="",0,H26))</f>
        <v/>
      </c>
      <c r="J26" s="1" t="str">
        <f>IF(OR(C26="",I26=""),"",C26*I26)</f>
        <v/>
      </c>
      <c r="K26" s="1" t="str">
        <f>IF(OR(E26="",J26=""),"",MIN(E26,J26))</f>
        <v/>
      </c>
      <c r="L26" s="1" t="str">
        <f>IF(OR(E26="",K26=""),"",MAX(0,E26-K26))</f>
        <v/>
      </c>
      <c r="M26" s="1"/>
      <c r="N26" s="1"/>
    </row>
    <row r="27" spans="1:14" x14ac:dyDescent="0.15">
      <c r="A27" s="1"/>
      <c r="B27" s="1"/>
      <c r="C27" s="1"/>
      <c r="D27" s="1"/>
      <c r="E27" s="1" t="str">
        <f>IF(OR(C27="",D27=""),"",C27*D27)</f>
        <v/>
      </c>
      <c r="F27" s="1"/>
      <c r="G27" s="1"/>
      <c r="H27" s="1"/>
      <c r="I27" s="1" t="str">
        <f>IF(F27="","",F27-IF(G27="",0,G27)-IF(H27="",0,H27))</f>
        <v/>
      </c>
      <c r="J27" s="1" t="str">
        <f>IF(OR(C27="",I27=""),"",C27*I27)</f>
        <v/>
      </c>
      <c r="K27" s="1" t="str">
        <f>IF(OR(E27="",J27=""),"",MIN(E27,J27))</f>
        <v/>
      </c>
      <c r="L27" s="1" t="str">
        <f>IF(OR(E27="",K27=""),"",MAX(0,E27-K27))</f>
        <v/>
      </c>
      <c r="M27" s="1"/>
      <c r="N27" s="1"/>
    </row>
    <row r="28" spans="1:14" x14ac:dyDescent="0.15">
      <c r="A28" s="1"/>
      <c r="B28" s="1"/>
      <c r="C28" s="1"/>
      <c r="D28" s="1"/>
      <c r="E28" s="1" t="str">
        <f>IF(OR(C28="",D28=""),"",C28*D28)</f>
        <v/>
      </c>
      <c r="F28" s="1"/>
      <c r="G28" s="1"/>
      <c r="H28" s="1"/>
      <c r="I28" s="1" t="str">
        <f>IF(F28="","",F28-IF(G28="",0,G28)-IF(H28="",0,H28))</f>
        <v/>
      </c>
      <c r="J28" s="1" t="str">
        <f>IF(OR(C28="",I28=""),"",C28*I28)</f>
        <v/>
      </c>
      <c r="K28" s="1" t="str">
        <f>IF(OR(E28="",J28=""),"",MIN(E28,J28))</f>
        <v/>
      </c>
      <c r="L28" s="1" t="str">
        <f>IF(OR(E28="",K28=""),"",MAX(0,E28-K28))</f>
        <v/>
      </c>
      <c r="M28" s="1"/>
      <c r="N28" s="1"/>
    </row>
    <row r="29" spans="1:14" x14ac:dyDescent="0.15">
      <c r="A29" s="1"/>
      <c r="B29" s="1"/>
      <c r="C29" s="1"/>
      <c r="D29" s="1"/>
      <c r="E29" s="1" t="str">
        <f>IF(OR(C29="",D29=""),"",C29*D29)</f>
        <v/>
      </c>
      <c r="F29" s="1"/>
      <c r="G29" s="1"/>
      <c r="H29" s="1"/>
      <c r="I29" s="1" t="str">
        <f>IF(F29="","",F29-IF(G29="",0,G29)-IF(H29="",0,H29))</f>
        <v/>
      </c>
      <c r="J29" s="1" t="str">
        <f>IF(OR(C29="",I29=""),"",C29*I29)</f>
        <v/>
      </c>
      <c r="K29" s="1" t="str">
        <f>IF(OR(E29="",J29=""),"",MIN(E29,J29))</f>
        <v/>
      </c>
      <c r="L29" s="1" t="str">
        <f>IF(OR(E29="",K29=""),"",MAX(0,E29-K29))</f>
        <v/>
      </c>
      <c r="M29" s="1"/>
      <c r="N29" s="1"/>
    </row>
    <row r="30" spans="1:14" x14ac:dyDescent="0.15">
      <c r="A30" s="1"/>
      <c r="B30" s="1"/>
      <c r="C30" s="1"/>
      <c r="D30" s="1"/>
      <c r="E30" s="1" t="str">
        <f>IF(OR(C30="",D30=""),"",C30*D30)</f>
        <v/>
      </c>
      <c r="F30" s="1"/>
      <c r="G30" s="1"/>
      <c r="H30" s="1"/>
      <c r="I30" s="1" t="str">
        <f>IF(F30="","",F30-IF(G30="",0,G30)-IF(H30="",0,H30))</f>
        <v/>
      </c>
      <c r="J30" s="1" t="str">
        <f>IF(OR(C30="",I30=""),"",C30*I30)</f>
        <v/>
      </c>
      <c r="K30" s="1" t="str">
        <f>IF(OR(E30="",J30=""),"",MIN(E30,J30))</f>
        <v/>
      </c>
      <c r="L30" s="1" t="str">
        <f>IF(OR(E30="",K30=""),"",MAX(0,E30-K30))</f>
        <v/>
      </c>
      <c r="M30" s="1"/>
      <c r="N30" s="1"/>
    </row>
    <row r="31" spans="1:14" x14ac:dyDescent="0.15">
      <c r="A31" s="1"/>
      <c r="B31" s="1"/>
      <c r="C31" s="1"/>
      <c r="D31" s="1"/>
      <c r="E31" s="1" t="str">
        <f>IF(OR(C31="",D31=""),"",C31*D31)</f>
        <v/>
      </c>
      <c r="F31" s="1"/>
      <c r="G31" s="1"/>
      <c r="H31" s="1"/>
      <c r="I31" s="1" t="str">
        <f>IF(F31="","",F31-IF(G31="",0,G31)-IF(H31="",0,H31))</f>
        <v/>
      </c>
      <c r="J31" s="1" t="str">
        <f>IF(OR(C31="",I31=""),"",C31*I31)</f>
        <v/>
      </c>
      <c r="K31" s="1" t="str">
        <f>IF(OR(E31="",J31=""),"",MIN(E31,J31))</f>
        <v/>
      </c>
      <c r="L31" s="1" t="str">
        <f>IF(OR(E31="",K31=""),"",MAX(0,E31-K31))</f>
        <v/>
      </c>
      <c r="M31" s="1"/>
      <c r="N31" s="1"/>
    </row>
    <row r="32" spans="1:14" x14ac:dyDescent="0.15">
      <c r="A32" s="1"/>
      <c r="B32" s="1"/>
      <c r="C32" s="1"/>
      <c r="D32" s="1"/>
      <c r="E32" s="1" t="str">
        <f>IF(OR(C32="",D32=""),"",C32*D32)</f>
        <v/>
      </c>
      <c r="F32" s="1"/>
      <c r="G32" s="1"/>
      <c r="H32" s="1"/>
      <c r="I32" s="1" t="str">
        <f>IF(F32="","",F32-IF(G32="",0,G32)-IF(H32="",0,H32))</f>
        <v/>
      </c>
      <c r="J32" s="1" t="str">
        <f>IF(OR(C32="",I32=""),"",C32*I32)</f>
        <v/>
      </c>
      <c r="K32" s="1" t="str">
        <f>IF(OR(E32="",J32=""),"",MIN(E32,J32))</f>
        <v/>
      </c>
      <c r="L32" s="1" t="str">
        <f>IF(OR(E32="",K32=""),"",MAX(0,E32-K32))</f>
        <v/>
      </c>
      <c r="M32" s="1"/>
      <c r="N32" s="1"/>
    </row>
    <row r="33" spans="1:14" x14ac:dyDescent="0.15">
      <c r="A33" s="1"/>
      <c r="B33" s="1"/>
      <c r="C33" s="1"/>
      <c r="D33" s="1"/>
      <c r="E33" s="1" t="str">
        <f>IF(OR(C33="",D33=""),"",C33*D33)</f>
        <v/>
      </c>
      <c r="F33" s="1"/>
      <c r="G33" s="1"/>
      <c r="H33" s="1"/>
      <c r="I33" s="1" t="str">
        <f>IF(F33="","",F33-IF(G33="",0,G33)-IF(H33="",0,H33))</f>
        <v/>
      </c>
      <c r="J33" s="1" t="str">
        <f>IF(OR(C33="",I33=""),"",C33*I33)</f>
        <v/>
      </c>
      <c r="K33" s="1" t="str">
        <f>IF(OR(E33="",J33=""),"",MIN(E33,J33))</f>
        <v/>
      </c>
      <c r="L33" s="1" t="str">
        <f>IF(OR(E33="",K33=""),"",MAX(0,E33-K33))</f>
        <v/>
      </c>
      <c r="M33" s="1"/>
      <c r="N33" s="1"/>
    </row>
    <row r="34" spans="1:14" x14ac:dyDescent="0.15">
      <c r="A34" s="1"/>
      <c r="B34" s="1"/>
      <c r="C34" s="1"/>
      <c r="D34" s="1"/>
      <c r="E34" s="1" t="str">
        <f>IF(OR(C34="",D34=""),"",C34*D34)</f>
        <v/>
      </c>
      <c r="F34" s="1"/>
      <c r="G34" s="1"/>
      <c r="H34" s="1"/>
      <c r="I34" s="1" t="str">
        <f>IF(F34="","",F34-IF(G34="",0,G34)-IF(H34="",0,H34))</f>
        <v/>
      </c>
      <c r="J34" s="1" t="str">
        <f>IF(OR(C34="",I34=""),"",C34*I34)</f>
        <v/>
      </c>
      <c r="K34" s="1" t="str">
        <f>IF(OR(E34="",J34=""),"",MIN(E34,J34))</f>
        <v/>
      </c>
      <c r="L34" s="1" t="str">
        <f>IF(OR(E34="",K34=""),"",MAX(0,E34-K34))</f>
        <v/>
      </c>
      <c r="M34" s="1"/>
      <c r="N34" s="1"/>
    </row>
    <row r="35" spans="1:14" x14ac:dyDescent="0.15">
      <c r="A35" s="1"/>
      <c r="B35" s="1"/>
      <c r="C35" s="1"/>
      <c r="D35" s="1"/>
      <c r="E35" s="1" t="str">
        <f>IF(OR(C35="",D35=""),"",C35*D35)</f>
        <v/>
      </c>
      <c r="F35" s="1"/>
      <c r="G35" s="1"/>
      <c r="H35" s="1"/>
      <c r="I35" s="1" t="str">
        <f>IF(F35="","",F35-IF(G35="",0,G35)-IF(H35="",0,H35))</f>
        <v/>
      </c>
      <c r="J35" s="1" t="str">
        <f>IF(OR(C35="",I35=""),"",C35*I35)</f>
        <v/>
      </c>
      <c r="K35" s="1" t="str">
        <f>IF(OR(E35="",J35=""),"",MIN(E35,J35))</f>
        <v/>
      </c>
      <c r="L35" s="1" t="str">
        <f>IF(OR(E35="",K35=""),"",MAX(0,E35-K35))</f>
        <v/>
      </c>
      <c r="M35" s="1"/>
      <c r="N35" s="1"/>
    </row>
    <row r="36" spans="1:14" x14ac:dyDescent="0.15">
      <c r="A36" s="1"/>
      <c r="B36" s="1"/>
      <c r="C36" s="1"/>
      <c r="D36" s="1"/>
      <c r="E36" s="1" t="str">
        <f>IF(OR(C36="",D36=""),"",C36*D36)</f>
        <v/>
      </c>
      <c r="F36" s="1"/>
      <c r="G36" s="1"/>
      <c r="H36" s="1"/>
      <c r="I36" s="1" t="str">
        <f>IF(F36="","",F36-IF(G36="",0,G36)-IF(H36="",0,H36))</f>
        <v/>
      </c>
      <c r="J36" s="1" t="str">
        <f>IF(OR(C36="",I36=""),"",C36*I36)</f>
        <v/>
      </c>
      <c r="K36" s="1" t="str">
        <f>IF(OR(E36="",J36=""),"",MIN(E36,J36))</f>
        <v/>
      </c>
      <c r="L36" s="1" t="str">
        <f>IF(OR(E36="",K36=""),"",MAX(0,E36-K36))</f>
        <v/>
      </c>
      <c r="M36" s="1"/>
      <c r="N36" s="1"/>
    </row>
    <row r="37" spans="1:14" x14ac:dyDescent="0.15">
      <c r="A37" s="1"/>
      <c r="B37" s="1"/>
      <c r="C37" s="1"/>
      <c r="D37" s="1"/>
      <c r="E37" s="1" t="str">
        <f>IF(OR(C37="",D37=""),"",C37*D37)</f>
        <v/>
      </c>
      <c r="F37" s="1"/>
      <c r="G37" s="1"/>
      <c r="H37" s="1"/>
      <c r="I37" s="1" t="str">
        <f>IF(F37="","",F37-IF(G37="",0,G37)-IF(H37="",0,H37))</f>
        <v/>
      </c>
      <c r="J37" s="1" t="str">
        <f>IF(OR(C37="",I37=""),"",C37*I37)</f>
        <v/>
      </c>
      <c r="K37" s="1" t="str">
        <f>IF(OR(E37="",J37=""),"",MIN(E37,J37))</f>
        <v/>
      </c>
      <c r="L37" s="1" t="str">
        <f>IF(OR(E37="",K37=""),"",MAX(0,E37-K37))</f>
        <v/>
      </c>
      <c r="M37" s="1"/>
      <c r="N37" s="1"/>
    </row>
    <row r="38" spans="1:14" x14ac:dyDescent="0.15">
      <c r="A38" s="1"/>
      <c r="B38" s="1"/>
      <c r="C38" s="1"/>
      <c r="D38" s="1"/>
      <c r="E38" s="1" t="str">
        <f>IF(OR(C38="",D38=""),"",C38*D38)</f>
        <v/>
      </c>
      <c r="F38" s="1"/>
      <c r="G38" s="1"/>
      <c r="H38" s="1"/>
      <c r="I38" s="1" t="str">
        <f>IF(F38="","",F38-IF(G38="",0,G38)-IF(H38="",0,H38))</f>
        <v/>
      </c>
      <c r="J38" s="1" t="str">
        <f>IF(OR(C38="",I38=""),"",C38*I38)</f>
        <v/>
      </c>
      <c r="K38" s="1" t="str">
        <f>IF(OR(E38="",J38=""),"",MIN(E38,J38))</f>
        <v/>
      </c>
      <c r="L38" s="1" t="str">
        <f>IF(OR(E38="",K38=""),"",MAX(0,E38-K38))</f>
        <v/>
      </c>
      <c r="M38" s="1"/>
      <c r="N38" s="1"/>
    </row>
    <row r="39" spans="1:14" x14ac:dyDescent="0.15">
      <c r="A39" s="1"/>
      <c r="B39" s="1"/>
      <c r="C39" s="1"/>
      <c r="D39" s="1"/>
      <c r="E39" s="1" t="str">
        <f>IF(OR(C39="",D39=""),"",C39*D39)</f>
        <v/>
      </c>
      <c r="F39" s="1"/>
      <c r="G39" s="1"/>
      <c r="H39" s="1"/>
      <c r="I39" s="1" t="str">
        <f>IF(F39="","",F39-IF(G39="",0,G39)-IF(H39="",0,H39))</f>
        <v/>
      </c>
      <c r="J39" s="1" t="str">
        <f>IF(OR(C39="",I39=""),"",C39*I39)</f>
        <v/>
      </c>
      <c r="K39" s="1" t="str">
        <f>IF(OR(E39="",J39=""),"",MIN(E39,J39))</f>
        <v/>
      </c>
      <c r="L39" s="1" t="str">
        <f>IF(OR(E39="",K39=""),"",MAX(0,E39-K39))</f>
        <v/>
      </c>
      <c r="M39" s="1"/>
      <c r="N39" s="1"/>
    </row>
    <row r="40" spans="1:14" x14ac:dyDescent="0.15">
      <c r="A40" s="1"/>
      <c r="B40" s="1"/>
      <c r="C40" s="1"/>
      <c r="D40" s="1"/>
      <c r="E40" s="1" t="str">
        <f>IF(OR(C40="",D40=""),"",C40*D40)</f>
        <v/>
      </c>
      <c r="F40" s="1"/>
      <c r="G40" s="1"/>
      <c r="H40" s="1"/>
      <c r="I40" s="1" t="str">
        <f>IF(F40="","",F40-IF(G40="",0,G40)-IF(H40="",0,H40))</f>
        <v/>
      </c>
      <c r="J40" s="1" t="str">
        <f>IF(OR(C40="",I40=""),"",C40*I40)</f>
        <v/>
      </c>
      <c r="K40" s="1" t="str">
        <f>IF(OR(E40="",J40=""),"",MIN(E40,J40))</f>
        <v/>
      </c>
      <c r="L40" s="1" t="str">
        <f>IF(OR(E40="",K40=""),"",MAX(0,E40-K40))</f>
        <v/>
      </c>
      <c r="M40" s="1"/>
      <c r="N40" s="1"/>
    </row>
    <row r="41" spans="1:14" x14ac:dyDescent="0.15">
      <c r="A41" s="1"/>
      <c r="B41" s="1"/>
      <c r="C41" s="1"/>
      <c r="D41" s="1"/>
      <c r="E41" s="1" t="str">
        <f>IF(OR(C41="",D41=""),"",C41*D41)</f>
        <v/>
      </c>
      <c r="F41" s="1"/>
      <c r="G41" s="1"/>
      <c r="H41" s="1"/>
      <c r="I41" s="1" t="str">
        <f>IF(F41="","",F41-IF(G41="",0,G41)-IF(H41="",0,H41))</f>
        <v/>
      </c>
      <c r="J41" s="1" t="str">
        <f>IF(OR(C41="",I41=""),"",C41*I41)</f>
        <v/>
      </c>
      <c r="K41" s="1" t="str">
        <f>IF(OR(E41="",J41=""),"",MIN(E41,J41))</f>
        <v/>
      </c>
      <c r="L41" s="1" t="str">
        <f>IF(OR(E41="",K41=""),"",MAX(0,E41-K41))</f>
        <v/>
      </c>
      <c r="M41" s="1"/>
      <c r="N41" s="1"/>
    </row>
    <row r="42" spans="1:14" x14ac:dyDescent="0.15">
      <c r="A42" s="1"/>
      <c r="B42" s="1"/>
      <c r="C42" s="1"/>
      <c r="D42" s="1"/>
      <c r="E42" s="1" t="str">
        <f>IF(OR(C42="",D42=""),"",C42*D42)</f>
        <v/>
      </c>
      <c r="F42" s="1"/>
      <c r="G42" s="1"/>
      <c r="H42" s="1"/>
      <c r="I42" s="1" t="str">
        <f>IF(F42="","",F42-IF(G42="",0,G42)-IF(H42="",0,H42))</f>
        <v/>
      </c>
      <c r="J42" s="1" t="str">
        <f>IF(OR(C42="",I42=""),"",C42*I42)</f>
        <v/>
      </c>
      <c r="K42" s="1" t="str">
        <f>IF(OR(E42="",J42=""),"",MIN(E42,J42))</f>
        <v/>
      </c>
      <c r="L42" s="1" t="str">
        <f>IF(OR(E42="",K42=""),"",MAX(0,E42-K42))</f>
        <v/>
      </c>
      <c r="M42" s="1"/>
      <c r="N42" s="1"/>
    </row>
    <row r="43" spans="1:14" x14ac:dyDescent="0.15">
      <c r="A43" s="1"/>
      <c r="B43" s="1"/>
      <c r="C43" s="1"/>
      <c r="D43" s="1"/>
      <c r="E43" s="1" t="str">
        <f>IF(OR(C43="",D43=""),"",C43*D43)</f>
        <v/>
      </c>
      <c r="F43" s="1"/>
      <c r="G43" s="1"/>
      <c r="H43" s="1"/>
      <c r="I43" s="1" t="str">
        <f>IF(F43="","",F43-IF(G43="",0,G43)-IF(H43="",0,H43))</f>
        <v/>
      </c>
      <c r="J43" s="1" t="str">
        <f>IF(OR(C43="",I43=""),"",C43*I43)</f>
        <v/>
      </c>
      <c r="K43" s="1" t="str">
        <f>IF(OR(E43="",J43=""),"",MIN(E43,J43))</f>
        <v/>
      </c>
      <c r="L43" s="1" t="str">
        <f>IF(OR(E43="",K43=""),"",MAX(0,E43-K43))</f>
        <v/>
      </c>
      <c r="M43" s="1"/>
      <c r="N43" s="1"/>
    </row>
    <row r="44" spans="1:14" x14ac:dyDescent="0.15">
      <c r="A44" s="1"/>
      <c r="B44" s="1"/>
      <c r="C44" s="1"/>
      <c r="D44" s="1"/>
      <c r="E44" s="1" t="str">
        <f>IF(OR(C44="",D44=""),"",C44*D44)</f>
        <v/>
      </c>
      <c r="F44" s="1"/>
      <c r="G44" s="1"/>
      <c r="H44" s="1"/>
      <c r="I44" s="1" t="str">
        <f>IF(F44="","",F44-IF(G44="",0,G44)-IF(H44="",0,H44))</f>
        <v/>
      </c>
      <c r="J44" s="1" t="str">
        <f>IF(OR(C44="",I44=""),"",C44*I44)</f>
        <v/>
      </c>
      <c r="K44" s="1" t="str">
        <f>IF(OR(E44="",J44=""),"",MIN(E44,J44))</f>
        <v/>
      </c>
      <c r="L44" s="1" t="str">
        <f>IF(OR(E44="",K44=""),"",MAX(0,E44-K44))</f>
        <v/>
      </c>
      <c r="M44" s="1"/>
      <c r="N44" s="1"/>
    </row>
    <row r="45" spans="1:14" x14ac:dyDescent="0.15">
      <c r="A45" s="1"/>
      <c r="B45" s="1"/>
      <c r="C45" s="1"/>
      <c r="D45" s="1"/>
      <c r="E45" s="1" t="str">
        <f>IF(OR(C45="",D45=""),"",C45*D45)</f>
        <v/>
      </c>
      <c r="F45" s="1"/>
      <c r="G45" s="1"/>
      <c r="H45" s="1"/>
      <c r="I45" s="1" t="str">
        <f>IF(F45="","",F45-IF(G45="",0,G45)-IF(H45="",0,H45))</f>
        <v/>
      </c>
      <c r="J45" s="1" t="str">
        <f>IF(OR(C45="",I45=""),"",C45*I45)</f>
        <v/>
      </c>
      <c r="K45" s="1" t="str">
        <f>IF(OR(E45="",J45=""),"",MIN(E45,J45))</f>
        <v/>
      </c>
      <c r="L45" s="1" t="str">
        <f>IF(OR(E45="",K45=""),"",MAX(0,E45-K45))</f>
        <v/>
      </c>
      <c r="M45" s="1"/>
      <c r="N45" s="1"/>
    </row>
    <row r="46" spans="1:14" x14ac:dyDescent="0.15">
      <c r="A46" s="1"/>
      <c r="B46" s="1"/>
      <c r="C46" s="1"/>
      <c r="D46" s="1"/>
      <c r="E46" s="1" t="str">
        <f>IF(OR(C46="",D46=""),"",C46*D46)</f>
        <v/>
      </c>
      <c r="F46" s="1"/>
      <c r="G46" s="1"/>
      <c r="H46" s="1"/>
      <c r="I46" s="1" t="str">
        <f>IF(F46="","",F46-IF(G46="",0,G46)-IF(H46="",0,H46))</f>
        <v/>
      </c>
      <c r="J46" s="1" t="str">
        <f>IF(OR(C46="",I46=""),"",C46*I46)</f>
        <v/>
      </c>
      <c r="K46" s="1" t="str">
        <f>IF(OR(E46="",J46=""),"",MIN(E46,J46))</f>
        <v/>
      </c>
      <c r="L46" s="1" t="str">
        <f>IF(OR(E46="",K46=""),"",MAX(0,E46-K46))</f>
        <v/>
      </c>
      <c r="M46" s="1"/>
      <c r="N46" s="1"/>
    </row>
    <row r="47" spans="1:14" x14ac:dyDescent="0.15">
      <c r="A47" s="1"/>
      <c r="B47" s="1"/>
      <c r="C47" s="1"/>
      <c r="D47" s="1"/>
      <c r="E47" s="1" t="str">
        <f>IF(OR(C47="",D47=""),"",C47*D47)</f>
        <v/>
      </c>
      <c r="F47" s="1"/>
      <c r="G47" s="1"/>
      <c r="H47" s="1"/>
      <c r="I47" s="1" t="str">
        <f>IF(F47="","",F47-IF(G47="",0,G47)-IF(H47="",0,H47))</f>
        <v/>
      </c>
      <c r="J47" s="1" t="str">
        <f>IF(OR(C47="",I47=""),"",C47*I47)</f>
        <v/>
      </c>
      <c r="K47" s="1" t="str">
        <f>IF(OR(E47="",J47=""),"",MIN(E47,J47))</f>
        <v/>
      </c>
      <c r="L47" s="1" t="str">
        <f>IF(OR(E47="",K47=""),"",MAX(0,E47-K47))</f>
        <v/>
      </c>
      <c r="M47" s="1"/>
      <c r="N47" s="1"/>
    </row>
    <row r="48" spans="1:14" x14ac:dyDescent="0.15">
      <c r="A48" s="1"/>
      <c r="B48" s="1"/>
      <c r="C48" s="1"/>
      <c r="D48" s="1"/>
      <c r="E48" s="1" t="str">
        <f>IF(OR(C48="",D48=""),"",C48*D48)</f>
        <v/>
      </c>
      <c r="F48" s="1"/>
      <c r="G48" s="1"/>
      <c r="H48" s="1"/>
      <c r="I48" s="1" t="str">
        <f>IF(F48="","",F48-IF(G48="",0,G48)-IF(H48="",0,H48))</f>
        <v/>
      </c>
      <c r="J48" s="1" t="str">
        <f>IF(OR(C48="",I48=""),"",C48*I48)</f>
        <v/>
      </c>
      <c r="K48" s="1" t="str">
        <f>IF(OR(E48="",J48=""),"",MIN(E48,J48))</f>
        <v/>
      </c>
      <c r="L48" s="1" t="str">
        <f>IF(OR(E48="",K48=""),"",MAX(0,E48-K48))</f>
        <v/>
      </c>
      <c r="M48" s="1"/>
      <c r="N48" s="1"/>
    </row>
    <row r="49" spans="1:14" x14ac:dyDescent="0.15">
      <c r="A49" s="1"/>
      <c r="B49" s="1"/>
      <c r="C49" s="1"/>
      <c r="D49" s="1"/>
      <c r="E49" s="1" t="str">
        <f>IF(OR(C49="",D49=""),"",C49*D49)</f>
        <v/>
      </c>
      <c r="F49" s="1"/>
      <c r="G49" s="1"/>
      <c r="H49" s="1"/>
      <c r="I49" s="1" t="str">
        <f>IF(F49="","",F49-IF(G49="",0,G49)-IF(H49="",0,H49))</f>
        <v/>
      </c>
      <c r="J49" s="1" t="str">
        <f>IF(OR(C49="",I49=""),"",C49*I49)</f>
        <v/>
      </c>
      <c r="K49" s="1" t="str">
        <f>IF(OR(E49="",J49=""),"",MIN(E49,J49))</f>
        <v/>
      </c>
      <c r="L49" s="1" t="str">
        <f>IF(OR(E49="",K49=""),"",MAX(0,E49-K49))</f>
        <v/>
      </c>
      <c r="M49" s="1"/>
      <c r="N49" s="1"/>
    </row>
    <row r="50" spans="1:14" x14ac:dyDescent="0.15">
      <c r="A50" s="1"/>
      <c r="B50" s="1"/>
      <c r="C50" s="1"/>
      <c r="D50" s="1"/>
      <c r="E50" s="1" t="str">
        <f>IF(OR(C50="",D50=""),"",C50*D50)</f>
        <v/>
      </c>
      <c r="F50" s="1"/>
      <c r="G50" s="1"/>
      <c r="H50" s="1"/>
      <c r="I50" s="1" t="str">
        <f>IF(F50="","",F50-IF(G50="",0,G50)-IF(H50="",0,H50))</f>
        <v/>
      </c>
      <c r="J50" s="1" t="str">
        <f>IF(OR(C50="",I50=""),"",C50*I50)</f>
        <v/>
      </c>
      <c r="K50" s="1" t="str">
        <f>IF(OR(E50="",J50=""),"",MIN(E50,J50))</f>
        <v/>
      </c>
      <c r="L50" s="1" t="str">
        <f>IF(OR(E50="",K50=""),"",MAX(0,E50-K50))</f>
        <v/>
      </c>
      <c r="M50" s="1"/>
      <c r="N50" s="1"/>
    </row>
    <row r="51" spans="1:14" x14ac:dyDescent="0.15">
      <c r="A51" s="1"/>
      <c r="B51" s="1"/>
      <c r="C51" s="1"/>
      <c r="D51" s="1"/>
      <c r="E51" s="1" t="str">
        <f>IF(OR(C51="",D51=""),"",C51*D51)</f>
        <v/>
      </c>
      <c r="F51" s="1"/>
      <c r="G51" s="1"/>
      <c r="H51" s="1"/>
      <c r="I51" s="1" t="str">
        <f>IF(F51="","",F51-IF(G51="",0,G51)-IF(H51="",0,H51))</f>
        <v/>
      </c>
      <c r="J51" s="1" t="str">
        <f>IF(OR(C51="",I51=""),"",C51*I51)</f>
        <v/>
      </c>
      <c r="K51" s="1" t="str">
        <f>IF(OR(E51="",J51=""),"",MIN(E51,J51))</f>
        <v/>
      </c>
      <c r="L51" s="1" t="str">
        <f>IF(OR(E51="",K51=""),"",MAX(0,E51-K51))</f>
        <v/>
      </c>
      <c r="M51" s="1"/>
      <c r="N51" s="1"/>
    </row>
    <row r="52" spans="1:14" x14ac:dyDescent="0.15">
      <c r="A52" s="1"/>
      <c r="B52" s="1"/>
      <c r="C52" s="1"/>
      <c r="D52" s="1"/>
      <c r="E52" s="1" t="str">
        <f>IF(OR(C52="",D52=""),"",C52*D52)</f>
        <v/>
      </c>
      <c r="F52" s="1"/>
      <c r="G52" s="1"/>
      <c r="H52" s="1"/>
      <c r="I52" s="1" t="str">
        <f>IF(F52="","",F52-IF(G52="",0,G52)-IF(H52="",0,H52))</f>
        <v/>
      </c>
      <c r="J52" s="1" t="str">
        <f>IF(OR(C52="",I52=""),"",C52*I52)</f>
        <v/>
      </c>
      <c r="K52" s="1" t="str">
        <f>IF(OR(E52="",J52=""),"",MIN(E52,J52))</f>
        <v/>
      </c>
      <c r="L52" s="1" t="str">
        <f>IF(OR(E52="",K52=""),"",MAX(0,E52-K52))</f>
        <v/>
      </c>
      <c r="M52" s="1"/>
      <c r="N52" s="1"/>
    </row>
    <row r="53" spans="1:14" x14ac:dyDescent="0.15">
      <c r="A53" s="1"/>
      <c r="B53" s="1"/>
      <c r="C53" s="1"/>
      <c r="D53" s="1"/>
      <c r="E53" s="1" t="str">
        <f>IF(OR(C53="",D53=""),"",C53*D53)</f>
        <v/>
      </c>
      <c r="F53" s="1"/>
      <c r="G53" s="1"/>
      <c r="H53" s="1"/>
      <c r="I53" s="1" t="str">
        <f>IF(F53="","",F53-IF(G53="",0,G53)-IF(H53="",0,H53))</f>
        <v/>
      </c>
      <c r="J53" s="1" t="str">
        <f>IF(OR(C53="",I53=""),"",C53*I53)</f>
        <v/>
      </c>
      <c r="K53" s="1" t="str">
        <f>IF(OR(E53="",J53=""),"",MIN(E53,J53))</f>
        <v/>
      </c>
      <c r="L53" s="1" t="str">
        <f>IF(OR(E53="",K53=""),"",MAX(0,E53-K53))</f>
        <v/>
      </c>
      <c r="M53" s="1"/>
      <c r="N53" s="1"/>
    </row>
    <row r="54" spans="1:14" x14ac:dyDescent="0.15">
      <c r="A54" s="1"/>
      <c r="B54" s="1"/>
      <c r="C54" s="1"/>
      <c r="D54" s="1"/>
      <c r="E54" s="1" t="str">
        <f>IF(OR(C54="",D54=""),"",C54*D54)</f>
        <v/>
      </c>
      <c r="F54" s="1"/>
      <c r="G54" s="1"/>
      <c r="H54" s="1"/>
      <c r="I54" s="1" t="str">
        <f>IF(F54="","",F54-IF(G54="",0,G54)-IF(H54="",0,H54))</f>
        <v/>
      </c>
      <c r="J54" s="1" t="str">
        <f>IF(OR(C54="",I54=""),"",C54*I54)</f>
        <v/>
      </c>
      <c r="K54" s="1" t="str">
        <f>IF(OR(E54="",J54=""),"",MIN(E54,J54))</f>
        <v/>
      </c>
      <c r="L54" s="1" t="str">
        <f>IF(OR(E54="",K54=""),"",MAX(0,E54-K54))</f>
        <v/>
      </c>
      <c r="M54" s="1"/>
      <c r="N54" s="1"/>
    </row>
    <row r="55" spans="1:14" x14ac:dyDescent="0.15">
      <c r="A55" s="1"/>
      <c r="B55" s="1"/>
      <c r="C55" s="1"/>
      <c r="D55" s="1"/>
      <c r="E55" s="1" t="str">
        <f>IF(OR(C55="",D55=""),"",C55*D55)</f>
        <v/>
      </c>
      <c r="F55" s="1"/>
      <c r="G55" s="1"/>
      <c r="H55" s="1"/>
      <c r="I55" s="1" t="str">
        <f>IF(F55="","",F55-IF(G55="",0,G55)-IF(H55="",0,H55))</f>
        <v/>
      </c>
      <c r="J55" s="1" t="str">
        <f>IF(OR(C55="",I55=""),"",C55*I55)</f>
        <v/>
      </c>
      <c r="K55" s="1" t="str">
        <f>IF(OR(E55="",J55=""),"",MIN(E55,J55))</f>
        <v/>
      </c>
      <c r="L55" s="1" t="str">
        <f>IF(OR(E55="",K55=""),"",MAX(0,E55-K55))</f>
        <v/>
      </c>
      <c r="M55" s="1"/>
      <c r="N55" s="1"/>
    </row>
    <row r="56" spans="1:14" x14ac:dyDescent="0.15">
      <c r="A56" s="1"/>
      <c r="B56" s="1"/>
      <c r="C56" s="1"/>
      <c r="D56" s="1"/>
      <c r="E56" s="1" t="str">
        <f>IF(OR(C56="",D56=""),"",C56*D56)</f>
        <v/>
      </c>
      <c r="F56" s="1"/>
      <c r="G56" s="1"/>
      <c r="H56" s="1"/>
      <c r="I56" s="1" t="str">
        <f>IF(F56="","",F56-IF(G56="",0,G56)-IF(H56="",0,H56))</f>
        <v/>
      </c>
      <c r="J56" s="1" t="str">
        <f>IF(OR(C56="",I56=""),"",C56*I56)</f>
        <v/>
      </c>
      <c r="K56" s="1" t="str">
        <f>IF(OR(E56="",J56=""),"",MIN(E56,J56))</f>
        <v/>
      </c>
      <c r="L56" s="1" t="str">
        <f>IF(OR(E56="",K56=""),"",MAX(0,E56-K56))</f>
        <v/>
      </c>
      <c r="M56" s="1"/>
      <c r="N56" s="1"/>
    </row>
    <row r="57" spans="1:14" x14ac:dyDescent="0.15">
      <c r="A57" s="1"/>
      <c r="B57" s="1"/>
      <c r="C57" s="1"/>
      <c r="D57" s="1"/>
      <c r="E57" s="1" t="str">
        <f>IF(OR(C57="",D57=""),"",C57*D57)</f>
        <v/>
      </c>
      <c r="F57" s="1"/>
      <c r="G57" s="1"/>
      <c r="H57" s="1"/>
      <c r="I57" s="1" t="str">
        <f>IF(F57="","",F57-IF(G57="",0,G57)-IF(H57="",0,H57))</f>
        <v/>
      </c>
      <c r="J57" s="1" t="str">
        <f>IF(OR(C57="",I57=""),"",C57*I57)</f>
        <v/>
      </c>
      <c r="K57" s="1" t="str">
        <f>IF(OR(E57="",J57=""),"",MIN(E57,J57))</f>
        <v/>
      </c>
      <c r="L57" s="1" t="str">
        <f>IF(OR(E57="",K57=""),"",MAX(0,E57-K57))</f>
        <v/>
      </c>
      <c r="M57" s="1"/>
      <c r="N57" s="1"/>
    </row>
    <row r="58" spans="1:14" x14ac:dyDescent="0.15">
      <c r="A58" s="1"/>
      <c r="B58" s="1"/>
      <c r="C58" s="1"/>
      <c r="D58" s="1"/>
      <c r="E58" s="1" t="str">
        <f>IF(OR(C58="",D58=""),"",C58*D58)</f>
        <v/>
      </c>
      <c r="F58" s="1"/>
      <c r="G58" s="1"/>
      <c r="H58" s="1"/>
      <c r="I58" s="1" t="str">
        <f>IF(F58="","",F58-IF(G58="",0,G58)-IF(H58="",0,H58))</f>
        <v/>
      </c>
      <c r="J58" s="1" t="str">
        <f>IF(OR(C58="",I58=""),"",C58*I58)</f>
        <v/>
      </c>
      <c r="K58" s="1" t="str">
        <f>IF(OR(E58="",J58=""),"",MIN(E58,J58))</f>
        <v/>
      </c>
      <c r="L58" s="1" t="str">
        <f>IF(OR(E58="",K58=""),"",MAX(0,E58-K58))</f>
        <v/>
      </c>
      <c r="M58" s="1"/>
      <c r="N58" s="1"/>
    </row>
    <row r="59" spans="1:14" x14ac:dyDescent="0.15">
      <c r="A59" s="1"/>
      <c r="B59" s="1"/>
      <c r="C59" s="1"/>
      <c r="D59" s="1"/>
      <c r="E59" s="1" t="str">
        <f>IF(OR(C59="",D59=""),"",C59*D59)</f>
        <v/>
      </c>
      <c r="F59" s="1"/>
      <c r="G59" s="1"/>
      <c r="H59" s="1"/>
      <c r="I59" s="1" t="str">
        <f>IF(F59="","",F59-IF(G59="",0,G59)-IF(H59="",0,H59))</f>
        <v/>
      </c>
      <c r="J59" s="1" t="str">
        <f>IF(OR(C59="",I59=""),"",C59*I59)</f>
        <v/>
      </c>
      <c r="K59" s="1" t="str">
        <f>IF(OR(E59="",J59=""),"",MIN(E59,J59))</f>
        <v/>
      </c>
      <c r="L59" s="1" t="str">
        <f>IF(OR(E59="",K59=""),"",MAX(0,E59-K59))</f>
        <v/>
      </c>
      <c r="M59" s="1"/>
      <c r="N59" s="1"/>
    </row>
    <row r="60" spans="1:14" x14ac:dyDescent="0.15">
      <c r="A60" s="1"/>
      <c r="B60" s="1"/>
      <c r="C60" s="1"/>
      <c r="D60" s="1"/>
      <c r="E60" s="1" t="str">
        <f>IF(OR(C60="",D60=""),"",C60*D60)</f>
        <v/>
      </c>
      <c r="F60" s="1"/>
      <c r="G60" s="1"/>
      <c r="H60" s="1"/>
      <c r="I60" s="1" t="str">
        <f>IF(F60="","",F60-IF(G60="",0,G60)-IF(H60="",0,H60))</f>
        <v/>
      </c>
      <c r="J60" s="1" t="str">
        <f>IF(OR(C60="",I60=""),"",C60*I60)</f>
        <v/>
      </c>
      <c r="K60" s="1" t="str">
        <f>IF(OR(E60="",J60=""),"",MIN(E60,J60))</f>
        <v/>
      </c>
      <c r="L60" s="1" t="str">
        <f>IF(OR(E60="",K60=""),"",MAX(0,E60-K60))</f>
        <v/>
      </c>
      <c r="M60" s="1"/>
      <c r="N60" s="1"/>
    </row>
    <row r="61" spans="1:14" x14ac:dyDescent="0.15">
      <c r="A61" s="1"/>
      <c r="B61" s="1"/>
      <c r="C61" s="1"/>
      <c r="D61" s="1"/>
      <c r="E61" s="1" t="str">
        <f>IF(OR(C61="",D61=""),"",C61*D61)</f>
        <v/>
      </c>
      <c r="F61" s="1"/>
      <c r="G61" s="1"/>
      <c r="H61" s="1"/>
      <c r="I61" s="1" t="str">
        <f>IF(F61="","",F61-IF(G61="",0,G61)-IF(H61="",0,H61))</f>
        <v/>
      </c>
      <c r="J61" s="1" t="str">
        <f>IF(OR(C61="",I61=""),"",C61*I61)</f>
        <v/>
      </c>
      <c r="K61" s="1" t="str">
        <f>IF(OR(E61="",J61=""),"",MIN(E61,J61))</f>
        <v/>
      </c>
      <c r="L61" s="1" t="str">
        <f>IF(OR(E61="",K61=""),"",MAX(0,E61-K61))</f>
        <v/>
      </c>
      <c r="M61" s="1"/>
      <c r="N61" s="1"/>
    </row>
    <row r="62" spans="1:14" x14ac:dyDescent="0.15">
      <c r="A62" s="1"/>
      <c r="B62" s="1"/>
      <c r="C62" s="1"/>
      <c r="D62" s="1"/>
      <c r="E62" s="1" t="str">
        <f>IF(OR(C62="",D62=""),"",C62*D62)</f>
        <v/>
      </c>
      <c r="F62" s="1"/>
      <c r="G62" s="1"/>
      <c r="H62" s="1"/>
      <c r="I62" s="1" t="str">
        <f>IF(F62="","",F62-IF(G62="",0,G62)-IF(H62="",0,H62))</f>
        <v/>
      </c>
      <c r="J62" s="1" t="str">
        <f>IF(OR(C62="",I62=""),"",C62*I62)</f>
        <v/>
      </c>
      <c r="K62" s="1" t="str">
        <f>IF(OR(E62="",J62=""),"",MIN(E62,J62))</f>
        <v/>
      </c>
      <c r="L62" s="1" t="str">
        <f>IF(OR(E62="",K62=""),"",MAX(0,E62-K62))</f>
        <v/>
      </c>
      <c r="M62" s="1"/>
      <c r="N62" s="1"/>
    </row>
    <row r="63" spans="1:14" x14ac:dyDescent="0.15">
      <c r="A63" s="1"/>
      <c r="B63" s="1"/>
      <c r="C63" s="1"/>
      <c r="D63" s="1"/>
      <c r="E63" s="1" t="str">
        <f>IF(OR(C63="",D63=""),"",C63*D63)</f>
        <v/>
      </c>
      <c r="F63" s="1"/>
      <c r="G63" s="1"/>
      <c r="H63" s="1"/>
      <c r="I63" s="1" t="str">
        <f>IF(F63="","",F63-IF(G63="",0,G63)-IF(H63="",0,H63))</f>
        <v/>
      </c>
      <c r="J63" s="1" t="str">
        <f>IF(OR(C63="",I63=""),"",C63*I63)</f>
        <v/>
      </c>
      <c r="K63" s="1" t="str">
        <f>IF(OR(E63="",J63=""),"",MIN(E63,J63))</f>
        <v/>
      </c>
      <c r="L63" s="1" t="str">
        <f>IF(OR(E63="",K63=""),"",MAX(0,E63-K63))</f>
        <v/>
      </c>
      <c r="M63" s="1"/>
      <c r="N63" s="1"/>
    </row>
    <row r="64" spans="1:14" x14ac:dyDescent="0.15">
      <c r="A64" s="1"/>
      <c r="B64" s="1"/>
      <c r="C64" s="1"/>
      <c r="D64" s="1"/>
      <c r="E64" s="1" t="str">
        <f>IF(OR(C64="",D64=""),"",C64*D64)</f>
        <v/>
      </c>
      <c r="F64" s="1"/>
      <c r="G64" s="1"/>
      <c r="H64" s="1"/>
      <c r="I64" s="1" t="str">
        <f>IF(F64="","",F64-IF(G64="",0,G64)-IF(H64="",0,H64))</f>
        <v/>
      </c>
      <c r="J64" s="1" t="str">
        <f>IF(OR(C64="",I64=""),"",C64*I64)</f>
        <v/>
      </c>
      <c r="K64" s="1" t="str">
        <f>IF(OR(E64="",J64=""),"",MIN(E64,J64))</f>
        <v/>
      </c>
      <c r="L64" s="1" t="str">
        <f>IF(OR(E64="",K64=""),"",MAX(0,E64-K64))</f>
        <v/>
      </c>
      <c r="M64" s="1"/>
      <c r="N64" s="1"/>
    </row>
    <row r="65" spans="1:14" x14ac:dyDescent="0.15">
      <c r="A65" s="1"/>
      <c r="B65" s="1"/>
      <c r="C65" s="1"/>
      <c r="D65" s="1"/>
      <c r="E65" s="1" t="str">
        <f>IF(OR(C65="",D65=""),"",C65*D65)</f>
        <v/>
      </c>
      <c r="F65" s="1"/>
      <c r="G65" s="1"/>
      <c r="H65" s="1"/>
      <c r="I65" s="1" t="str">
        <f>IF(F65="","",F65-IF(G65="",0,G65)-IF(H65="",0,H65))</f>
        <v/>
      </c>
      <c r="J65" s="1" t="str">
        <f>IF(OR(C65="",I65=""),"",C65*I65)</f>
        <v/>
      </c>
      <c r="K65" s="1" t="str">
        <f>IF(OR(E65="",J65=""),"",MIN(E65,J65))</f>
        <v/>
      </c>
      <c r="L65" s="1" t="str">
        <f>IF(OR(E65="",K65=""),"",MAX(0,E65-K65))</f>
        <v/>
      </c>
      <c r="M65" s="1"/>
      <c r="N65" s="1"/>
    </row>
    <row r="66" spans="1:14" x14ac:dyDescent="0.15">
      <c r="A66" s="1"/>
      <c r="B66" s="1"/>
      <c r="C66" s="1"/>
      <c r="D66" s="1"/>
      <c r="E66" s="1" t="str">
        <f>IF(OR(C66="",D66=""),"",C66*D66)</f>
        <v/>
      </c>
      <c r="F66" s="1"/>
      <c r="G66" s="1"/>
      <c r="H66" s="1"/>
      <c r="I66" s="1" t="str">
        <f>IF(F66="","",F66-IF(G66="",0,G66)-IF(H66="",0,H66))</f>
        <v/>
      </c>
      <c r="J66" s="1" t="str">
        <f>IF(OR(C66="",I66=""),"",C66*I66)</f>
        <v/>
      </c>
      <c r="K66" s="1" t="str">
        <f>IF(OR(E66="",J66=""),"",MIN(E66,J66))</f>
        <v/>
      </c>
      <c r="L66" s="1" t="str">
        <f>IF(OR(E66="",K66=""),"",MAX(0,E66-K66))</f>
        <v/>
      </c>
      <c r="M66" s="1"/>
      <c r="N66" s="1"/>
    </row>
    <row r="67" spans="1:14" x14ac:dyDescent="0.15">
      <c r="A67" s="1"/>
      <c r="B67" s="1"/>
      <c r="C67" s="1"/>
      <c r="D67" s="1"/>
      <c r="E67" s="1" t="str">
        <f>IF(OR(C67="",D67=""),"",C67*D67)</f>
        <v/>
      </c>
      <c r="F67" s="1"/>
      <c r="G67" s="1"/>
      <c r="H67" s="1"/>
      <c r="I67" s="1" t="str">
        <f>IF(F67="","",F67-IF(G67="",0,G67)-IF(H67="",0,H67))</f>
        <v/>
      </c>
      <c r="J67" s="1" t="str">
        <f>IF(OR(C67="",I67=""),"",C67*I67)</f>
        <v/>
      </c>
      <c r="K67" s="1" t="str">
        <f>IF(OR(E67="",J67=""),"",MIN(E67,J67))</f>
        <v/>
      </c>
      <c r="L67" s="1" t="str">
        <f>IF(OR(E67="",K67=""),"",MAX(0,E67-K67))</f>
        <v/>
      </c>
      <c r="M67" s="1"/>
      <c r="N67" s="1"/>
    </row>
    <row r="68" spans="1:14" x14ac:dyDescent="0.15">
      <c r="A68" s="1"/>
      <c r="B68" s="1"/>
      <c r="C68" s="1"/>
      <c r="D68" s="1"/>
      <c r="E68" s="1" t="str">
        <f>IF(OR(C68="",D68=""),"",C68*D68)</f>
        <v/>
      </c>
      <c r="F68" s="1"/>
      <c r="G68" s="1"/>
      <c r="H68" s="1"/>
      <c r="I68" s="1" t="str">
        <f>IF(F68="","",F68-IF(G68="",0,G68)-IF(H68="",0,H68))</f>
        <v/>
      </c>
      <c r="J68" s="1" t="str">
        <f>IF(OR(C68="",I68=""),"",C68*I68)</f>
        <v/>
      </c>
      <c r="K68" s="1" t="str">
        <f>IF(OR(E68="",J68=""),"",MIN(E68,J68))</f>
        <v/>
      </c>
      <c r="L68" s="1" t="str">
        <f>IF(OR(E68="",K68=""),"",MAX(0,E68-K68))</f>
        <v/>
      </c>
      <c r="M68" s="1"/>
      <c r="N68" s="1"/>
    </row>
    <row r="69" spans="1:14" x14ac:dyDescent="0.15">
      <c r="A69" s="1"/>
      <c r="B69" s="1"/>
      <c r="C69" s="1"/>
      <c r="D69" s="1"/>
      <c r="E69" s="1" t="str">
        <f>IF(OR(C69="",D69=""),"",C69*D69)</f>
        <v/>
      </c>
      <c r="F69" s="1"/>
      <c r="G69" s="1"/>
      <c r="H69" s="1"/>
      <c r="I69" s="1" t="str">
        <f>IF(F69="","",F69-IF(G69="",0,G69)-IF(H69="",0,H69))</f>
        <v/>
      </c>
      <c r="J69" s="1" t="str">
        <f>IF(OR(C69="",I69=""),"",C69*I69)</f>
        <v/>
      </c>
      <c r="K69" s="1" t="str">
        <f>IF(OR(E69="",J69=""),"",MIN(E69,J69))</f>
        <v/>
      </c>
      <c r="L69" s="1" t="str">
        <f>IF(OR(E69="",K69=""),"",MAX(0,E69-K69))</f>
        <v/>
      </c>
      <c r="M69" s="1"/>
      <c r="N69" s="1"/>
    </row>
    <row r="70" spans="1:14" x14ac:dyDescent="0.15">
      <c r="A70" s="1"/>
      <c r="B70" s="1"/>
      <c r="C70" s="1"/>
      <c r="D70" s="1"/>
      <c r="E70" s="1" t="str">
        <f>IF(OR(C70="",D70=""),"",C70*D70)</f>
        <v/>
      </c>
      <c r="F70" s="1"/>
      <c r="G70" s="1"/>
      <c r="H70" s="1"/>
      <c r="I70" s="1" t="str">
        <f>IF(F70="","",F70-IF(G70="",0,G70)-IF(H70="",0,H70))</f>
        <v/>
      </c>
      <c r="J70" s="1" t="str">
        <f>IF(OR(C70="",I70=""),"",C70*I70)</f>
        <v/>
      </c>
      <c r="K70" s="1" t="str">
        <f>IF(OR(E70="",J70=""),"",MIN(E70,J70))</f>
        <v/>
      </c>
      <c r="L70" s="1" t="str">
        <f>IF(OR(E70="",K70=""),"",MAX(0,E70-K70))</f>
        <v/>
      </c>
      <c r="M70" s="1"/>
      <c r="N70" s="1"/>
    </row>
    <row r="71" spans="1:14" x14ac:dyDescent="0.15">
      <c r="A71" s="1"/>
      <c r="B71" s="1"/>
      <c r="C71" s="1"/>
      <c r="D71" s="1"/>
      <c r="E71" s="1" t="str">
        <f>IF(OR(C71="",D71=""),"",C71*D71)</f>
        <v/>
      </c>
      <c r="F71" s="1"/>
      <c r="G71" s="1"/>
      <c r="H71" s="1"/>
      <c r="I71" s="1" t="str">
        <f>IF(F71="","",F71-IF(G71="",0,G71)-IF(H71="",0,H71))</f>
        <v/>
      </c>
      <c r="J71" s="1" t="str">
        <f>IF(OR(C71="",I71=""),"",C71*I71)</f>
        <v/>
      </c>
      <c r="K71" s="1" t="str">
        <f>IF(OR(E71="",J71=""),"",MIN(E71,J71))</f>
        <v/>
      </c>
      <c r="L71" s="1" t="str">
        <f>IF(OR(E71="",K71=""),"",MAX(0,E71-K71))</f>
        <v/>
      </c>
      <c r="M71" s="1"/>
      <c r="N71" s="1"/>
    </row>
    <row r="72" spans="1:14" x14ac:dyDescent="0.15">
      <c r="A72" s="1"/>
      <c r="B72" s="1"/>
      <c r="C72" s="1"/>
      <c r="D72" s="1"/>
      <c r="E72" s="1" t="str">
        <f>IF(OR(C72="",D72=""),"",C72*D72)</f>
        <v/>
      </c>
      <c r="F72" s="1"/>
      <c r="G72" s="1"/>
      <c r="H72" s="1"/>
      <c r="I72" s="1" t="str">
        <f>IF(F72="","",F72-IF(G72="",0,G72)-IF(H72="",0,H72))</f>
        <v/>
      </c>
      <c r="J72" s="1" t="str">
        <f>IF(OR(C72="",I72=""),"",C72*I72)</f>
        <v/>
      </c>
      <c r="K72" s="1" t="str">
        <f>IF(OR(E72="",J72=""),"",MIN(E72,J72))</f>
        <v/>
      </c>
      <c r="L72" s="1" t="str">
        <f>IF(OR(E72="",K72=""),"",MAX(0,E72-K72))</f>
        <v/>
      </c>
      <c r="M72" s="1"/>
      <c r="N72" s="1"/>
    </row>
    <row r="73" spans="1:14" x14ac:dyDescent="0.15">
      <c r="A73" s="1"/>
      <c r="B73" s="1"/>
      <c r="C73" s="1"/>
      <c r="D73" s="1"/>
      <c r="E73" s="1" t="str">
        <f>IF(OR(C73="",D73=""),"",C73*D73)</f>
        <v/>
      </c>
      <c r="F73" s="1"/>
      <c r="G73" s="1"/>
      <c r="H73" s="1"/>
      <c r="I73" s="1" t="str">
        <f>IF(F73="","",F73-IF(G73="",0,G73)-IF(H73="",0,H73))</f>
        <v/>
      </c>
      <c r="J73" s="1" t="str">
        <f>IF(OR(C73="",I73=""),"",C73*I73)</f>
        <v/>
      </c>
      <c r="K73" s="1" t="str">
        <f>IF(OR(E73="",J73=""),"",MIN(E73,J73))</f>
        <v/>
      </c>
      <c r="L73" s="1" t="str">
        <f>IF(OR(E73="",K73=""),"",MAX(0,E73-K73))</f>
        <v/>
      </c>
      <c r="M73" s="1"/>
      <c r="N73" s="1"/>
    </row>
    <row r="74" spans="1:14" x14ac:dyDescent="0.15">
      <c r="A74" s="1"/>
      <c r="B74" s="1"/>
      <c r="C74" s="1"/>
      <c r="D74" s="1"/>
      <c r="E74" s="1" t="str">
        <f>IF(OR(C74="",D74=""),"",C74*D74)</f>
        <v/>
      </c>
      <c r="F74" s="1"/>
      <c r="G74" s="1"/>
      <c r="H74" s="1"/>
      <c r="I74" s="1" t="str">
        <f>IF(F74="","",F74-IF(G74="",0,G74)-IF(H74="",0,H74))</f>
        <v/>
      </c>
      <c r="J74" s="1" t="str">
        <f>IF(OR(C74="",I74=""),"",C74*I74)</f>
        <v/>
      </c>
      <c r="K74" s="1" t="str">
        <f>IF(OR(E74="",J74=""),"",MIN(E74,J74))</f>
        <v/>
      </c>
      <c r="L74" s="1" t="str">
        <f>IF(OR(E74="",K74=""),"",MAX(0,E74-K74))</f>
        <v/>
      </c>
      <c r="M74" s="1"/>
      <c r="N74" s="1"/>
    </row>
    <row r="75" spans="1:14" x14ac:dyDescent="0.15">
      <c r="A75" s="1"/>
      <c r="B75" s="1"/>
      <c r="C75" s="1"/>
      <c r="D75" s="1"/>
      <c r="E75" s="1" t="str">
        <f>IF(OR(C75="",D75=""),"",C75*D75)</f>
        <v/>
      </c>
      <c r="F75" s="1"/>
      <c r="G75" s="1"/>
      <c r="H75" s="1"/>
      <c r="I75" s="1" t="str">
        <f>IF(F75="","",F75-IF(G75="",0,G75)-IF(H75="",0,H75))</f>
        <v/>
      </c>
      <c r="J75" s="1" t="str">
        <f>IF(OR(C75="",I75=""),"",C75*I75)</f>
        <v/>
      </c>
      <c r="K75" s="1" t="str">
        <f>IF(OR(E75="",J75=""),"",MIN(E75,J75))</f>
        <v/>
      </c>
      <c r="L75" s="1" t="str">
        <f>IF(OR(E75="",K75=""),"",MAX(0,E75-K75))</f>
        <v/>
      </c>
      <c r="M75" s="1"/>
      <c r="N75" s="1"/>
    </row>
    <row r="76" spans="1:14" x14ac:dyDescent="0.15">
      <c r="A76" s="1"/>
      <c r="B76" s="1"/>
      <c r="C76" s="1"/>
      <c r="D76" s="1"/>
      <c r="E76" s="1" t="str">
        <f>IF(OR(C76="",D76=""),"",C76*D76)</f>
        <v/>
      </c>
      <c r="F76" s="1"/>
      <c r="G76" s="1"/>
      <c r="H76" s="1"/>
      <c r="I76" s="1" t="str">
        <f>IF(F76="","",F76-IF(G76="",0,G76)-IF(H76="",0,H76))</f>
        <v/>
      </c>
      <c r="J76" s="1" t="str">
        <f>IF(OR(C76="",I76=""),"",C76*I76)</f>
        <v/>
      </c>
      <c r="K76" s="1" t="str">
        <f>IF(OR(E76="",J76=""),"",MIN(E76,J76))</f>
        <v/>
      </c>
      <c r="L76" s="1" t="str">
        <f>IF(OR(E76="",K76=""),"",MAX(0,E76-K76))</f>
        <v/>
      </c>
      <c r="M76" s="1"/>
      <c r="N76" s="1"/>
    </row>
    <row r="77" spans="1:14" x14ac:dyDescent="0.15">
      <c r="A77" s="1"/>
      <c r="B77" s="1"/>
      <c r="C77" s="1"/>
      <c r="D77" s="1"/>
      <c r="E77" s="1" t="str">
        <f>IF(OR(C77="",D77=""),"",C77*D77)</f>
        <v/>
      </c>
      <c r="F77" s="1"/>
      <c r="G77" s="1"/>
      <c r="H77" s="1"/>
      <c r="I77" s="1" t="str">
        <f>IF(F77="","",F77-IF(G77="",0,G77)-IF(H77="",0,H77))</f>
        <v/>
      </c>
      <c r="J77" s="1" t="str">
        <f>IF(OR(C77="",I77=""),"",C77*I77)</f>
        <v/>
      </c>
      <c r="K77" s="1" t="str">
        <f>IF(OR(E77="",J77=""),"",MIN(E77,J77))</f>
        <v/>
      </c>
      <c r="L77" s="1" t="str">
        <f>IF(OR(E77="",K77=""),"",MAX(0,E77-K77))</f>
        <v/>
      </c>
      <c r="M77" s="1"/>
      <c r="N77" s="1"/>
    </row>
    <row r="78" spans="1:14" x14ac:dyDescent="0.15">
      <c r="A78" s="1"/>
      <c r="B78" s="1"/>
      <c r="C78" s="1"/>
      <c r="D78" s="1"/>
      <c r="E78" s="1" t="str">
        <f>IF(OR(C78="",D78=""),"",C78*D78)</f>
        <v/>
      </c>
      <c r="F78" s="1"/>
      <c r="G78" s="1"/>
      <c r="H78" s="1"/>
      <c r="I78" s="1" t="str">
        <f>IF(F78="","",F78-IF(G78="",0,G78)-IF(H78="",0,H78))</f>
        <v/>
      </c>
      <c r="J78" s="1" t="str">
        <f>IF(OR(C78="",I78=""),"",C78*I78)</f>
        <v/>
      </c>
      <c r="K78" s="1" t="str">
        <f>IF(OR(E78="",J78=""),"",MIN(E78,J78))</f>
        <v/>
      </c>
      <c r="L78" s="1" t="str">
        <f>IF(OR(E78="",K78=""),"",MAX(0,E78-K78))</f>
        <v/>
      </c>
      <c r="M78" s="1"/>
      <c r="N78" s="1"/>
    </row>
    <row r="79" spans="1:14" x14ac:dyDescent="0.15">
      <c r="A79" s="1"/>
      <c r="B79" s="1"/>
      <c r="C79" s="1"/>
      <c r="D79" s="1"/>
      <c r="E79" s="1" t="str">
        <f>IF(OR(C79="",D79=""),"",C79*D79)</f>
        <v/>
      </c>
      <c r="F79" s="1"/>
      <c r="G79" s="1"/>
      <c r="H79" s="1"/>
      <c r="I79" s="1" t="str">
        <f>IF(F79="","",F79-IF(G79="",0,G79)-IF(H79="",0,H79))</f>
        <v/>
      </c>
      <c r="J79" s="1" t="str">
        <f>IF(OR(C79="",I79=""),"",C79*I79)</f>
        <v/>
      </c>
      <c r="K79" s="1" t="str">
        <f>IF(OR(E79="",J79=""),"",MIN(E79,J79))</f>
        <v/>
      </c>
      <c r="L79" s="1" t="str">
        <f>IF(OR(E79="",K79=""),"",MAX(0,E79-K79))</f>
        <v/>
      </c>
      <c r="M79" s="1"/>
      <c r="N79" s="1"/>
    </row>
    <row r="80" spans="1:14" x14ac:dyDescent="0.15">
      <c r="A80" s="1"/>
      <c r="B80" s="1"/>
      <c r="C80" s="1"/>
      <c r="D80" s="1"/>
      <c r="E80" s="1" t="str">
        <f>IF(OR(C80="",D80=""),"",C80*D80)</f>
        <v/>
      </c>
      <c r="F80" s="1"/>
      <c r="G80" s="1"/>
      <c r="H80" s="1"/>
      <c r="I80" s="1" t="str">
        <f>IF(F80="","",F80-IF(G80="",0,G80)-IF(H80="",0,H80))</f>
        <v/>
      </c>
      <c r="J80" s="1" t="str">
        <f>IF(OR(C80="",I80=""),"",C80*I80)</f>
        <v/>
      </c>
      <c r="K80" s="1" t="str">
        <f>IF(OR(E80="",J80=""),"",MIN(E80,J80))</f>
        <v/>
      </c>
      <c r="L80" s="1" t="str">
        <f>IF(OR(E80="",K80=""),"",MAX(0,E80-K80))</f>
        <v/>
      </c>
      <c r="M80" s="1"/>
      <c r="N80" s="1"/>
    </row>
    <row r="81" spans="1:14" x14ac:dyDescent="0.15">
      <c r="A81" s="1"/>
      <c r="B81" s="1"/>
      <c r="C81" s="1"/>
      <c r="D81" s="1"/>
      <c r="E81" s="1" t="str">
        <f>IF(OR(C81="",D81=""),"",C81*D81)</f>
        <v/>
      </c>
      <c r="F81" s="1"/>
      <c r="G81" s="1"/>
      <c r="H81" s="1"/>
      <c r="I81" s="1" t="str">
        <f>IF(F81="","",F81-IF(G81="",0,G81)-IF(H81="",0,H81))</f>
        <v/>
      </c>
      <c r="J81" s="1" t="str">
        <f>IF(OR(C81="",I81=""),"",C81*I81)</f>
        <v/>
      </c>
      <c r="K81" s="1" t="str">
        <f>IF(OR(E81="",J81=""),"",MIN(E81,J81))</f>
        <v/>
      </c>
      <c r="L81" s="1" t="str">
        <f>IF(OR(E81="",K81=""),"",MAX(0,E81-K81))</f>
        <v/>
      </c>
      <c r="M81" s="1"/>
      <c r="N81" s="1"/>
    </row>
    <row r="82" spans="1:14" x14ac:dyDescent="0.15">
      <c r="A82" s="1"/>
      <c r="B82" s="1"/>
      <c r="C82" s="1"/>
      <c r="D82" s="1"/>
      <c r="E82" s="1" t="str">
        <f>IF(OR(C82="",D82=""),"",C82*D82)</f>
        <v/>
      </c>
      <c r="F82" s="1"/>
      <c r="G82" s="1"/>
      <c r="H82" s="1"/>
      <c r="I82" s="1" t="str">
        <f>IF(F82="","",F82-IF(G82="",0,G82)-IF(H82="",0,H82))</f>
        <v/>
      </c>
      <c r="J82" s="1" t="str">
        <f>IF(OR(C82="",I82=""),"",C82*I82)</f>
        <v/>
      </c>
      <c r="K82" s="1" t="str">
        <f>IF(OR(E82="",J82=""),"",MIN(E82,J82))</f>
        <v/>
      </c>
      <c r="L82" s="1" t="str">
        <f>IF(OR(E82="",K82=""),"",MAX(0,E82-K82))</f>
        <v/>
      </c>
      <c r="M82" s="1"/>
      <c r="N82" s="1"/>
    </row>
    <row r="83" spans="1:14" x14ac:dyDescent="0.15">
      <c r="A83" s="1"/>
      <c r="B83" s="1"/>
      <c r="C83" s="1"/>
      <c r="D83" s="1"/>
      <c r="E83" s="1" t="str">
        <f>IF(OR(C83="",D83=""),"",C83*D83)</f>
        <v/>
      </c>
      <c r="F83" s="1"/>
      <c r="G83" s="1"/>
      <c r="H83" s="1"/>
      <c r="I83" s="1" t="str">
        <f>IF(F83="","",F83-IF(G83="",0,G83)-IF(H83="",0,H83))</f>
        <v/>
      </c>
      <c r="J83" s="1" t="str">
        <f>IF(OR(C83="",I83=""),"",C83*I83)</f>
        <v/>
      </c>
      <c r="K83" s="1" t="str">
        <f>IF(OR(E83="",J83=""),"",MIN(E83,J83))</f>
        <v/>
      </c>
      <c r="L83" s="1" t="str">
        <f>IF(OR(E83="",K83=""),"",MAX(0,E83-K83))</f>
        <v/>
      </c>
      <c r="M83" s="1"/>
      <c r="N83" s="1"/>
    </row>
    <row r="84" spans="1:14" x14ac:dyDescent="0.15">
      <c r="A84" s="1"/>
      <c r="B84" s="1"/>
      <c r="C84" s="1"/>
      <c r="D84" s="1"/>
      <c r="E84" s="1" t="str">
        <f>IF(OR(C84="",D84=""),"",C84*D84)</f>
        <v/>
      </c>
      <c r="F84" s="1"/>
      <c r="G84" s="1"/>
      <c r="H84" s="1"/>
      <c r="I84" s="1" t="str">
        <f>IF(F84="","",F84-IF(G84="",0,G84)-IF(H84="",0,H84))</f>
        <v/>
      </c>
      <c r="J84" s="1" t="str">
        <f>IF(OR(C84="",I84=""),"",C84*I84)</f>
        <v/>
      </c>
      <c r="K84" s="1" t="str">
        <f>IF(OR(E84="",J84=""),"",MIN(E84,J84))</f>
        <v/>
      </c>
      <c r="L84" s="1" t="str">
        <f>IF(OR(E84="",K84=""),"",MAX(0,E84-K84))</f>
        <v/>
      </c>
      <c r="M84" s="1"/>
      <c r="N84" s="1"/>
    </row>
    <row r="85" spans="1:14" x14ac:dyDescent="0.15">
      <c r="A85" s="1"/>
      <c r="B85" s="1"/>
      <c r="C85" s="1"/>
      <c r="D85" s="1"/>
      <c r="E85" s="1" t="str">
        <f>IF(OR(C85="",D85=""),"",C85*D85)</f>
        <v/>
      </c>
      <c r="F85" s="1"/>
      <c r="G85" s="1"/>
      <c r="H85" s="1"/>
      <c r="I85" s="1" t="str">
        <f>IF(F85="","",F85-IF(G85="",0,G85)-IF(H85="",0,H85))</f>
        <v/>
      </c>
      <c r="J85" s="1" t="str">
        <f>IF(OR(C85="",I85=""),"",C85*I85)</f>
        <v/>
      </c>
      <c r="K85" s="1" t="str">
        <f>IF(OR(E85="",J85=""),"",MIN(E85,J85))</f>
        <v/>
      </c>
      <c r="L85" s="1" t="str">
        <f>IF(OR(E85="",K85=""),"",MAX(0,E85-K85))</f>
        <v/>
      </c>
      <c r="M85" s="1"/>
      <c r="N85" s="1"/>
    </row>
    <row r="86" spans="1:14" x14ac:dyDescent="0.15">
      <c r="A86" s="1"/>
      <c r="B86" s="1"/>
      <c r="C86" s="1"/>
      <c r="D86" s="1"/>
      <c r="E86" s="1" t="str">
        <f>IF(OR(C86="",D86=""),"",C86*D86)</f>
        <v/>
      </c>
      <c r="F86" s="1"/>
      <c r="G86" s="1"/>
      <c r="H86" s="1"/>
      <c r="I86" s="1" t="str">
        <f>IF(F86="","",F86-IF(G86="",0,G86)-IF(H86="",0,H86))</f>
        <v/>
      </c>
      <c r="J86" s="1" t="str">
        <f>IF(OR(C86="",I86=""),"",C86*I86)</f>
        <v/>
      </c>
      <c r="K86" s="1" t="str">
        <f>IF(OR(E86="",J86=""),"",MIN(E86,J86))</f>
        <v/>
      </c>
      <c r="L86" s="1" t="str">
        <f>IF(OR(E86="",K86=""),"",MAX(0,E86-K86))</f>
        <v/>
      </c>
      <c r="M86" s="1"/>
      <c r="N86" s="1"/>
    </row>
    <row r="87" spans="1:14" x14ac:dyDescent="0.15">
      <c r="A87" s="1"/>
      <c r="B87" s="1"/>
      <c r="C87" s="1"/>
      <c r="D87" s="1"/>
      <c r="E87" s="1" t="str">
        <f>IF(OR(C87="",D87=""),"",C87*D87)</f>
        <v/>
      </c>
      <c r="F87" s="1"/>
      <c r="G87" s="1"/>
      <c r="H87" s="1"/>
      <c r="I87" s="1" t="str">
        <f>IF(F87="","",F87-IF(G87="",0,G87)-IF(H87="",0,H87))</f>
        <v/>
      </c>
      <c r="J87" s="1" t="str">
        <f>IF(OR(C87="",I87=""),"",C87*I87)</f>
        <v/>
      </c>
      <c r="K87" s="1" t="str">
        <f>IF(OR(E87="",J87=""),"",MIN(E87,J87))</f>
        <v/>
      </c>
      <c r="L87" s="1" t="str">
        <f>IF(OR(E87="",K87=""),"",MAX(0,E87-K87))</f>
        <v/>
      </c>
      <c r="M87" s="1"/>
      <c r="N87" s="1"/>
    </row>
    <row r="88" spans="1:14" x14ac:dyDescent="0.15">
      <c r="A88" s="1"/>
      <c r="B88" s="1"/>
      <c r="C88" s="1"/>
      <c r="D88" s="1"/>
      <c r="E88" s="1" t="str">
        <f>IF(OR(C88="",D88=""),"",C88*D88)</f>
        <v/>
      </c>
      <c r="F88" s="1"/>
      <c r="G88" s="1"/>
      <c r="H88" s="1"/>
      <c r="I88" s="1" t="str">
        <f>IF(F88="","",F88-IF(G88="",0,G88)-IF(H88="",0,H88))</f>
        <v/>
      </c>
      <c r="J88" s="1" t="str">
        <f>IF(OR(C88="",I88=""),"",C88*I88)</f>
        <v/>
      </c>
      <c r="K88" s="1" t="str">
        <f>IF(OR(E88="",J88=""),"",MIN(E88,J88))</f>
        <v/>
      </c>
      <c r="L88" s="1" t="str">
        <f>IF(OR(E88="",K88=""),"",MAX(0,E88-K88))</f>
        <v/>
      </c>
      <c r="M88" s="1"/>
      <c r="N88" s="1"/>
    </row>
    <row r="89" spans="1:14" x14ac:dyDescent="0.15">
      <c r="A89" s="1"/>
      <c r="B89" s="1"/>
      <c r="C89" s="1"/>
      <c r="D89" s="1"/>
      <c r="E89" s="1" t="str">
        <f>IF(OR(C89="",D89=""),"",C89*D89)</f>
        <v/>
      </c>
      <c r="F89" s="1"/>
      <c r="G89" s="1"/>
      <c r="H89" s="1"/>
      <c r="I89" s="1" t="str">
        <f>IF(F89="","",F89-IF(G89="",0,G89)-IF(H89="",0,H89))</f>
        <v/>
      </c>
      <c r="J89" s="1" t="str">
        <f>IF(OR(C89="",I89=""),"",C89*I89)</f>
        <v/>
      </c>
      <c r="K89" s="1" t="str">
        <f>IF(OR(E89="",J89=""),"",MIN(E89,J89))</f>
        <v/>
      </c>
      <c r="L89" s="1" t="str">
        <f>IF(OR(E89="",K89=""),"",MAX(0,E89-K89))</f>
        <v/>
      </c>
      <c r="M89" s="1"/>
      <c r="N89" s="1"/>
    </row>
    <row r="90" spans="1:14" x14ac:dyDescent="0.15">
      <c r="A90" s="1"/>
      <c r="B90" s="1"/>
      <c r="C90" s="1"/>
      <c r="D90" s="1"/>
      <c r="E90" s="1" t="str">
        <f>IF(OR(C90="",D90=""),"",C90*D90)</f>
        <v/>
      </c>
      <c r="F90" s="1"/>
      <c r="G90" s="1"/>
      <c r="H90" s="1"/>
      <c r="I90" s="1" t="str">
        <f>IF(F90="","",F90-IF(G90="",0,G90)-IF(H90="",0,H90))</f>
        <v/>
      </c>
      <c r="J90" s="1" t="str">
        <f>IF(OR(C90="",I90=""),"",C90*I90)</f>
        <v/>
      </c>
      <c r="K90" s="1" t="str">
        <f>IF(OR(E90="",J90=""),"",MIN(E90,J90))</f>
        <v/>
      </c>
      <c r="L90" s="1" t="str">
        <f>IF(OR(E90="",K90=""),"",MAX(0,E90-K90))</f>
        <v/>
      </c>
      <c r="M90" s="1"/>
      <c r="N90" s="1"/>
    </row>
    <row r="91" spans="1:14" x14ac:dyDescent="0.15">
      <c r="A91" s="1"/>
      <c r="B91" s="1"/>
      <c r="C91" s="1"/>
      <c r="D91" s="1"/>
      <c r="E91" s="1" t="str">
        <f>IF(OR(C91="",D91=""),"",C91*D91)</f>
        <v/>
      </c>
      <c r="F91" s="1"/>
      <c r="G91" s="1"/>
      <c r="H91" s="1"/>
      <c r="I91" s="1" t="str">
        <f>IF(F91="","",F91-IF(G91="",0,G91)-IF(H91="",0,H91))</f>
        <v/>
      </c>
      <c r="J91" s="1" t="str">
        <f>IF(OR(C91="",I91=""),"",C91*I91)</f>
        <v/>
      </c>
      <c r="K91" s="1" t="str">
        <f>IF(OR(E91="",J91=""),"",MIN(E91,J91))</f>
        <v/>
      </c>
      <c r="L91" s="1" t="str">
        <f>IF(OR(E91="",K91=""),"",MAX(0,E91-K91))</f>
        <v/>
      </c>
      <c r="M91" s="1"/>
      <c r="N91" s="1"/>
    </row>
    <row r="92" spans="1:14" x14ac:dyDescent="0.15">
      <c r="A92" s="1"/>
      <c r="B92" s="1"/>
      <c r="C92" s="1"/>
      <c r="D92" s="1"/>
      <c r="E92" s="1" t="str">
        <f>IF(OR(C92="",D92=""),"",C92*D92)</f>
        <v/>
      </c>
      <c r="F92" s="1"/>
      <c r="G92" s="1"/>
      <c r="H92" s="1"/>
      <c r="I92" s="1" t="str">
        <f>IF(F92="","",F92-IF(G92="",0,G92)-IF(H92="",0,H92))</f>
        <v/>
      </c>
      <c r="J92" s="1" t="str">
        <f>IF(OR(C92="",I92=""),"",C92*I92)</f>
        <v/>
      </c>
      <c r="K92" s="1" t="str">
        <f>IF(OR(E92="",J92=""),"",MIN(E92,J92))</f>
        <v/>
      </c>
      <c r="L92" s="1" t="str">
        <f>IF(OR(E92="",K92=""),"",MAX(0,E92-K92))</f>
        <v/>
      </c>
      <c r="M92" s="1"/>
      <c r="N92" s="1"/>
    </row>
    <row r="93" spans="1:14" x14ac:dyDescent="0.15">
      <c r="A93" s="1"/>
      <c r="B93" s="1"/>
      <c r="C93" s="1"/>
      <c r="D93" s="1"/>
      <c r="E93" s="1" t="str">
        <f>IF(OR(C93="",D93=""),"",C93*D93)</f>
        <v/>
      </c>
      <c r="F93" s="1"/>
      <c r="G93" s="1"/>
      <c r="H93" s="1"/>
      <c r="I93" s="1" t="str">
        <f>IF(F93="","",F93-IF(G93="",0,G93)-IF(H93="",0,H93))</f>
        <v/>
      </c>
      <c r="J93" s="1" t="str">
        <f>IF(OR(C93="",I93=""),"",C93*I93)</f>
        <v/>
      </c>
      <c r="K93" s="1" t="str">
        <f>IF(OR(E93="",J93=""),"",MIN(E93,J93))</f>
        <v/>
      </c>
      <c r="L93" s="1" t="str">
        <f>IF(OR(E93="",K93=""),"",MAX(0,E93-K93))</f>
        <v/>
      </c>
      <c r="M93" s="1"/>
      <c r="N93" s="1"/>
    </row>
    <row r="94" spans="1:14" x14ac:dyDescent="0.15">
      <c r="A94" s="1"/>
      <c r="B94" s="1"/>
      <c r="C94" s="1"/>
      <c r="D94" s="1"/>
      <c r="E94" s="1" t="str">
        <f>IF(OR(C94="",D94=""),"",C94*D94)</f>
        <v/>
      </c>
      <c r="F94" s="1"/>
      <c r="G94" s="1"/>
      <c r="H94" s="1"/>
      <c r="I94" s="1" t="str">
        <f>IF(F94="","",F94-IF(G94="",0,G94)-IF(H94="",0,H94))</f>
        <v/>
      </c>
      <c r="J94" s="1" t="str">
        <f>IF(OR(C94="",I94=""),"",C94*I94)</f>
        <v/>
      </c>
      <c r="K94" s="1" t="str">
        <f>IF(OR(E94="",J94=""),"",MIN(E94,J94))</f>
        <v/>
      </c>
      <c r="L94" s="1" t="str">
        <f>IF(OR(E94="",K94=""),"",MAX(0,E94-K94))</f>
        <v/>
      </c>
      <c r="M94" s="1"/>
      <c r="N94" s="1"/>
    </row>
    <row r="95" spans="1:14" x14ac:dyDescent="0.15">
      <c r="A95" s="1"/>
      <c r="B95" s="1"/>
      <c r="C95" s="1"/>
      <c r="D95" s="1"/>
      <c r="E95" s="1" t="str">
        <f>IF(OR(C95="",D95=""),"",C95*D95)</f>
        <v/>
      </c>
      <c r="F95" s="1"/>
      <c r="G95" s="1"/>
      <c r="H95" s="1"/>
      <c r="I95" s="1" t="str">
        <f>IF(F95="","",F95-IF(G95="",0,G95)-IF(H95="",0,H95))</f>
        <v/>
      </c>
      <c r="J95" s="1" t="str">
        <f>IF(OR(C95="",I95=""),"",C95*I95)</f>
        <v/>
      </c>
      <c r="K95" s="1" t="str">
        <f>IF(OR(E95="",J95=""),"",MIN(E95,J95))</f>
        <v/>
      </c>
      <c r="L95" s="1" t="str">
        <f>IF(OR(E95="",K95=""),"",MAX(0,E95-K95))</f>
        <v/>
      </c>
      <c r="M95" s="1"/>
      <c r="N95" s="1"/>
    </row>
    <row r="96" spans="1:14" x14ac:dyDescent="0.15">
      <c r="A96" s="1"/>
      <c r="B96" s="1"/>
      <c r="C96" s="1"/>
      <c r="D96" s="1"/>
      <c r="E96" s="1" t="str">
        <f>IF(OR(C96="",D96=""),"",C96*D96)</f>
        <v/>
      </c>
      <c r="F96" s="1"/>
      <c r="G96" s="1"/>
      <c r="H96" s="1"/>
      <c r="I96" s="1" t="str">
        <f>IF(F96="","",F96-IF(G96="",0,G96)-IF(H96="",0,H96))</f>
        <v/>
      </c>
      <c r="J96" s="1" t="str">
        <f>IF(OR(C96="",I96=""),"",C96*I96)</f>
        <v/>
      </c>
      <c r="K96" s="1" t="str">
        <f>IF(OR(E96="",J96=""),"",MIN(E96,J96))</f>
        <v/>
      </c>
      <c r="L96" s="1" t="str">
        <f>IF(OR(E96="",K96=""),"",MAX(0,E96-K96))</f>
        <v/>
      </c>
      <c r="M96" s="1"/>
      <c r="N96" s="1"/>
    </row>
    <row r="97" spans="1:14" x14ac:dyDescent="0.15">
      <c r="A97" s="1"/>
      <c r="B97" s="1"/>
      <c r="C97" s="1"/>
      <c r="D97" s="1"/>
      <c r="E97" s="1" t="str">
        <f>IF(OR(C97="",D97=""),"",C97*D97)</f>
        <v/>
      </c>
      <c r="F97" s="1"/>
      <c r="G97" s="1"/>
      <c r="H97" s="1"/>
      <c r="I97" s="1" t="str">
        <f>IF(F97="","",F97-IF(G97="",0,G97)-IF(H97="",0,H97))</f>
        <v/>
      </c>
      <c r="J97" s="1" t="str">
        <f>IF(OR(C97="",I97=""),"",C97*I97)</f>
        <v/>
      </c>
      <c r="K97" s="1" t="str">
        <f>IF(OR(E97="",J97=""),"",MIN(E97,J97))</f>
        <v/>
      </c>
      <c r="L97" s="1" t="str">
        <f>IF(OR(E97="",K97=""),"",MAX(0,E97-K97))</f>
        <v/>
      </c>
      <c r="M97" s="1"/>
      <c r="N97" s="1"/>
    </row>
    <row r="98" spans="1:14" x14ac:dyDescent="0.15">
      <c r="A98" s="1"/>
      <c r="B98" s="1"/>
      <c r="C98" s="1"/>
      <c r="D98" s="1"/>
      <c r="E98" s="1" t="str">
        <f>IF(OR(C98="",D98=""),"",C98*D98)</f>
        <v/>
      </c>
      <c r="F98" s="1"/>
      <c r="G98" s="1"/>
      <c r="H98" s="1"/>
      <c r="I98" s="1" t="str">
        <f>IF(F98="","",F98-IF(G98="",0,G98)-IF(H98="",0,H98))</f>
        <v/>
      </c>
      <c r="J98" s="1" t="str">
        <f>IF(OR(C98="",I98=""),"",C98*I98)</f>
        <v/>
      </c>
      <c r="K98" s="1" t="str">
        <f>IF(OR(E98="",J98=""),"",MIN(E98,J98))</f>
        <v/>
      </c>
      <c r="L98" s="1" t="str">
        <f>IF(OR(E98="",K98=""),"",MAX(0,E98-K98))</f>
        <v/>
      </c>
      <c r="M98" s="1"/>
      <c r="N98" s="1"/>
    </row>
    <row r="99" spans="1:14" x14ac:dyDescent="0.15">
      <c r="A99" s="1"/>
      <c r="B99" s="1"/>
      <c r="C99" s="1"/>
      <c r="D99" s="1"/>
      <c r="E99" s="1" t="str">
        <f>IF(OR(C99="",D99=""),"",C99*D99)</f>
        <v/>
      </c>
      <c r="F99" s="1"/>
      <c r="G99" s="1"/>
      <c r="H99" s="1"/>
      <c r="I99" s="1" t="str">
        <f>IF(F99="","",F99-IF(G99="",0,G99)-IF(H99="",0,H99))</f>
        <v/>
      </c>
      <c r="J99" s="1" t="str">
        <f>IF(OR(C99="",I99=""),"",C99*I99)</f>
        <v/>
      </c>
      <c r="K99" s="1" t="str">
        <f>IF(OR(E99="",J99=""),"",MIN(E99,J99))</f>
        <v/>
      </c>
      <c r="L99" s="1" t="str">
        <f>IF(OR(E99="",K99=""),"",MAX(0,E99-K99))</f>
        <v/>
      </c>
      <c r="M99" s="1"/>
      <c r="N99" s="1"/>
    </row>
    <row r="100" spans="1:14" x14ac:dyDescent="0.15">
      <c r="A100" s="1"/>
      <c r="B100" s="1"/>
      <c r="C100" s="1"/>
      <c r="D100" s="1"/>
      <c r="E100" s="1" t="str">
        <f>IF(OR(C100="",D100=""),"",C100*D100)</f>
        <v/>
      </c>
      <c r="F100" s="1"/>
      <c r="G100" s="1"/>
      <c r="H100" s="1"/>
      <c r="I100" s="1" t="str">
        <f>IF(F100="","",F100-IF(G100="",0,G100)-IF(H100="",0,H100))</f>
        <v/>
      </c>
      <c r="J100" s="1" t="str">
        <f>IF(OR(C100="",I100=""),"",C100*I100)</f>
        <v/>
      </c>
      <c r="K100" s="1" t="str">
        <f>IF(OR(E100="",J100=""),"",MIN(E100,J100))</f>
        <v/>
      </c>
      <c r="L100" s="1" t="str">
        <f>IF(OR(E100="",K100=""),"",MAX(0,E100-K100))</f>
        <v/>
      </c>
      <c r="M100" s="1"/>
      <c r="N100" s="1"/>
    </row>
    <row r="101" spans="1:14" x14ac:dyDescent="0.15">
      <c r="A101" s="1"/>
      <c r="B101" s="1"/>
      <c r="C101" s="1"/>
      <c r="D101" s="1"/>
      <c r="E101" s="1" t="str">
        <f>IF(OR(C101="",D101=""),"",C101*D101)</f>
        <v/>
      </c>
      <c r="F101" s="1"/>
      <c r="G101" s="1"/>
      <c r="H101" s="1"/>
      <c r="I101" s="1" t="str">
        <f>IF(F101="","",F101-IF(G101="",0,G101)-IF(H101="",0,H101))</f>
        <v/>
      </c>
      <c r="J101" s="1" t="str">
        <f>IF(OR(C101="",I101=""),"",C101*I101)</f>
        <v/>
      </c>
      <c r="K101" s="1" t="str">
        <f>IF(OR(E101="",J101=""),"",MIN(E101,J101))</f>
        <v/>
      </c>
      <c r="L101" s="1" t="str">
        <f>IF(OR(E101="",K101=""),"",MAX(0,E101-K101))</f>
        <v/>
      </c>
      <c r="M101" s="1"/>
      <c r="N101" s="1"/>
    </row>
    <row r="102" spans="1:14" x14ac:dyDescent="0.15">
      <c r="A102" s="1"/>
      <c r="B102" s="1"/>
      <c r="C102" s="1"/>
      <c r="D102" s="1"/>
      <c r="E102" s="1" t="str">
        <f>IF(OR(C102="",D102=""),"",C102*D102)</f>
        <v/>
      </c>
      <c r="F102" s="1"/>
      <c r="G102" s="1"/>
      <c r="H102" s="1"/>
      <c r="I102" s="1" t="str">
        <f>IF(F102="","",F102-IF(G102="",0,G102)-IF(H102="",0,H102))</f>
        <v/>
      </c>
      <c r="J102" s="1" t="str">
        <f>IF(OR(C102="",I102=""),"",C102*I102)</f>
        <v/>
      </c>
      <c r="K102" s="1" t="str">
        <f>IF(OR(E102="",J102=""),"",MIN(E102,J102))</f>
        <v/>
      </c>
      <c r="L102" s="1" t="str">
        <f>IF(OR(E102="",K102=""),"",MAX(0,E102-K102))</f>
        <v/>
      </c>
      <c r="M102" s="1"/>
      <c r="N102" s="1"/>
    </row>
    <row r="103" spans="1:14" x14ac:dyDescent="0.15">
      <c r="A103" s="1"/>
      <c r="B103" s="1"/>
      <c r="C103" s="1"/>
      <c r="D103" s="1"/>
      <c r="E103" s="1" t="str">
        <f>IF(OR(C103="",D103=""),"",C103*D103)</f>
        <v/>
      </c>
      <c r="F103" s="1"/>
      <c r="G103" s="1"/>
      <c r="H103" s="1"/>
      <c r="I103" s="1" t="str">
        <f>IF(F103="","",F103-IF(G103="",0,G103)-IF(H103="",0,H103))</f>
        <v/>
      </c>
      <c r="J103" s="1" t="str">
        <f>IF(OR(C103="",I103=""),"",C103*I103)</f>
        <v/>
      </c>
      <c r="K103" s="1" t="str">
        <f>IF(OR(E103="",J103=""),"",MIN(E103,J103))</f>
        <v/>
      </c>
      <c r="L103" s="1" t="str">
        <f>IF(OR(E103="",K103=""),"",MAX(0,E103-K103))</f>
        <v/>
      </c>
      <c r="M103" s="1"/>
      <c r="N103" s="1"/>
    </row>
  </sheetData>
  <mergeCells count="1">
    <mergeCell ref="A1:N1"/>
  </mergeCells>
  <conditionalFormatting sqref="L4:L103">
    <cfRule type="cellIs" dxfId="0" priority="1" operator="greaterThan">
      <formula>0</formula>
    </cfRule>
  </conditionalFormatting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3"/>
  <sheetViews>
    <sheetView showGridLines="0" tabSelected="1" workbookViewId="0">
      <pane ySplit="3" topLeftCell="A4" activePane="bottomLeft" state="frozen"/>
      <selection pane="bottomLeft"/>
    </sheetView>
  </sheetViews>
  <sheetFormatPr defaultRowHeight="13.5" x14ac:dyDescent="0.15"/>
  <cols>
    <col min="1" max="12" width="19" customWidth="1"/>
  </cols>
  <sheetData>
    <row r="1" spans="1:12" ht="22.5" x14ac:dyDescent="0.15">
      <c r="A1" s="14" t="s">
        <v>103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15">
      <c r="A3" s="2" t="s">
        <v>104</v>
      </c>
      <c r="B3" s="2" t="s">
        <v>64</v>
      </c>
      <c r="C3" s="2" t="s">
        <v>68</v>
      </c>
      <c r="D3" s="2" t="s">
        <v>45</v>
      </c>
      <c r="E3" s="2" t="s">
        <v>46</v>
      </c>
      <c r="F3" s="2" t="s">
        <v>87</v>
      </c>
      <c r="G3" s="2" t="s">
        <v>88</v>
      </c>
      <c r="H3" s="2" t="s">
        <v>89</v>
      </c>
      <c r="I3" s="2" t="s">
        <v>81</v>
      </c>
      <c r="J3" s="2" t="s">
        <v>90</v>
      </c>
      <c r="K3" s="2" t="s">
        <v>105</v>
      </c>
      <c r="L3" s="2" t="s">
        <v>106</v>
      </c>
    </row>
    <row r="4" spans="1:12" x14ac:dyDescent="0.15">
      <c r="A4" s="1"/>
      <c r="B4" s="4"/>
      <c r="C4" s="1"/>
      <c r="D4" s="1"/>
      <c r="E4" s="1"/>
      <c r="F4" s="1"/>
      <c r="G4" s="1"/>
      <c r="H4" s="1" t="str">
        <f>IF(OR(F4="",G4=""),"",G4-F4)</f>
        <v/>
      </c>
      <c r="I4" s="1"/>
      <c r="J4" s="1" t="str">
        <f>IF(OR(H4="",I4=""),"",H4*I4)</f>
        <v/>
      </c>
      <c r="K4" s="1" t="str">
        <f>IF(H4="","",IF(H4=0,"مطابق",IF(H4&gt;0,"زيادة","عجز")))</f>
        <v/>
      </c>
      <c r="L4" s="1"/>
    </row>
    <row r="5" spans="1:12" x14ac:dyDescent="0.15">
      <c r="A5" s="1"/>
      <c r="B5" s="4"/>
      <c r="C5" s="1"/>
      <c r="D5" s="1"/>
      <c r="E5" s="1"/>
      <c r="F5" s="1"/>
      <c r="G5" s="1"/>
      <c r="H5" s="1" t="str">
        <f>IF(OR(F5="",G5=""),"",G5-F5)</f>
        <v/>
      </c>
      <c r="I5" s="1"/>
      <c r="J5" s="1" t="str">
        <f>IF(OR(H5="",I5=""),"",H5*I5)</f>
        <v/>
      </c>
      <c r="K5" s="1" t="str">
        <f>IF(H5="","",IF(H5=0,"مطابق",IF(H5&gt;0,"زيادة","عجز")))</f>
        <v/>
      </c>
      <c r="L5" s="1"/>
    </row>
    <row r="6" spans="1:12" x14ac:dyDescent="0.15">
      <c r="A6" s="1"/>
      <c r="B6" s="4"/>
      <c r="C6" s="1"/>
      <c r="D6" s="1"/>
      <c r="E6" s="1"/>
      <c r="F6" s="1"/>
      <c r="G6" s="1"/>
      <c r="H6" s="1" t="str">
        <f>IF(OR(F6="",G6=""),"",G6-F6)</f>
        <v/>
      </c>
      <c r="I6" s="1"/>
      <c r="J6" s="1" t="str">
        <f>IF(OR(H6="",I6=""),"",H6*I6)</f>
        <v/>
      </c>
      <c r="K6" s="1" t="str">
        <f>IF(H6="","",IF(H6=0,"مطابق",IF(H6&gt;0,"زيادة","عجز")))</f>
        <v/>
      </c>
      <c r="L6" s="1"/>
    </row>
    <row r="7" spans="1:12" x14ac:dyDescent="0.15">
      <c r="A7" s="1"/>
      <c r="B7" s="4"/>
      <c r="C7" s="1"/>
      <c r="D7" s="1"/>
      <c r="E7" s="1"/>
      <c r="F7" s="1"/>
      <c r="G7" s="1"/>
      <c r="H7" s="1" t="str">
        <f>IF(OR(F7="",G7=""),"",G7-F7)</f>
        <v/>
      </c>
      <c r="I7" s="1"/>
      <c r="J7" s="1" t="str">
        <f>IF(OR(H7="",I7=""),"",H7*I7)</f>
        <v/>
      </c>
      <c r="K7" s="1" t="str">
        <f>IF(H7="","",IF(H7=0,"مطابق",IF(H7&gt;0,"زيادة","عجز")))</f>
        <v/>
      </c>
      <c r="L7" s="1"/>
    </row>
    <row r="8" spans="1:12" x14ac:dyDescent="0.15">
      <c r="A8" s="1"/>
      <c r="B8" s="4"/>
      <c r="C8" s="1"/>
      <c r="D8" s="1"/>
      <c r="E8" s="1"/>
      <c r="F8" s="1"/>
      <c r="G8" s="1"/>
      <c r="H8" s="1" t="str">
        <f>IF(OR(F8="",G8=""),"",G8-F8)</f>
        <v/>
      </c>
      <c r="I8" s="1"/>
      <c r="J8" s="1" t="str">
        <f>IF(OR(H8="",I8=""),"",H8*I8)</f>
        <v/>
      </c>
      <c r="K8" s="1" t="str">
        <f>IF(H8="","",IF(H8=0,"مطابق",IF(H8&gt;0,"زيادة","عجز")))</f>
        <v/>
      </c>
      <c r="L8" s="1"/>
    </row>
    <row r="9" spans="1:12" x14ac:dyDescent="0.15">
      <c r="A9" s="1"/>
      <c r="B9" s="4"/>
      <c r="C9" s="1"/>
      <c r="D9" s="1"/>
      <c r="E9" s="1"/>
      <c r="F9" s="1"/>
      <c r="G9" s="1"/>
      <c r="H9" s="1" t="str">
        <f>IF(OR(F9="",G9=""),"",G9-F9)</f>
        <v/>
      </c>
      <c r="I9" s="1"/>
      <c r="J9" s="1" t="str">
        <f>IF(OR(H9="",I9=""),"",H9*I9)</f>
        <v/>
      </c>
      <c r="K9" s="1" t="str">
        <f>IF(H9="","",IF(H9=0,"مطابق",IF(H9&gt;0,"زيادة","عجز")))</f>
        <v/>
      </c>
      <c r="L9" s="1"/>
    </row>
    <row r="10" spans="1:12" x14ac:dyDescent="0.15">
      <c r="A10" s="1"/>
      <c r="B10" s="4"/>
      <c r="C10" s="1"/>
      <c r="D10" s="1"/>
      <c r="E10" s="1"/>
      <c r="F10" s="1"/>
      <c r="G10" s="1"/>
      <c r="H10" s="1" t="str">
        <f>IF(OR(F10="",G10=""),"",G10-F10)</f>
        <v/>
      </c>
      <c r="I10" s="1"/>
      <c r="J10" s="1" t="str">
        <f>IF(OR(H10="",I10=""),"",H10*I10)</f>
        <v/>
      </c>
      <c r="K10" s="1" t="str">
        <f>IF(H10="","",IF(H10=0,"مطابق",IF(H10&gt;0,"زيادة","عجز")))</f>
        <v/>
      </c>
      <c r="L10" s="1"/>
    </row>
    <row r="11" spans="1:12" x14ac:dyDescent="0.15">
      <c r="A11" s="1"/>
      <c r="B11" s="4"/>
      <c r="C11" s="1"/>
      <c r="D11" s="1"/>
      <c r="E11" s="1"/>
      <c r="F11" s="1"/>
      <c r="G11" s="1"/>
      <c r="H11" s="1" t="str">
        <f>IF(OR(F11="",G11=""),"",G11-F11)</f>
        <v/>
      </c>
      <c r="I11" s="1"/>
      <c r="J11" s="1" t="str">
        <f>IF(OR(H11="",I11=""),"",H11*I11)</f>
        <v/>
      </c>
      <c r="K11" s="1" t="str">
        <f>IF(H11="","",IF(H11=0,"مطابق",IF(H11&gt;0,"زيادة","عجز")))</f>
        <v/>
      </c>
      <c r="L11" s="1"/>
    </row>
    <row r="12" spans="1:12" x14ac:dyDescent="0.15">
      <c r="A12" s="1"/>
      <c r="B12" s="4"/>
      <c r="C12" s="1"/>
      <c r="D12" s="1"/>
      <c r="E12" s="1"/>
      <c r="F12" s="1"/>
      <c r="G12" s="1"/>
      <c r="H12" s="1" t="str">
        <f>IF(OR(F12="",G12=""),"",G12-F12)</f>
        <v/>
      </c>
      <c r="I12" s="1"/>
      <c r="J12" s="1" t="str">
        <f>IF(OR(H12="",I12=""),"",H12*I12)</f>
        <v/>
      </c>
      <c r="K12" s="1" t="str">
        <f>IF(H12="","",IF(H12=0,"مطابق",IF(H12&gt;0,"زيادة","عجز")))</f>
        <v/>
      </c>
      <c r="L12" s="1"/>
    </row>
    <row r="13" spans="1:12" x14ac:dyDescent="0.15">
      <c r="A13" s="1"/>
      <c r="B13" s="4"/>
      <c r="C13" s="1"/>
      <c r="D13" s="1"/>
      <c r="E13" s="1"/>
      <c r="F13" s="1"/>
      <c r="G13" s="1"/>
      <c r="H13" s="1" t="str">
        <f>IF(OR(F13="",G13=""),"",G13-F13)</f>
        <v/>
      </c>
      <c r="I13" s="1"/>
      <c r="J13" s="1" t="str">
        <f>IF(OR(H13="",I13=""),"",H13*I13)</f>
        <v/>
      </c>
      <c r="K13" s="1" t="str">
        <f>IF(H13="","",IF(H13=0,"مطابق",IF(H13&gt;0,"زيادة","عجز")))</f>
        <v/>
      </c>
      <c r="L13" s="1"/>
    </row>
    <row r="14" spans="1:12" x14ac:dyDescent="0.15">
      <c r="A14" s="1"/>
      <c r="B14" s="4"/>
      <c r="C14" s="1"/>
      <c r="D14" s="1"/>
      <c r="E14" s="1"/>
      <c r="F14" s="1"/>
      <c r="G14" s="1"/>
      <c r="H14" s="1" t="str">
        <f>IF(OR(F14="",G14=""),"",G14-F14)</f>
        <v/>
      </c>
      <c r="I14" s="1"/>
      <c r="J14" s="1" t="str">
        <f>IF(OR(H14="",I14=""),"",H14*I14)</f>
        <v/>
      </c>
      <c r="K14" s="1" t="str">
        <f>IF(H14="","",IF(H14=0,"مطابق",IF(H14&gt;0,"زيادة","عجز")))</f>
        <v/>
      </c>
      <c r="L14" s="1"/>
    </row>
    <row r="15" spans="1:12" x14ac:dyDescent="0.15">
      <c r="A15" s="1"/>
      <c r="B15" s="4"/>
      <c r="C15" s="1"/>
      <c r="D15" s="1"/>
      <c r="E15" s="1"/>
      <c r="F15" s="1"/>
      <c r="G15" s="1"/>
      <c r="H15" s="1" t="str">
        <f>IF(OR(F15="",G15=""),"",G15-F15)</f>
        <v/>
      </c>
      <c r="I15" s="1"/>
      <c r="J15" s="1" t="str">
        <f>IF(OR(H15="",I15=""),"",H15*I15)</f>
        <v/>
      </c>
      <c r="K15" s="1" t="str">
        <f>IF(H15="","",IF(H15=0,"مطابق",IF(H15&gt;0,"زيادة","عجز")))</f>
        <v/>
      </c>
      <c r="L15" s="1"/>
    </row>
    <row r="16" spans="1:12" x14ac:dyDescent="0.15">
      <c r="A16" s="1"/>
      <c r="B16" s="4"/>
      <c r="C16" s="1"/>
      <c r="D16" s="1"/>
      <c r="E16" s="1"/>
      <c r="F16" s="1"/>
      <c r="G16" s="1"/>
      <c r="H16" s="1" t="str">
        <f>IF(OR(F16="",G16=""),"",G16-F16)</f>
        <v/>
      </c>
      <c r="I16" s="1"/>
      <c r="J16" s="1" t="str">
        <f>IF(OR(H16="",I16=""),"",H16*I16)</f>
        <v/>
      </c>
      <c r="K16" s="1" t="str">
        <f>IF(H16="","",IF(H16=0,"مطابق",IF(H16&gt;0,"زيادة","عجز")))</f>
        <v/>
      </c>
      <c r="L16" s="1"/>
    </row>
    <row r="17" spans="1:12" x14ac:dyDescent="0.15">
      <c r="A17" s="1"/>
      <c r="B17" s="4"/>
      <c r="C17" s="1"/>
      <c r="D17" s="1"/>
      <c r="E17" s="1"/>
      <c r="F17" s="1"/>
      <c r="G17" s="1"/>
      <c r="H17" s="1" t="str">
        <f>IF(OR(F17="",G17=""),"",G17-F17)</f>
        <v/>
      </c>
      <c r="I17" s="1"/>
      <c r="J17" s="1" t="str">
        <f>IF(OR(H17="",I17=""),"",H17*I17)</f>
        <v/>
      </c>
      <c r="K17" s="1" t="str">
        <f>IF(H17="","",IF(H17=0,"مطابق",IF(H17&gt;0,"زيادة","عجز")))</f>
        <v/>
      </c>
      <c r="L17" s="1"/>
    </row>
    <row r="18" spans="1:12" x14ac:dyDescent="0.15">
      <c r="A18" s="1"/>
      <c r="B18" s="4"/>
      <c r="C18" s="1"/>
      <c r="D18" s="1"/>
      <c r="E18" s="1"/>
      <c r="F18" s="1"/>
      <c r="G18" s="1"/>
      <c r="H18" s="1" t="str">
        <f>IF(OR(F18="",G18=""),"",G18-F18)</f>
        <v/>
      </c>
      <c r="I18" s="1"/>
      <c r="J18" s="1" t="str">
        <f>IF(OR(H18="",I18=""),"",H18*I18)</f>
        <v/>
      </c>
      <c r="K18" s="1" t="str">
        <f>IF(H18="","",IF(H18=0,"مطابق",IF(H18&gt;0,"زيادة","عجز")))</f>
        <v/>
      </c>
      <c r="L18" s="1"/>
    </row>
    <row r="19" spans="1:12" x14ac:dyDescent="0.15">
      <c r="A19" s="1"/>
      <c r="B19" s="4"/>
      <c r="C19" s="1"/>
      <c r="D19" s="1"/>
      <c r="E19" s="1"/>
      <c r="F19" s="1"/>
      <c r="G19" s="1"/>
      <c r="H19" s="1" t="str">
        <f>IF(OR(F19="",G19=""),"",G19-F19)</f>
        <v/>
      </c>
      <c r="I19" s="1"/>
      <c r="J19" s="1" t="str">
        <f>IF(OR(H19="",I19=""),"",H19*I19)</f>
        <v/>
      </c>
      <c r="K19" s="1" t="str">
        <f>IF(H19="","",IF(H19=0,"مطابق",IF(H19&gt;0,"زيادة","عجز")))</f>
        <v/>
      </c>
      <c r="L19" s="1"/>
    </row>
    <row r="20" spans="1:12" x14ac:dyDescent="0.15">
      <c r="A20" s="1"/>
      <c r="B20" s="4"/>
      <c r="C20" s="1"/>
      <c r="D20" s="1"/>
      <c r="E20" s="1"/>
      <c r="F20" s="1"/>
      <c r="G20" s="1"/>
      <c r="H20" s="1" t="str">
        <f>IF(OR(F20="",G20=""),"",G20-F20)</f>
        <v/>
      </c>
      <c r="I20" s="1"/>
      <c r="J20" s="1" t="str">
        <f>IF(OR(H20="",I20=""),"",H20*I20)</f>
        <v/>
      </c>
      <c r="K20" s="1" t="str">
        <f>IF(H20="","",IF(H20=0,"مطابق",IF(H20&gt;0,"زيادة","عجز")))</f>
        <v/>
      </c>
      <c r="L20" s="1"/>
    </row>
    <row r="21" spans="1:12" x14ac:dyDescent="0.15">
      <c r="A21" s="1"/>
      <c r="B21" s="4"/>
      <c r="C21" s="1"/>
      <c r="D21" s="1"/>
      <c r="E21" s="1"/>
      <c r="F21" s="1"/>
      <c r="G21" s="1"/>
      <c r="H21" s="1" t="str">
        <f>IF(OR(F21="",G21=""),"",G21-F21)</f>
        <v/>
      </c>
      <c r="I21" s="1"/>
      <c r="J21" s="1" t="str">
        <f>IF(OR(H21="",I21=""),"",H21*I21)</f>
        <v/>
      </c>
      <c r="K21" s="1" t="str">
        <f>IF(H21="","",IF(H21=0,"مطابق",IF(H21&gt;0,"زيادة","عجز")))</f>
        <v/>
      </c>
      <c r="L21" s="1"/>
    </row>
    <row r="22" spans="1:12" x14ac:dyDescent="0.15">
      <c r="A22" s="1"/>
      <c r="B22" s="4"/>
      <c r="C22" s="1"/>
      <c r="D22" s="1"/>
      <c r="E22" s="1"/>
      <c r="F22" s="1"/>
      <c r="G22" s="1"/>
      <c r="H22" s="1" t="str">
        <f>IF(OR(F22="",G22=""),"",G22-F22)</f>
        <v/>
      </c>
      <c r="I22" s="1"/>
      <c r="J22" s="1" t="str">
        <f>IF(OR(H22="",I22=""),"",H22*I22)</f>
        <v/>
      </c>
      <c r="K22" s="1" t="str">
        <f>IF(H22="","",IF(H22=0,"مطابق",IF(H22&gt;0,"زيادة","عجز")))</f>
        <v/>
      </c>
      <c r="L22" s="1"/>
    </row>
    <row r="23" spans="1:12" x14ac:dyDescent="0.15">
      <c r="A23" s="1"/>
      <c r="B23" s="4"/>
      <c r="C23" s="1"/>
      <c r="D23" s="1"/>
      <c r="E23" s="1"/>
      <c r="F23" s="1"/>
      <c r="G23" s="1"/>
      <c r="H23" s="1" t="str">
        <f>IF(OR(F23="",G23=""),"",G23-F23)</f>
        <v/>
      </c>
      <c r="I23" s="1"/>
      <c r="J23" s="1" t="str">
        <f>IF(OR(H23="",I23=""),"",H23*I23)</f>
        <v/>
      </c>
      <c r="K23" s="1" t="str">
        <f>IF(H23="","",IF(H23=0,"مطابق",IF(H23&gt;0,"زيادة","عجز")))</f>
        <v/>
      </c>
      <c r="L23" s="1"/>
    </row>
    <row r="24" spans="1:12" x14ac:dyDescent="0.15">
      <c r="A24" s="1"/>
      <c r="B24" s="4"/>
      <c r="C24" s="1"/>
      <c r="D24" s="1"/>
      <c r="E24" s="1"/>
      <c r="F24" s="1"/>
      <c r="G24" s="1"/>
      <c r="H24" s="1" t="str">
        <f>IF(OR(F24="",G24=""),"",G24-F24)</f>
        <v/>
      </c>
      <c r="I24" s="1"/>
      <c r="J24" s="1" t="str">
        <f>IF(OR(H24="",I24=""),"",H24*I24)</f>
        <v/>
      </c>
      <c r="K24" s="1" t="str">
        <f>IF(H24="","",IF(H24=0,"مطابق",IF(H24&gt;0,"زيادة","عجز")))</f>
        <v/>
      </c>
      <c r="L24" s="1"/>
    </row>
    <row r="25" spans="1:12" x14ac:dyDescent="0.15">
      <c r="A25" s="1"/>
      <c r="B25" s="4"/>
      <c r="C25" s="1"/>
      <c r="D25" s="1"/>
      <c r="E25" s="1"/>
      <c r="F25" s="1"/>
      <c r="G25" s="1"/>
      <c r="H25" s="1" t="str">
        <f>IF(OR(F25="",G25=""),"",G25-F25)</f>
        <v/>
      </c>
      <c r="I25" s="1"/>
      <c r="J25" s="1" t="str">
        <f>IF(OR(H25="",I25=""),"",H25*I25)</f>
        <v/>
      </c>
      <c r="K25" s="1" t="str">
        <f>IF(H25="","",IF(H25=0,"مطابق",IF(H25&gt;0,"زيادة","عجز")))</f>
        <v/>
      </c>
      <c r="L25" s="1"/>
    </row>
    <row r="26" spans="1:12" x14ac:dyDescent="0.15">
      <c r="A26" s="1"/>
      <c r="B26" s="4"/>
      <c r="C26" s="1"/>
      <c r="D26" s="1"/>
      <c r="E26" s="1"/>
      <c r="F26" s="1"/>
      <c r="G26" s="1"/>
      <c r="H26" s="1" t="str">
        <f>IF(OR(F26="",G26=""),"",G26-F26)</f>
        <v/>
      </c>
      <c r="I26" s="1"/>
      <c r="J26" s="1" t="str">
        <f>IF(OR(H26="",I26=""),"",H26*I26)</f>
        <v/>
      </c>
      <c r="K26" s="1" t="str">
        <f>IF(H26="","",IF(H26=0,"مطابق",IF(H26&gt;0,"زيادة","عجز")))</f>
        <v/>
      </c>
      <c r="L26" s="1"/>
    </row>
    <row r="27" spans="1:12" x14ac:dyDescent="0.15">
      <c r="A27" s="1"/>
      <c r="B27" s="4"/>
      <c r="C27" s="1"/>
      <c r="D27" s="1"/>
      <c r="E27" s="1"/>
      <c r="F27" s="1"/>
      <c r="G27" s="1"/>
      <c r="H27" s="1" t="str">
        <f>IF(OR(F27="",G27=""),"",G27-F27)</f>
        <v/>
      </c>
      <c r="I27" s="1"/>
      <c r="J27" s="1" t="str">
        <f>IF(OR(H27="",I27=""),"",H27*I27)</f>
        <v/>
      </c>
      <c r="K27" s="1" t="str">
        <f>IF(H27="","",IF(H27=0,"مطابق",IF(H27&gt;0,"زيادة","عجز")))</f>
        <v/>
      </c>
      <c r="L27" s="1"/>
    </row>
    <row r="28" spans="1:12" x14ac:dyDescent="0.15">
      <c r="A28" s="1"/>
      <c r="B28" s="4"/>
      <c r="C28" s="1"/>
      <c r="D28" s="1"/>
      <c r="E28" s="1"/>
      <c r="F28" s="1"/>
      <c r="G28" s="1"/>
      <c r="H28" s="1" t="str">
        <f>IF(OR(F28="",G28=""),"",G28-F28)</f>
        <v/>
      </c>
      <c r="I28" s="1"/>
      <c r="J28" s="1" t="str">
        <f>IF(OR(H28="",I28=""),"",H28*I28)</f>
        <v/>
      </c>
      <c r="K28" s="1" t="str">
        <f>IF(H28="","",IF(H28=0,"مطابق",IF(H28&gt;0,"زيادة","عجز")))</f>
        <v/>
      </c>
      <c r="L28" s="1"/>
    </row>
    <row r="29" spans="1:12" x14ac:dyDescent="0.15">
      <c r="A29" s="1"/>
      <c r="B29" s="4"/>
      <c r="C29" s="1"/>
      <c r="D29" s="1"/>
      <c r="E29" s="1"/>
      <c r="F29" s="1"/>
      <c r="G29" s="1"/>
      <c r="H29" s="1" t="str">
        <f>IF(OR(F29="",G29=""),"",G29-F29)</f>
        <v/>
      </c>
      <c r="I29" s="1"/>
      <c r="J29" s="1" t="str">
        <f>IF(OR(H29="",I29=""),"",H29*I29)</f>
        <v/>
      </c>
      <c r="K29" s="1" t="str">
        <f>IF(H29="","",IF(H29=0,"مطابق",IF(H29&gt;0,"زيادة","عجز")))</f>
        <v/>
      </c>
      <c r="L29" s="1"/>
    </row>
    <row r="30" spans="1:12" x14ac:dyDescent="0.15">
      <c r="A30" s="1"/>
      <c r="B30" s="4"/>
      <c r="C30" s="1"/>
      <c r="D30" s="1"/>
      <c r="E30" s="1"/>
      <c r="F30" s="1"/>
      <c r="G30" s="1"/>
      <c r="H30" s="1" t="str">
        <f>IF(OR(F30="",G30=""),"",G30-F30)</f>
        <v/>
      </c>
      <c r="I30" s="1"/>
      <c r="J30" s="1" t="str">
        <f>IF(OR(H30="",I30=""),"",H30*I30)</f>
        <v/>
      </c>
      <c r="K30" s="1" t="str">
        <f>IF(H30="","",IF(H30=0,"مطابق",IF(H30&gt;0,"زيادة","عجز")))</f>
        <v/>
      </c>
      <c r="L30" s="1"/>
    </row>
    <row r="31" spans="1:12" x14ac:dyDescent="0.15">
      <c r="A31" s="1"/>
      <c r="B31" s="4"/>
      <c r="C31" s="1"/>
      <c r="D31" s="1"/>
      <c r="E31" s="1"/>
      <c r="F31" s="1"/>
      <c r="G31" s="1"/>
      <c r="H31" s="1" t="str">
        <f>IF(OR(F31="",G31=""),"",G31-F31)</f>
        <v/>
      </c>
      <c r="I31" s="1"/>
      <c r="J31" s="1" t="str">
        <f>IF(OR(H31="",I31=""),"",H31*I31)</f>
        <v/>
      </c>
      <c r="K31" s="1" t="str">
        <f>IF(H31="","",IF(H31=0,"مطابق",IF(H31&gt;0,"زيادة","عجز")))</f>
        <v/>
      </c>
      <c r="L31" s="1"/>
    </row>
    <row r="32" spans="1:12" x14ac:dyDescent="0.15">
      <c r="A32" s="1"/>
      <c r="B32" s="4"/>
      <c r="C32" s="1"/>
      <c r="D32" s="1"/>
      <c r="E32" s="1"/>
      <c r="F32" s="1"/>
      <c r="G32" s="1"/>
      <c r="H32" s="1" t="str">
        <f>IF(OR(F32="",G32=""),"",G32-F32)</f>
        <v/>
      </c>
      <c r="I32" s="1"/>
      <c r="J32" s="1" t="str">
        <f>IF(OR(H32="",I32=""),"",H32*I32)</f>
        <v/>
      </c>
      <c r="K32" s="1" t="str">
        <f>IF(H32="","",IF(H32=0,"مطابق",IF(H32&gt;0,"زيادة","عجز")))</f>
        <v/>
      </c>
      <c r="L32" s="1"/>
    </row>
    <row r="33" spans="1:12" x14ac:dyDescent="0.15">
      <c r="A33" s="1"/>
      <c r="B33" s="4"/>
      <c r="C33" s="1"/>
      <c r="D33" s="1"/>
      <c r="E33" s="1"/>
      <c r="F33" s="1"/>
      <c r="G33" s="1"/>
      <c r="H33" s="1" t="str">
        <f>IF(OR(F33="",G33=""),"",G33-F33)</f>
        <v/>
      </c>
      <c r="I33" s="1"/>
      <c r="J33" s="1" t="str">
        <f>IF(OR(H33="",I33=""),"",H33*I33)</f>
        <v/>
      </c>
      <c r="K33" s="1" t="str">
        <f>IF(H33="","",IF(H33=0,"مطابق",IF(H33&gt;0,"زيادة","عجز")))</f>
        <v/>
      </c>
      <c r="L33" s="1"/>
    </row>
    <row r="34" spans="1:12" x14ac:dyDescent="0.15">
      <c r="A34" s="1"/>
      <c r="B34" s="4"/>
      <c r="C34" s="1"/>
      <c r="D34" s="1"/>
      <c r="E34" s="1"/>
      <c r="F34" s="1"/>
      <c r="G34" s="1"/>
      <c r="H34" s="1" t="str">
        <f>IF(OR(F34="",G34=""),"",G34-F34)</f>
        <v/>
      </c>
      <c r="I34" s="1"/>
      <c r="J34" s="1" t="str">
        <f>IF(OR(H34="",I34=""),"",H34*I34)</f>
        <v/>
      </c>
      <c r="K34" s="1" t="str">
        <f>IF(H34="","",IF(H34=0,"مطابق",IF(H34&gt;0,"زيادة","عجز")))</f>
        <v/>
      </c>
      <c r="L34" s="1"/>
    </row>
    <row r="35" spans="1:12" x14ac:dyDescent="0.15">
      <c r="A35" s="1"/>
      <c r="B35" s="4"/>
      <c r="C35" s="1"/>
      <c r="D35" s="1"/>
      <c r="E35" s="1"/>
      <c r="F35" s="1"/>
      <c r="G35" s="1"/>
      <c r="H35" s="1" t="str">
        <f>IF(OR(F35="",G35=""),"",G35-F35)</f>
        <v/>
      </c>
      <c r="I35" s="1"/>
      <c r="J35" s="1" t="str">
        <f>IF(OR(H35="",I35=""),"",H35*I35)</f>
        <v/>
      </c>
      <c r="K35" s="1" t="str">
        <f>IF(H35="","",IF(H35=0,"مطابق",IF(H35&gt;0,"زيادة","عجز")))</f>
        <v/>
      </c>
      <c r="L35" s="1"/>
    </row>
    <row r="36" spans="1:12" x14ac:dyDescent="0.15">
      <c r="A36" s="1"/>
      <c r="B36" s="4"/>
      <c r="C36" s="1"/>
      <c r="D36" s="1"/>
      <c r="E36" s="1"/>
      <c r="F36" s="1"/>
      <c r="G36" s="1"/>
      <c r="H36" s="1" t="str">
        <f>IF(OR(F36="",G36=""),"",G36-F36)</f>
        <v/>
      </c>
      <c r="I36" s="1"/>
      <c r="J36" s="1" t="str">
        <f>IF(OR(H36="",I36=""),"",H36*I36)</f>
        <v/>
      </c>
      <c r="K36" s="1" t="str">
        <f>IF(H36="","",IF(H36=0,"مطابق",IF(H36&gt;0,"زيادة","عجز")))</f>
        <v/>
      </c>
      <c r="L36" s="1"/>
    </row>
    <row r="37" spans="1:12" x14ac:dyDescent="0.15">
      <c r="A37" s="1"/>
      <c r="B37" s="4"/>
      <c r="C37" s="1"/>
      <c r="D37" s="1"/>
      <c r="E37" s="1"/>
      <c r="F37" s="1"/>
      <c r="G37" s="1"/>
      <c r="H37" s="1" t="str">
        <f>IF(OR(F37="",G37=""),"",G37-F37)</f>
        <v/>
      </c>
      <c r="I37" s="1"/>
      <c r="J37" s="1" t="str">
        <f>IF(OR(H37="",I37=""),"",H37*I37)</f>
        <v/>
      </c>
      <c r="K37" s="1" t="str">
        <f>IF(H37="","",IF(H37=0,"مطابق",IF(H37&gt;0,"زيادة","عجز")))</f>
        <v/>
      </c>
      <c r="L37" s="1"/>
    </row>
    <row r="38" spans="1:12" x14ac:dyDescent="0.15">
      <c r="A38" s="1"/>
      <c r="B38" s="4"/>
      <c r="C38" s="1"/>
      <c r="D38" s="1"/>
      <c r="E38" s="1"/>
      <c r="F38" s="1"/>
      <c r="G38" s="1"/>
      <c r="H38" s="1" t="str">
        <f>IF(OR(F38="",G38=""),"",G38-F38)</f>
        <v/>
      </c>
      <c r="I38" s="1"/>
      <c r="J38" s="1" t="str">
        <f>IF(OR(H38="",I38=""),"",H38*I38)</f>
        <v/>
      </c>
      <c r="K38" s="1" t="str">
        <f>IF(H38="","",IF(H38=0,"مطابق",IF(H38&gt;0,"زيادة","عجز")))</f>
        <v/>
      </c>
      <c r="L38" s="1"/>
    </row>
    <row r="39" spans="1:12" x14ac:dyDescent="0.15">
      <c r="A39" s="1"/>
      <c r="B39" s="4"/>
      <c r="C39" s="1"/>
      <c r="D39" s="1"/>
      <c r="E39" s="1"/>
      <c r="F39" s="1"/>
      <c r="G39" s="1"/>
      <c r="H39" s="1" t="str">
        <f>IF(OR(F39="",G39=""),"",G39-F39)</f>
        <v/>
      </c>
      <c r="I39" s="1"/>
      <c r="J39" s="1" t="str">
        <f>IF(OR(H39="",I39=""),"",H39*I39)</f>
        <v/>
      </c>
      <c r="K39" s="1" t="str">
        <f>IF(H39="","",IF(H39=0,"مطابق",IF(H39&gt;0,"زيادة","عجز")))</f>
        <v/>
      </c>
      <c r="L39" s="1"/>
    </row>
    <row r="40" spans="1:12" x14ac:dyDescent="0.15">
      <c r="A40" s="1"/>
      <c r="B40" s="4"/>
      <c r="C40" s="1"/>
      <c r="D40" s="1"/>
      <c r="E40" s="1"/>
      <c r="F40" s="1"/>
      <c r="G40" s="1"/>
      <c r="H40" s="1" t="str">
        <f>IF(OR(F40="",G40=""),"",G40-F40)</f>
        <v/>
      </c>
      <c r="I40" s="1"/>
      <c r="J40" s="1" t="str">
        <f>IF(OR(H40="",I40=""),"",H40*I40)</f>
        <v/>
      </c>
      <c r="K40" s="1" t="str">
        <f>IF(H40="","",IF(H40=0,"مطابق",IF(H40&gt;0,"زيادة","عجز")))</f>
        <v/>
      </c>
      <c r="L40" s="1"/>
    </row>
    <row r="41" spans="1:12" x14ac:dyDescent="0.15">
      <c r="A41" s="1"/>
      <c r="B41" s="4"/>
      <c r="C41" s="1"/>
      <c r="D41" s="1"/>
      <c r="E41" s="1"/>
      <c r="F41" s="1"/>
      <c r="G41" s="1"/>
      <c r="H41" s="1" t="str">
        <f>IF(OR(F41="",G41=""),"",G41-F41)</f>
        <v/>
      </c>
      <c r="I41" s="1"/>
      <c r="J41" s="1" t="str">
        <f>IF(OR(H41="",I41=""),"",H41*I41)</f>
        <v/>
      </c>
      <c r="K41" s="1" t="str">
        <f>IF(H41="","",IF(H41=0,"مطابق",IF(H41&gt;0,"زيادة","عجز")))</f>
        <v/>
      </c>
      <c r="L41" s="1"/>
    </row>
    <row r="42" spans="1:12" x14ac:dyDescent="0.15">
      <c r="A42" s="1"/>
      <c r="B42" s="4"/>
      <c r="C42" s="1"/>
      <c r="D42" s="1"/>
      <c r="E42" s="1"/>
      <c r="F42" s="1"/>
      <c r="G42" s="1"/>
      <c r="H42" s="1" t="str">
        <f>IF(OR(F42="",G42=""),"",G42-F42)</f>
        <v/>
      </c>
      <c r="I42" s="1"/>
      <c r="J42" s="1" t="str">
        <f>IF(OR(H42="",I42=""),"",H42*I42)</f>
        <v/>
      </c>
      <c r="K42" s="1" t="str">
        <f>IF(H42="","",IF(H42=0,"مطابق",IF(H42&gt;0,"زيادة","عجز")))</f>
        <v/>
      </c>
      <c r="L42" s="1"/>
    </row>
    <row r="43" spans="1:12" x14ac:dyDescent="0.15">
      <c r="A43" s="1"/>
      <c r="B43" s="4"/>
      <c r="C43" s="1"/>
      <c r="D43" s="1"/>
      <c r="E43" s="1"/>
      <c r="F43" s="1"/>
      <c r="G43" s="1"/>
      <c r="H43" s="1" t="str">
        <f>IF(OR(F43="",G43=""),"",G43-F43)</f>
        <v/>
      </c>
      <c r="I43" s="1"/>
      <c r="J43" s="1" t="str">
        <f>IF(OR(H43="",I43=""),"",H43*I43)</f>
        <v/>
      </c>
      <c r="K43" s="1" t="str">
        <f>IF(H43="","",IF(H43=0,"مطابق",IF(H43&gt;0,"زيادة","عجز")))</f>
        <v/>
      </c>
      <c r="L43" s="1"/>
    </row>
    <row r="44" spans="1:12" x14ac:dyDescent="0.15">
      <c r="A44" s="1"/>
      <c r="B44" s="4"/>
      <c r="C44" s="1"/>
      <c r="D44" s="1"/>
      <c r="E44" s="1"/>
      <c r="F44" s="1"/>
      <c r="G44" s="1"/>
      <c r="H44" s="1" t="str">
        <f>IF(OR(F44="",G44=""),"",G44-F44)</f>
        <v/>
      </c>
      <c r="I44" s="1"/>
      <c r="J44" s="1" t="str">
        <f>IF(OR(H44="",I44=""),"",H44*I44)</f>
        <v/>
      </c>
      <c r="K44" s="1" t="str">
        <f>IF(H44="","",IF(H44=0,"مطابق",IF(H44&gt;0,"زيادة","عجز")))</f>
        <v/>
      </c>
      <c r="L44" s="1"/>
    </row>
    <row r="45" spans="1:12" x14ac:dyDescent="0.15">
      <c r="A45" s="1"/>
      <c r="B45" s="4"/>
      <c r="C45" s="1"/>
      <c r="D45" s="1"/>
      <c r="E45" s="1"/>
      <c r="F45" s="1"/>
      <c r="G45" s="1"/>
      <c r="H45" s="1" t="str">
        <f>IF(OR(F45="",G45=""),"",G45-F45)</f>
        <v/>
      </c>
      <c r="I45" s="1"/>
      <c r="J45" s="1" t="str">
        <f>IF(OR(H45="",I45=""),"",H45*I45)</f>
        <v/>
      </c>
      <c r="K45" s="1" t="str">
        <f>IF(H45="","",IF(H45=0,"مطابق",IF(H45&gt;0,"زيادة","عجز")))</f>
        <v/>
      </c>
      <c r="L45" s="1"/>
    </row>
    <row r="46" spans="1:12" x14ac:dyDescent="0.15">
      <c r="A46" s="1"/>
      <c r="B46" s="4"/>
      <c r="C46" s="1"/>
      <c r="D46" s="1"/>
      <c r="E46" s="1"/>
      <c r="F46" s="1"/>
      <c r="G46" s="1"/>
      <c r="H46" s="1" t="str">
        <f>IF(OR(F46="",G46=""),"",G46-F46)</f>
        <v/>
      </c>
      <c r="I46" s="1"/>
      <c r="J46" s="1" t="str">
        <f>IF(OR(H46="",I46=""),"",H46*I46)</f>
        <v/>
      </c>
      <c r="K46" s="1" t="str">
        <f>IF(H46="","",IF(H46=0,"مطابق",IF(H46&gt;0,"زيادة","عجز")))</f>
        <v/>
      </c>
      <c r="L46" s="1"/>
    </row>
    <row r="47" spans="1:12" x14ac:dyDescent="0.15">
      <c r="A47" s="1"/>
      <c r="B47" s="4"/>
      <c r="C47" s="1"/>
      <c r="D47" s="1"/>
      <c r="E47" s="1"/>
      <c r="F47" s="1"/>
      <c r="G47" s="1"/>
      <c r="H47" s="1" t="str">
        <f>IF(OR(F47="",G47=""),"",G47-F47)</f>
        <v/>
      </c>
      <c r="I47" s="1"/>
      <c r="J47" s="1" t="str">
        <f>IF(OR(H47="",I47=""),"",H47*I47)</f>
        <v/>
      </c>
      <c r="K47" s="1" t="str">
        <f>IF(H47="","",IF(H47=0,"مطابق",IF(H47&gt;0,"زيادة","عجز")))</f>
        <v/>
      </c>
      <c r="L47" s="1"/>
    </row>
    <row r="48" spans="1:12" x14ac:dyDescent="0.15">
      <c r="A48" s="1"/>
      <c r="B48" s="4"/>
      <c r="C48" s="1"/>
      <c r="D48" s="1"/>
      <c r="E48" s="1"/>
      <c r="F48" s="1"/>
      <c r="G48" s="1"/>
      <c r="H48" s="1" t="str">
        <f>IF(OR(F48="",G48=""),"",G48-F48)</f>
        <v/>
      </c>
      <c r="I48" s="1"/>
      <c r="J48" s="1" t="str">
        <f>IF(OR(H48="",I48=""),"",H48*I48)</f>
        <v/>
      </c>
      <c r="K48" s="1" t="str">
        <f>IF(H48="","",IF(H48=0,"مطابق",IF(H48&gt;0,"زيادة","عجز")))</f>
        <v/>
      </c>
      <c r="L48" s="1"/>
    </row>
    <row r="49" spans="1:12" x14ac:dyDescent="0.15">
      <c r="A49" s="1"/>
      <c r="B49" s="4"/>
      <c r="C49" s="1"/>
      <c r="D49" s="1"/>
      <c r="E49" s="1"/>
      <c r="F49" s="1"/>
      <c r="G49" s="1"/>
      <c r="H49" s="1" t="str">
        <f>IF(OR(F49="",G49=""),"",G49-F49)</f>
        <v/>
      </c>
      <c r="I49" s="1"/>
      <c r="J49" s="1" t="str">
        <f>IF(OR(H49="",I49=""),"",H49*I49)</f>
        <v/>
      </c>
      <c r="K49" s="1" t="str">
        <f>IF(H49="","",IF(H49=0,"مطابق",IF(H49&gt;0,"زيادة","عجز")))</f>
        <v/>
      </c>
      <c r="L49" s="1"/>
    </row>
    <row r="50" spans="1:12" x14ac:dyDescent="0.15">
      <c r="A50" s="1"/>
      <c r="B50" s="4"/>
      <c r="C50" s="1"/>
      <c r="D50" s="1"/>
      <c r="E50" s="1"/>
      <c r="F50" s="1"/>
      <c r="G50" s="1"/>
      <c r="H50" s="1" t="str">
        <f>IF(OR(F50="",G50=""),"",G50-F50)</f>
        <v/>
      </c>
      <c r="I50" s="1"/>
      <c r="J50" s="1" t="str">
        <f>IF(OR(H50="",I50=""),"",H50*I50)</f>
        <v/>
      </c>
      <c r="K50" s="1" t="str">
        <f>IF(H50="","",IF(H50=0,"مطابق",IF(H50&gt;0,"زيادة","عجز")))</f>
        <v/>
      </c>
      <c r="L50" s="1"/>
    </row>
    <row r="51" spans="1:12" x14ac:dyDescent="0.15">
      <c r="A51" s="1"/>
      <c r="B51" s="4"/>
      <c r="C51" s="1"/>
      <c r="D51" s="1"/>
      <c r="E51" s="1"/>
      <c r="F51" s="1"/>
      <c r="G51" s="1"/>
      <c r="H51" s="1" t="str">
        <f>IF(OR(F51="",G51=""),"",G51-F51)</f>
        <v/>
      </c>
      <c r="I51" s="1"/>
      <c r="J51" s="1" t="str">
        <f>IF(OR(H51="",I51=""),"",H51*I51)</f>
        <v/>
      </c>
      <c r="K51" s="1" t="str">
        <f>IF(H51="","",IF(H51=0,"مطابق",IF(H51&gt;0,"زيادة","عجز")))</f>
        <v/>
      </c>
      <c r="L51" s="1"/>
    </row>
    <row r="52" spans="1:12" x14ac:dyDescent="0.15">
      <c r="A52" s="1"/>
      <c r="B52" s="4"/>
      <c r="C52" s="1"/>
      <c r="D52" s="1"/>
      <c r="E52" s="1"/>
      <c r="F52" s="1"/>
      <c r="G52" s="1"/>
      <c r="H52" s="1" t="str">
        <f>IF(OR(F52="",G52=""),"",G52-F52)</f>
        <v/>
      </c>
      <c r="I52" s="1"/>
      <c r="J52" s="1" t="str">
        <f>IF(OR(H52="",I52=""),"",H52*I52)</f>
        <v/>
      </c>
      <c r="K52" s="1" t="str">
        <f>IF(H52="","",IF(H52=0,"مطابق",IF(H52&gt;0,"زيادة","عجز")))</f>
        <v/>
      </c>
      <c r="L52" s="1"/>
    </row>
    <row r="53" spans="1:12" x14ac:dyDescent="0.15">
      <c r="A53" s="1"/>
      <c r="B53" s="4"/>
      <c r="C53" s="1"/>
      <c r="D53" s="1"/>
      <c r="E53" s="1"/>
      <c r="F53" s="1"/>
      <c r="G53" s="1"/>
      <c r="H53" s="1" t="str">
        <f>IF(OR(F53="",G53=""),"",G53-F53)</f>
        <v/>
      </c>
      <c r="I53" s="1"/>
      <c r="J53" s="1" t="str">
        <f>IF(OR(H53="",I53=""),"",H53*I53)</f>
        <v/>
      </c>
      <c r="K53" s="1" t="str">
        <f>IF(H53="","",IF(H53=0,"مطابق",IF(H53&gt;0,"زيادة","عجز")))</f>
        <v/>
      </c>
      <c r="L53" s="1"/>
    </row>
    <row r="54" spans="1:12" x14ac:dyDescent="0.15">
      <c r="A54" s="1"/>
      <c r="B54" s="4"/>
      <c r="C54" s="1"/>
      <c r="D54" s="1"/>
      <c r="E54" s="1"/>
      <c r="F54" s="1"/>
      <c r="G54" s="1"/>
      <c r="H54" s="1" t="str">
        <f>IF(OR(F54="",G54=""),"",G54-F54)</f>
        <v/>
      </c>
      <c r="I54" s="1"/>
      <c r="J54" s="1" t="str">
        <f>IF(OR(H54="",I54=""),"",H54*I54)</f>
        <v/>
      </c>
      <c r="K54" s="1" t="str">
        <f>IF(H54="","",IF(H54=0,"مطابق",IF(H54&gt;0,"زيادة","عجز")))</f>
        <v/>
      </c>
      <c r="L54" s="1"/>
    </row>
    <row r="55" spans="1:12" x14ac:dyDescent="0.15">
      <c r="A55" s="1"/>
      <c r="B55" s="4"/>
      <c r="C55" s="1"/>
      <c r="D55" s="1"/>
      <c r="E55" s="1"/>
      <c r="F55" s="1"/>
      <c r="G55" s="1"/>
      <c r="H55" s="1" t="str">
        <f>IF(OR(F55="",G55=""),"",G55-F55)</f>
        <v/>
      </c>
      <c r="I55" s="1"/>
      <c r="J55" s="1" t="str">
        <f>IF(OR(H55="",I55=""),"",H55*I55)</f>
        <v/>
      </c>
      <c r="K55" s="1" t="str">
        <f>IF(H55="","",IF(H55=0,"مطابق",IF(H55&gt;0,"زيادة","عجز")))</f>
        <v/>
      </c>
      <c r="L55" s="1"/>
    </row>
    <row r="56" spans="1:12" x14ac:dyDescent="0.15">
      <c r="A56" s="1"/>
      <c r="B56" s="4"/>
      <c r="C56" s="1"/>
      <c r="D56" s="1"/>
      <c r="E56" s="1"/>
      <c r="F56" s="1"/>
      <c r="G56" s="1"/>
      <c r="H56" s="1" t="str">
        <f>IF(OR(F56="",G56=""),"",G56-F56)</f>
        <v/>
      </c>
      <c r="I56" s="1"/>
      <c r="J56" s="1" t="str">
        <f>IF(OR(H56="",I56=""),"",H56*I56)</f>
        <v/>
      </c>
      <c r="K56" s="1" t="str">
        <f>IF(H56="","",IF(H56=0,"مطابق",IF(H56&gt;0,"زيادة","عجز")))</f>
        <v/>
      </c>
      <c r="L56" s="1"/>
    </row>
    <row r="57" spans="1:12" x14ac:dyDescent="0.15">
      <c r="A57" s="1"/>
      <c r="B57" s="4"/>
      <c r="C57" s="1"/>
      <c r="D57" s="1"/>
      <c r="E57" s="1"/>
      <c r="F57" s="1"/>
      <c r="G57" s="1"/>
      <c r="H57" s="1" t="str">
        <f>IF(OR(F57="",G57=""),"",G57-F57)</f>
        <v/>
      </c>
      <c r="I57" s="1"/>
      <c r="J57" s="1" t="str">
        <f>IF(OR(H57="",I57=""),"",H57*I57)</f>
        <v/>
      </c>
      <c r="K57" s="1" t="str">
        <f>IF(H57="","",IF(H57=0,"مطابق",IF(H57&gt;0,"زيادة","عجز")))</f>
        <v/>
      </c>
      <c r="L57" s="1"/>
    </row>
    <row r="58" spans="1:12" x14ac:dyDescent="0.15">
      <c r="A58" s="1"/>
      <c r="B58" s="4"/>
      <c r="C58" s="1"/>
      <c r="D58" s="1"/>
      <c r="E58" s="1"/>
      <c r="F58" s="1"/>
      <c r="G58" s="1"/>
      <c r="H58" s="1" t="str">
        <f>IF(OR(F58="",G58=""),"",G58-F58)</f>
        <v/>
      </c>
      <c r="I58" s="1"/>
      <c r="J58" s="1" t="str">
        <f>IF(OR(H58="",I58=""),"",H58*I58)</f>
        <v/>
      </c>
      <c r="K58" s="1" t="str">
        <f>IF(H58="","",IF(H58=0,"مطابق",IF(H58&gt;0,"زيادة","عجز")))</f>
        <v/>
      </c>
      <c r="L58" s="1"/>
    </row>
    <row r="59" spans="1:12" x14ac:dyDescent="0.15">
      <c r="A59" s="1"/>
      <c r="B59" s="4"/>
      <c r="C59" s="1"/>
      <c r="D59" s="1"/>
      <c r="E59" s="1"/>
      <c r="F59" s="1"/>
      <c r="G59" s="1"/>
      <c r="H59" s="1" t="str">
        <f>IF(OR(F59="",G59=""),"",G59-F59)</f>
        <v/>
      </c>
      <c r="I59" s="1"/>
      <c r="J59" s="1" t="str">
        <f>IF(OR(H59="",I59=""),"",H59*I59)</f>
        <v/>
      </c>
      <c r="K59" s="1" t="str">
        <f>IF(H59="","",IF(H59=0,"مطابق",IF(H59&gt;0,"زيادة","عجز")))</f>
        <v/>
      </c>
      <c r="L59" s="1"/>
    </row>
    <row r="60" spans="1:12" x14ac:dyDescent="0.15">
      <c r="A60" s="1"/>
      <c r="B60" s="4"/>
      <c r="C60" s="1"/>
      <c r="D60" s="1"/>
      <c r="E60" s="1"/>
      <c r="F60" s="1"/>
      <c r="G60" s="1"/>
      <c r="H60" s="1" t="str">
        <f>IF(OR(F60="",G60=""),"",G60-F60)</f>
        <v/>
      </c>
      <c r="I60" s="1"/>
      <c r="J60" s="1" t="str">
        <f>IF(OR(H60="",I60=""),"",H60*I60)</f>
        <v/>
      </c>
      <c r="K60" s="1" t="str">
        <f>IF(H60="","",IF(H60=0,"مطابق",IF(H60&gt;0,"زيادة","عجز")))</f>
        <v/>
      </c>
      <c r="L60" s="1"/>
    </row>
    <row r="61" spans="1:12" x14ac:dyDescent="0.15">
      <c r="A61" s="1"/>
      <c r="B61" s="4"/>
      <c r="C61" s="1"/>
      <c r="D61" s="1"/>
      <c r="E61" s="1"/>
      <c r="F61" s="1"/>
      <c r="G61" s="1"/>
      <c r="H61" s="1" t="str">
        <f>IF(OR(F61="",G61=""),"",G61-F61)</f>
        <v/>
      </c>
      <c r="I61" s="1"/>
      <c r="J61" s="1" t="str">
        <f>IF(OR(H61="",I61=""),"",H61*I61)</f>
        <v/>
      </c>
      <c r="K61" s="1" t="str">
        <f>IF(H61="","",IF(H61=0,"مطابق",IF(H61&gt;0,"زيادة","عجز")))</f>
        <v/>
      </c>
      <c r="L61" s="1"/>
    </row>
    <row r="62" spans="1:12" x14ac:dyDescent="0.15">
      <c r="A62" s="1"/>
      <c r="B62" s="4"/>
      <c r="C62" s="1"/>
      <c r="D62" s="1"/>
      <c r="E62" s="1"/>
      <c r="F62" s="1"/>
      <c r="G62" s="1"/>
      <c r="H62" s="1" t="str">
        <f>IF(OR(F62="",G62=""),"",G62-F62)</f>
        <v/>
      </c>
      <c r="I62" s="1"/>
      <c r="J62" s="1" t="str">
        <f>IF(OR(H62="",I62=""),"",H62*I62)</f>
        <v/>
      </c>
      <c r="K62" s="1" t="str">
        <f>IF(H62="","",IF(H62=0,"مطابق",IF(H62&gt;0,"زيادة","عجز")))</f>
        <v/>
      </c>
      <c r="L62" s="1"/>
    </row>
    <row r="63" spans="1:12" x14ac:dyDescent="0.15">
      <c r="A63" s="1"/>
      <c r="B63" s="4"/>
      <c r="C63" s="1"/>
      <c r="D63" s="1"/>
      <c r="E63" s="1"/>
      <c r="F63" s="1"/>
      <c r="G63" s="1"/>
      <c r="H63" s="1" t="str">
        <f>IF(OR(F63="",G63=""),"",G63-F63)</f>
        <v/>
      </c>
      <c r="I63" s="1"/>
      <c r="J63" s="1" t="str">
        <f>IF(OR(H63="",I63=""),"",H63*I63)</f>
        <v/>
      </c>
      <c r="K63" s="1" t="str">
        <f>IF(H63="","",IF(H63=0,"مطابق",IF(H63&gt;0,"زيادة","عجز")))</f>
        <v/>
      </c>
      <c r="L63" s="1"/>
    </row>
    <row r="64" spans="1:12" x14ac:dyDescent="0.15">
      <c r="A64" s="1"/>
      <c r="B64" s="4"/>
      <c r="C64" s="1"/>
      <c r="D64" s="1"/>
      <c r="E64" s="1"/>
      <c r="F64" s="1"/>
      <c r="G64" s="1"/>
      <c r="H64" s="1" t="str">
        <f>IF(OR(F64="",G64=""),"",G64-F64)</f>
        <v/>
      </c>
      <c r="I64" s="1"/>
      <c r="J64" s="1" t="str">
        <f>IF(OR(H64="",I64=""),"",H64*I64)</f>
        <v/>
      </c>
      <c r="K64" s="1" t="str">
        <f>IF(H64="","",IF(H64=0,"مطابق",IF(H64&gt;0,"زيادة","عجز")))</f>
        <v/>
      </c>
      <c r="L64" s="1"/>
    </row>
    <row r="65" spans="1:12" x14ac:dyDescent="0.15">
      <c r="A65" s="1"/>
      <c r="B65" s="4"/>
      <c r="C65" s="1"/>
      <c r="D65" s="1"/>
      <c r="E65" s="1"/>
      <c r="F65" s="1"/>
      <c r="G65" s="1"/>
      <c r="H65" s="1" t="str">
        <f>IF(OR(F65="",G65=""),"",G65-F65)</f>
        <v/>
      </c>
      <c r="I65" s="1"/>
      <c r="J65" s="1" t="str">
        <f>IF(OR(H65="",I65=""),"",H65*I65)</f>
        <v/>
      </c>
      <c r="K65" s="1" t="str">
        <f>IF(H65="","",IF(H65=0,"مطابق",IF(H65&gt;0,"زيادة","عجز")))</f>
        <v/>
      </c>
      <c r="L65" s="1"/>
    </row>
    <row r="66" spans="1:12" x14ac:dyDescent="0.15">
      <c r="A66" s="1"/>
      <c r="B66" s="4"/>
      <c r="C66" s="1"/>
      <c r="D66" s="1"/>
      <c r="E66" s="1"/>
      <c r="F66" s="1"/>
      <c r="G66" s="1"/>
      <c r="H66" s="1" t="str">
        <f>IF(OR(F66="",G66=""),"",G66-F66)</f>
        <v/>
      </c>
      <c r="I66" s="1"/>
      <c r="J66" s="1" t="str">
        <f>IF(OR(H66="",I66=""),"",H66*I66)</f>
        <v/>
      </c>
      <c r="K66" s="1" t="str">
        <f>IF(H66="","",IF(H66=0,"مطابق",IF(H66&gt;0,"زيادة","عجز")))</f>
        <v/>
      </c>
      <c r="L66" s="1"/>
    </row>
    <row r="67" spans="1:12" x14ac:dyDescent="0.15">
      <c r="A67" s="1"/>
      <c r="B67" s="4"/>
      <c r="C67" s="1"/>
      <c r="D67" s="1"/>
      <c r="E67" s="1"/>
      <c r="F67" s="1"/>
      <c r="G67" s="1"/>
      <c r="H67" s="1" t="str">
        <f>IF(OR(F67="",G67=""),"",G67-F67)</f>
        <v/>
      </c>
      <c r="I67" s="1"/>
      <c r="J67" s="1" t="str">
        <f>IF(OR(H67="",I67=""),"",H67*I67)</f>
        <v/>
      </c>
      <c r="K67" s="1" t="str">
        <f>IF(H67="","",IF(H67=0,"مطابق",IF(H67&gt;0,"زيادة","عجز")))</f>
        <v/>
      </c>
      <c r="L67" s="1"/>
    </row>
    <row r="68" spans="1:12" x14ac:dyDescent="0.15">
      <c r="A68" s="1"/>
      <c r="B68" s="4"/>
      <c r="C68" s="1"/>
      <c r="D68" s="1"/>
      <c r="E68" s="1"/>
      <c r="F68" s="1"/>
      <c r="G68" s="1"/>
      <c r="H68" s="1" t="str">
        <f>IF(OR(F68="",G68=""),"",G68-F68)</f>
        <v/>
      </c>
      <c r="I68" s="1"/>
      <c r="J68" s="1" t="str">
        <f>IF(OR(H68="",I68=""),"",H68*I68)</f>
        <v/>
      </c>
      <c r="K68" s="1" t="str">
        <f>IF(H68="","",IF(H68=0,"مطابق",IF(H68&gt;0,"زيادة","عجز")))</f>
        <v/>
      </c>
      <c r="L68" s="1"/>
    </row>
    <row r="69" spans="1:12" x14ac:dyDescent="0.15">
      <c r="A69" s="1"/>
      <c r="B69" s="4"/>
      <c r="C69" s="1"/>
      <c r="D69" s="1"/>
      <c r="E69" s="1"/>
      <c r="F69" s="1"/>
      <c r="G69" s="1"/>
      <c r="H69" s="1" t="str">
        <f>IF(OR(F69="",G69=""),"",G69-F69)</f>
        <v/>
      </c>
      <c r="I69" s="1"/>
      <c r="J69" s="1" t="str">
        <f>IF(OR(H69="",I69=""),"",H69*I69)</f>
        <v/>
      </c>
      <c r="K69" s="1" t="str">
        <f>IF(H69="","",IF(H69=0,"مطابق",IF(H69&gt;0,"زيادة","عجز")))</f>
        <v/>
      </c>
      <c r="L69" s="1"/>
    </row>
    <row r="70" spans="1:12" x14ac:dyDescent="0.15">
      <c r="A70" s="1"/>
      <c r="B70" s="4"/>
      <c r="C70" s="1"/>
      <c r="D70" s="1"/>
      <c r="E70" s="1"/>
      <c r="F70" s="1"/>
      <c r="G70" s="1"/>
      <c r="H70" s="1" t="str">
        <f>IF(OR(F70="",G70=""),"",G70-F70)</f>
        <v/>
      </c>
      <c r="I70" s="1"/>
      <c r="J70" s="1" t="str">
        <f>IF(OR(H70="",I70=""),"",H70*I70)</f>
        <v/>
      </c>
      <c r="K70" s="1" t="str">
        <f>IF(H70="","",IF(H70=0,"مطابق",IF(H70&gt;0,"زيادة","عجز")))</f>
        <v/>
      </c>
      <c r="L70" s="1"/>
    </row>
    <row r="71" spans="1:12" x14ac:dyDescent="0.15">
      <c r="A71" s="1"/>
      <c r="B71" s="4"/>
      <c r="C71" s="1"/>
      <c r="D71" s="1"/>
      <c r="E71" s="1"/>
      <c r="F71" s="1"/>
      <c r="G71" s="1"/>
      <c r="H71" s="1" t="str">
        <f>IF(OR(F71="",G71=""),"",G71-F71)</f>
        <v/>
      </c>
      <c r="I71" s="1"/>
      <c r="J71" s="1" t="str">
        <f>IF(OR(H71="",I71=""),"",H71*I71)</f>
        <v/>
      </c>
      <c r="K71" s="1" t="str">
        <f>IF(H71="","",IF(H71=0,"مطابق",IF(H71&gt;0,"زيادة","عجز")))</f>
        <v/>
      </c>
      <c r="L71" s="1"/>
    </row>
    <row r="72" spans="1:12" x14ac:dyDescent="0.15">
      <c r="A72" s="1"/>
      <c r="B72" s="4"/>
      <c r="C72" s="1"/>
      <c r="D72" s="1"/>
      <c r="E72" s="1"/>
      <c r="F72" s="1"/>
      <c r="G72" s="1"/>
      <c r="H72" s="1" t="str">
        <f>IF(OR(F72="",G72=""),"",G72-F72)</f>
        <v/>
      </c>
      <c r="I72" s="1"/>
      <c r="J72" s="1" t="str">
        <f>IF(OR(H72="",I72=""),"",H72*I72)</f>
        <v/>
      </c>
      <c r="K72" s="1" t="str">
        <f>IF(H72="","",IF(H72=0,"مطابق",IF(H72&gt;0,"زيادة","عجز")))</f>
        <v/>
      </c>
      <c r="L72" s="1"/>
    </row>
    <row r="73" spans="1:12" x14ac:dyDescent="0.15">
      <c r="A73" s="1"/>
      <c r="B73" s="4"/>
      <c r="C73" s="1"/>
      <c r="D73" s="1"/>
      <c r="E73" s="1"/>
      <c r="F73" s="1"/>
      <c r="G73" s="1"/>
      <c r="H73" s="1" t="str">
        <f>IF(OR(F73="",G73=""),"",G73-F73)</f>
        <v/>
      </c>
      <c r="I73" s="1"/>
      <c r="J73" s="1" t="str">
        <f>IF(OR(H73="",I73=""),"",H73*I73)</f>
        <v/>
      </c>
      <c r="K73" s="1" t="str">
        <f>IF(H73="","",IF(H73=0,"مطابق",IF(H73&gt;0,"زيادة","عجز")))</f>
        <v/>
      </c>
      <c r="L73" s="1"/>
    </row>
    <row r="74" spans="1:12" x14ac:dyDescent="0.15">
      <c r="A74" s="1"/>
      <c r="B74" s="4"/>
      <c r="C74" s="1"/>
      <c r="D74" s="1"/>
      <c r="E74" s="1"/>
      <c r="F74" s="1"/>
      <c r="G74" s="1"/>
      <c r="H74" s="1" t="str">
        <f>IF(OR(F74="",G74=""),"",G74-F74)</f>
        <v/>
      </c>
      <c r="I74" s="1"/>
      <c r="J74" s="1" t="str">
        <f>IF(OR(H74="",I74=""),"",H74*I74)</f>
        <v/>
      </c>
      <c r="K74" s="1" t="str">
        <f>IF(H74="","",IF(H74=0,"مطابق",IF(H74&gt;0,"زيادة","عجز")))</f>
        <v/>
      </c>
      <c r="L74" s="1"/>
    </row>
    <row r="75" spans="1:12" x14ac:dyDescent="0.15">
      <c r="A75" s="1"/>
      <c r="B75" s="4"/>
      <c r="C75" s="1"/>
      <c r="D75" s="1"/>
      <c r="E75" s="1"/>
      <c r="F75" s="1"/>
      <c r="G75" s="1"/>
      <c r="H75" s="1" t="str">
        <f>IF(OR(F75="",G75=""),"",G75-F75)</f>
        <v/>
      </c>
      <c r="I75" s="1"/>
      <c r="J75" s="1" t="str">
        <f>IF(OR(H75="",I75=""),"",H75*I75)</f>
        <v/>
      </c>
      <c r="K75" s="1" t="str">
        <f>IF(H75="","",IF(H75=0,"مطابق",IF(H75&gt;0,"زيادة","عجز")))</f>
        <v/>
      </c>
      <c r="L75" s="1"/>
    </row>
    <row r="76" spans="1:12" x14ac:dyDescent="0.15">
      <c r="A76" s="1"/>
      <c r="B76" s="4"/>
      <c r="C76" s="1"/>
      <c r="D76" s="1"/>
      <c r="E76" s="1"/>
      <c r="F76" s="1"/>
      <c r="G76" s="1"/>
      <c r="H76" s="1" t="str">
        <f>IF(OR(F76="",G76=""),"",G76-F76)</f>
        <v/>
      </c>
      <c r="I76" s="1"/>
      <c r="J76" s="1" t="str">
        <f>IF(OR(H76="",I76=""),"",H76*I76)</f>
        <v/>
      </c>
      <c r="K76" s="1" t="str">
        <f>IF(H76="","",IF(H76=0,"مطابق",IF(H76&gt;0,"زيادة","عجز")))</f>
        <v/>
      </c>
      <c r="L76" s="1"/>
    </row>
    <row r="77" spans="1:12" x14ac:dyDescent="0.15">
      <c r="A77" s="1"/>
      <c r="B77" s="4"/>
      <c r="C77" s="1"/>
      <c r="D77" s="1"/>
      <c r="E77" s="1"/>
      <c r="F77" s="1"/>
      <c r="G77" s="1"/>
      <c r="H77" s="1" t="str">
        <f>IF(OR(F77="",G77=""),"",G77-F77)</f>
        <v/>
      </c>
      <c r="I77" s="1"/>
      <c r="J77" s="1" t="str">
        <f>IF(OR(H77="",I77=""),"",H77*I77)</f>
        <v/>
      </c>
      <c r="K77" s="1" t="str">
        <f>IF(H77="","",IF(H77=0,"مطابق",IF(H77&gt;0,"زيادة","عجز")))</f>
        <v/>
      </c>
      <c r="L77" s="1"/>
    </row>
    <row r="78" spans="1:12" x14ac:dyDescent="0.15">
      <c r="A78" s="1"/>
      <c r="B78" s="4"/>
      <c r="C78" s="1"/>
      <c r="D78" s="1"/>
      <c r="E78" s="1"/>
      <c r="F78" s="1"/>
      <c r="G78" s="1"/>
      <c r="H78" s="1" t="str">
        <f>IF(OR(F78="",G78=""),"",G78-F78)</f>
        <v/>
      </c>
      <c r="I78" s="1"/>
      <c r="J78" s="1" t="str">
        <f>IF(OR(H78="",I78=""),"",H78*I78)</f>
        <v/>
      </c>
      <c r="K78" s="1" t="str">
        <f>IF(H78="","",IF(H78=0,"مطابق",IF(H78&gt;0,"زيادة","عجز")))</f>
        <v/>
      </c>
      <c r="L78" s="1"/>
    </row>
    <row r="79" spans="1:12" x14ac:dyDescent="0.15">
      <c r="A79" s="1"/>
      <c r="B79" s="4"/>
      <c r="C79" s="1"/>
      <c r="D79" s="1"/>
      <c r="E79" s="1"/>
      <c r="F79" s="1"/>
      <c r="G79" s="1"/>
      <c r="H79" s="1" t="str">
        <f>IF(OR(F79="",G79=""),"",G79-F79)</f>
        <v/>
      </c>
      <c r="I79" s="1"/>
      <c r="J79" s="1" t="str">
        <f>IF(OR(H79="",I79=""),"",H79*I79)</f>
        <v/>
      </c>
      <c r="K79" s="1" t="str">
        <f>IF(H79="","",IF(H79=0,"مطابق",IF(H79&gt;0,"زيادة","عجز")))</f>
        <v/>
      </c>
      <c r="L79" s="1"/>
    </row>
    <row r="80" spans="1:12" x14ac:dyDescent="0.15">
      <c r="A80" s="1"/>
      <c r="B80" s="4"/>
      <c r="C80" s="1"/>
      <c r="D80" s="1"/>
      <c r="E80" s="1"/>
      <c r="F80" s="1"/>
      <c r="G80" s="1"/>
      <c r="H80" s="1" t="str">
        <f>IF(OR(F80="",G80=""),"",G80-F80)</f>
        <v/>
      </c>
      <c r="I80" s="1"/>
      <c r="J80" s="1" t="str">
        <f>IF(OR(H80="",I80=""),"",H80*I80)</f>
        <v/>
      </c>
      <c r="K80" s="1" t="str">
        <f>IF(H80="","",IF(H80=0,"مطابق",IF(H80&gt;0,"زيادة","عجز")))</f>
        <v/>
      </c>
      <c r="L80" s="1"/>
    </row>
    <row r="81" spans="1:12" x14ac:dyDescent="0.15">
      <c r="A81" s="1"/>
      <c r="B81" s="4"/>
      <c r="C81" s="1"/>
      <c r="D81" s="1"/>
      <c r="E81" s="1"/>
      <c r="F81" s="1"/>
      <c r="G81" s="1"/>
      <c r="H81" s="1" t="str">
        <f>IF(OR(F81="",G81=""),"",G81-F81)</f>
        <v/>
      </c>
      <c r="I81" s="1"/>
      <c r="J81" s="1" t="str">
        <f>IF(OR(H81="",I81=""),"",H81*I81)</f>
        <v/>
      </c>
      <c r="K81" s="1" t="str">
        <f>IF(H81="","",IF(H81=0,"مطابق",IF(H81&gt;0,"زيادة","عجز")))</f>
        <v/>
      </c>
      <c r="L81" s="1"/>
    </row>
    <row r="82" spans="1:12" x14ac:dyDescent="0.15">
      <c r="A82" s="1"/>
      <c r="B82" s="4"/>
      <c r="C82" s="1"/>
      <c r="D82" s="1"/>
      <c r="E82" s="1"/>
      <c r="F82" s="1"/>
      <c r="G82" s="1"/>
      <c r="H82" s="1" t="str">
        <f>IF(OR(F82="",G82=""),"",G82-F82)</f>
        <v/>
      </c>
      <c r="I82" s="1"/>
      <c r="J82" s="1" t="str">
        <f>IF(OR(H82="",I82=""),"",H82*I82)</f>
        <v/>
      </c>
      <c r="K82" s="1" t="str">
        <f>IF(H82="","",IF(H82=0,"مطابق",IF(H82&gt;0,"زيادة","عجز")))</f>
        <v/>
      </c>
      <c r="L82" s="1"/>
    </row>
    <row r="83" spans="1:12" x14ac:dyDescent="0.15">
      <c r="A83" s="1"/>
      <c r="B83" s="4"/>
      <c r="C83" s="1"/>
      <c r="D83" s="1"/>
      <c r="E83" s="1"/>
      <c r="F83" s="1"/>
      <c r="G83" s="1"/>
      <c r="H83" s="1" t="str">
        <f>IF(OR(F83="",G83=""),"",G83-F83)</f>
        <v/>
      </c>
      <c r="I83" s="1"/>
      <c r="J83" s="1" t="str">
        <f>IF(OR(H83="",I83=""),"",H83*I83)</f>
        <v/>
      </c>
      <c r="K83" s="1" t="str">
        <f>IF(H83="","",IF(H83=0,"مطابق",IF(H83&gt;0,"زيادة","عجز")))</f>
        <v/>
      </c>
      <c r="L83" s="1"/>
    </row>
    <row r="84" spans="1:12" x14ac:dyDescent="0.15">
      <c r="A84" s="1"/>
      <c r="B84" s="4"/>
      <c r="C84" s="1"/>
      <c r="D84" s="1"/>
      <c r="E84" s="1"/>
      <c r="F84" s="1"/>
      <c r="G84" s="1"/>
      <c r="H84" s="1" t="str">
        <f>IF(OR(F84="",G84=""),"",G84-F84)</f>
        <v/>
      </c>
      <c r="I84" s="1"/>
      <c r="J84" s="1" t="str">
        <f>IF(OR(H84="",I84=""),"",H84*I84)</f>
        <v/>
      </c>
      <c r="K84" s="1" t="str">
        <f>IF(H84="","",IF(H84=0,"مطابق",IF(H84&gt;0,"زيادة","عجز")))</f>
        <v/>
      </c>
      <c r="L84" s="1"/>
    </row>
    <row r="85" spans="1:12" x14ac:dyDescent="0.15">
      <c r="A85" s="1"/>
      <c r="B85" s="4"/>
      <c r="C85" s="1"/>
      <c r="D85" s="1"/>
      <c r="E85" s="1"/>
      <c r="F85" s="1"/>
      <c r="G85" s="1"/>
      <c r="H85" s="1" t="str">
        <f>IF(OR(F85="",G85=""),"",G85-F85)</f>
        <v/>
      </c>
      <c r="I85" s="1"/>
      <c r="J85" s="1" t="str">
        <f>IF(OR(H85="",I85=""),"",H85*I85)</f>
        <v/>
      </c>
      <c r="K85" s="1" t="str">
        <f>IF(H85="","",IF(H85=0,"مطابق",IF(H85&gt;0,"زيادة","عجز")))</f>
        <v/>
      </c>
      <c r="L85" s="1"/>
    </row>
    <row r="86" spans="1:12" x14ac:dyDescent="0.15">
      <c r="A86" s="1"/>
      <c r="B86" s="4"/>
      <c r="C86" s="1"/>
      <c r="D86" s="1"/>
      <c r="E86" s="1"/>
      <c r="F86" s="1"/>
      <c r="G86" s="1"/>
      <c r="H86" s="1" t="str">
        <f>IF(OR(F86="",G86=""),"",G86-F86)</f>
        <v/>
      </c>
      <c r="I86" s="1"/>
      <c r="J86" s="1" t="str">
        <f>IF(OR(H86="",I86=""),"",H86*I86)</f>
        <v/>
      </c>
      <c r="K86" s="1" t="str">
        <f>IF(H86="","",IF(H86=0,"مطابق",IF(H86&gt;0,"زيادة","عجز")))</f>
        <v/>
      </c>
      <c r="L86" s="1"/>
    </row>
    <row r="87" spans="1:12" x14ac:dyDescent="0.15">
      <c r="A87" s="1"/>
      <c r="B87" s="4"/>
      <c r="C87" s="1"/>
      <c r="D87" s="1"/>
      <c r="E87" s="1"/>
      <c r="F87" s="1"/>
      <c r="G87" s="1"/>
      <c r="H87" s="1" t="str">
        <f>IF(OR(F87="",G87=""),"",G87-F87)</f>
        <v/>
      </c>
      <c r="I87" s="1"/>
      <c r="J87" s="1" t="str">
        <f>IF(OR(H87="",I87=""),"",H87*I87)</f>
        <v/>
      </c>
      <c r="K87" s="1" t="str">
        <f>IF(H87="","",IF(H87=0,"مطابق",IF(H87&gt;0,"زيادة","عجز")))</f>
        <v/>
      </c>
      <c r="L87" s="1"/>
    </row>
    <row r="88" spans="1:12" x14ac:dyDescent="0.15">
      <c r="A88" s="1"/>
      <c r="B88" s="4"/>
      <c r="C88" s="1"/>
      <c r="D88" s="1"/>
      <c r="E88" s="1"/>
      <c r="F88" s="1"/>
      <c r="G88" s="1"/>
      <c r="H88" s="1" t="str">
        <f>IF(OR(F88="",G88=""),"",G88-F88)</f>
        <v/>
      </c>
      <c r="I88" s="1"/>
      <c r="J88" s="1" t="str">
        <f>IF(OR(H88="",I88=""),"",H88*I88)</f>
        <v/>
      </c>
      <c r="K88" s="1" t="str">
        <f>IF(H88="","",IF(H88=0,"مطابق",IF(H88&gt;0,"زيادة","عجز")))</f>
        <v/>
      </c>
      <c r="L88" s="1"/>
    </row>
    <row r="89" spans="1:12" x14ac:dyDescent="0.15">
      <c r="A89" s="1"/>
      <c r="B89" s="4"/>
      <c r="C89" s="1"/>
      <c r="D89" s="1"/>
      <c r="E89" s="1"/>
      <c r="F89" s="1"/>
      <c r="G89" s="1"/>
      <c r="H89" s="1" t="str">
        <f>IF(OR(F89="",G89=""),"",G89-F89)</f>
        <v/>
      </c>
      <c r="I89" s="1"/>
      <c r="J89" s="1" t="str">
        <f>IF(OR(H89="",I89=""),"",H89*I89)</f>
        <v/>
      </c>
      <c r="K89" s="1" t="str">
        <f>IF(H89="","",IF(H89=0,"مطابق",IF(H89&gt;0,"زيادة","عجز")))</f>
        <v/>
      </c>
      <c r="L89" s="1"/>
    </row>
    <row r="90" spans="1:12" x14ac:dyDescent="0.15">
      <c r="A90" s="1"/>
      <c r="B90" s="4"/>
      <c r="C90" s="1"/>
      <c r="D90" s="1"/>
      <c r="E90" s="1"/>
      <c r="F90" s="1"/>
      <c r="G90" s="1"/>
      <c r="H90" s="1" t="str">
        <f>IF(OR(F90="",G90=""),"",G90-F90)</f>
        <v/>
      </c>
      <c r="I90" s="1"/>
      <c r="J90" s="1" t="str">
        <f>IF(OR(H90="",I90=""),"",H90*I90)</f>
        <v/>
      </c>
      <c r="K90" s="1" t="str">
        <f>IF(H90="","",IF(H90=0,"مطابق",IF(H90&gt;0,"زيادة","عجز")))</f>
        <v/>
      </c>
      <c r="L90" s="1"/>
    </row>
    <row r="91" spans="1:12" x14ac:dyDescent="0.15">
      <c r="A91" s="1"/>
      <c r="B91" s="4"/>
      <c r="C91" s="1"/>
      <c r="D91" s="1"/>
      <c r="E91" s="1"/>
      <c r="F91" s="1"/>
      <c r="G91" s="1"/>
      <c r="H91" s="1" t="str">
        <f>IF(OR(F91="",G91=""),"",G91-F91)</f>
        <v/>
      </c>
      <c r="I91" s="1"/>
      <c r="J91" s="1" t="str">
        <f>IF(OR(H91="",I91=""),"",H91*I91)</f>
        <v/>
      </c>
      <c r="K91" s="1" t="str">
        <f>IF(H91="","",IF(H91=0,"مطابق",IF(H91&gt;0,"زيادة","عجز")))</f>
        <v/>
      </c>
      <c r="L91" s="1"/>
    </row>
    <row r="92" spans="1:12" x14ac:dyDescent="0.15">
      <c r="A92" s="1"/>
      <c r="B92" s="4"/>
      <c r="C92" s="1"/>
      <c r="D92" s="1"/>
      <c r="E92" s="1"/>
      <c r="F92" s="1"/>
      <c r="G92" s="1"/>
      <c r="H92" s="1" t="str">
        <f>IF(OR(F92="",G92=""),"",G92-F92)</f>
        <v/>
      </c>
      <c r="I92" s="1"/>
      <c r="J92" s="1" t="str">
        <f>IF(OR(H92="",I92=""),"",H92*I92)</f>
        <v/>
      </c>
      <c r="K92" s="1" t="str">
        <f>IF(H92="","",IF(H92=0,"مطابق",IF(H92&gt;0,"زيادة","عجز")))</f>
        <v/>
      </c>
      <c r="L92" s="1"/>
    </row>
    <row r="93" spans="1:12" x14ac:dyDescent="0.15">
      <c r="A93" s="1"/>
      <c r="B93" s="4"/>
      <c r="C93" s="1"/>
      <c r="D93" s="1"/>
      <c r="E93" s="1"/>
      <c r="F93" s="1"/>
      <c r="G93" s="1"/>
      <c r="H93" s="1" t="str">
        <f>IF(OR(F93="",G93=""),"",G93-F93)</f>
        <v/>
      </c>
      <c r="I93" s="1"/>
      <c r="J93" s="1" t="str">
        <f>IF(OR(H93="",I93=""),"",H93*I93)</f>
        <v/>
      </c>
      <c r="K93" s="1" t="str">
        <f>IF(H93="","",IF(H93=0,"مطابق",IF(H93&gt;0,"زيادة","عجز")))</f>
        <v/>
      </c>
      <c r="L93" s="1"/>
    </row>
    <row r="94" spans="1:12" x14ac:dyDescent="0.15">
      <c r="A94" s="1"/>
      <c r="B94" s="4"/>
      <c r="C94" s="1"/>
      <c r="D94" s="1"/>
      <c r="E94" s="1"/>
      <c r="F94" s="1"/>
      <c r="G94" s="1"/>
      <c r="H94" s="1" t="str">
        <f>IF(OR(F94="",G94=""),"",G94-F94)</f>
        <v/>
      </c>
      <c r="I94" s="1"/>
      <c r="J94" s="1" t="str">
        <f>IF(OR(H94="",I94=""),"",H94*I94)</f>
        <v/>
      </c>
      <c r="K94" s="1" t="str">
        <f>IF(H94="","",IF(H94=0,"مطابق",IF(H94&gt;0,"زيادة","عجز")))</f>
        <v/>
      </c>
      <c r="L94" s="1"/>
    </row>
    <row r="95" spans="1:12" x14ac:dyDescent="0.15">
      <c r="A95" s="1"/>
      <c r="B95" s="4"/>
      <c r="C95" s="1"/>
      <c r="D95" s="1"/>
      <c r="E95" s="1"/>
      <c r="F95" s="1"/>
      <c r="G95" s="1"/>
      <c r="H95" s="1" t="str">
        <f>IF(OR(F95="",G95=""),"",G95-F95)</f>
        <v/>
      </c>
      <c r="I95" s="1"/>
      <c r="J95" s="1" t="str">
        <f>IF(OR(H95="",I95=""),"",H95*I95)</f>
        <v/>
      </c>
      <c r="K95" s="1" t="str">
        <f>IF(H95="","",IF(H95=0,"مطابق",IF(H95&gt;0,"زيادة","عجز")))</f>
        <v/>
      </c>
      <c r="L95" s="1"/>
    </row>
    <row r="96" spans="1:12" x14ac:dyDescent="0.15">
      <c r="A96" s="1"/>
      <c r="B96" s="4"/>
      <c r="C96" s="1"/>
      <c r="D96" s="1"/>
      <c r="E96" s="1"/>
      <c r="F96" s="1"/>
      <c r="G96" s="1"/>
      <c r="H96" s="1" t="str">
        <f>IF(OR(F96="",G96=""),"",G96-F96)</f>
        <v/>
      </c>
      <c r="I96" s="1"/>
      <c r="J96" s="1" t="str">
        <f>IF(OR(H96="",I96=""),"",H96*I96)</f>
        <v/>
      </c>
      <c r="K96" s="1" t="str">
        <f>IF(H96="","",IF(H96=0,"مطابق",IF(H96&gt;0,"زيادة","عجز")))</f>
        <v/>
      </c>
      <c r="L96" s="1"/>
    </row>
    <row r="97" spans="1:12" x14ac:dyDescent="0.15">
      <c r="A97" s="1"/>
      <c r="B97" s="4"/>
      <c r="C97" s="1"/>
      <c r="D97" s="1"/>
      <c r="E97" s="1"/>
      <c r="F97" s="1"/>
      <c r="G97" s="1"/>
      <c r="H97" s="1" t="str">
        <f>IF(OR(F97="",G97=""),"",G97-F97)</f>
        <v/>
      </c>
      <c r="I97" s="1"/>
      <c r="J97" s="1" t="str">
        <f>IF(OR(H97="",I97=""),"",H97*I97)</f>
        <v/>
      </c>
      <c r="K97" s="1" t="str">
        <f>IF(H97="","",IF(H97=0,"مطابق",IF(H97&gt;0,"زيادة","عجز")))</f>
        <v/>
      </c>
      <c r="L97" s="1"/>
    </row>
    <row r="98" spans="1:12" x14ac:dyDescent="0.15">
      <c r="A98" s="1"/>
      <c r="B98" s="4"/>
      <c r="C98" s="1"/>
      <c r="D98" s="1"/>
      <c r="E98" s="1"/>
      <c r="F98" s="1"/>
      <c r="G98" s="1"/>
      <c r="H98" s="1" t="str">
        <f>IF(OR(F98="",G98=""),"",G98-F98)</f>
        <v/>
      </c>
      <c r="I98" s="1"/>
      <c r="J98" s="1" t="str">
        <f>IF(OR(H98="",I98=""),"",H98*I98)</f>
        <v/>
      </c>
      <c r="K98" s="1" t="str">
        <f>IF(H98="","",IF(H98=0,"مطابق",IF(H98&gt;0,"زيادة","عجز")))</f>
        <v/>
      </c>
      <c r="L98" s="1"/>
    </row>
    <row r="99" spans="1:12" x14ac:dyDescent="0.15">
      <c r="A99" s="1"/>
      <c r="B99" s="4"/>
      <c r="C99" s="1"/>
      <c r="D99" s="1"/>
      <c r="E99" s="1"/>
      <c r="F99" s="1"/>
      <c r="G99" s="1"/>
      <c r="H99" s="1" t="str">
        <f>IF(OR(F99="",G99=""),"",G99-F99)</f>
        <v/>
      </c>
      <c r="I99" s="1"/>
      <c r="J99" s="1" t="str">
        <f>IF(OR(H99="",I99=""),"",H99*I99)</f>
        <v/>
      </c>
      <c r="K99" s="1" t="str">
        <f>IF(H99="","",IF(H99=0,"مطابق",IF(H99&gt;0,"زيادة","عجز")))</f>
        <v/>
      </c>
      <c r="L99" s="1"/>
    </row>
    <row r="100" spans="1:12" x14ac:dyDescent="0.15">
      <c r="A100" s="1"/>
      <c r="B100" s="4"/>
      <c r="C100" s="1"/>
      <c r="D100" s="1"/>
      <c r="E100" s="1"/>
      <c r="F100" s="1"/>
      <c r="G100" s="1"/>
      <c r="H100" s="1" t="str">
        <f>IF(OR(F100="",G100=""),"",G100-F100)</f>
        <v/>
      </c>
      <c r="I100" s="1"/>
      <c r="J100" s="1" t="str">
        <f>IF(OR(H100="",I100=""),"",H100*I100)</f>
        <v/>
      </c>
      <c r="K100" s="1" t="str">
        <f>IF(H100="","",IF(H100=0,"مطابق",IF(H100&gt;0,"زيادة","عجز")))</f>
        <v/>
      </c>
      <c r="L100" s="1"/>
    </row>
    <row r="101" spans="1:12" x14ac:dyDescent="0.15">
      <c r="A101" s="1"/>
      <c r="B101" s="4"/>
      <c r="C101" s="1"/>
      <c r="D101" s="1"/>
      <c r="E101" s="1"/>
      <c r="F101" s="1"/>
      <c r="G101" s="1"/>
      <c r="H101" s="1" t="str">
        <f>IF(OR(F101="",G101=""),"",G101-F101)</f>
        <v/>
      </c>
      <c r="I101" s="1"/>
      <c r="J101" s="1" t="str">
        <f>IF(OR(H101="",I101=""),"",H101*I101)</f>
        <v/>
      </c>
      <c r="K101" s="1" t="str">
        <f>IF(H101="","",IF(H101=0,"مطابق",IF(H101&gt;0,"زيادة","عجز")))</f>
        <v/>
      </c>
      <c r="L101" s="1"/>
    </row>
    <row r="102" spans="1:12" x14ac:dyDescent="0.15">
      <c r="A102" s="1"/>
      <c r="B102" s="4"/>
      <c r="C102" s="1"/>
      <c r="D102" s="1"/>
      <c r="E102" s="1"/>
      <c r="F102" s="1"/>
      <c r="G102" s="1"/>
      <c r="H102" s="1" t="str">
        <f>IF(OR(F102="",G102=""),"",G102-F102)</f>
        <v/>
      </c>
      <c r="I102" s="1"/>
      <c r="J102" s="1" t="str">
        <f>IF(OR(H102="",I102=""),"",H102*I102)</f>
        <v/>
      </c>
      <c r="K102" s="1" t="str">
        <f>IF(H102="","",IF(H102=0,"مطابق",IF(H102&gt;0,"زيادة","عجز")))</f>
        <v/>
      </c>
      <c r="L102" s="1"/>
    </row>
    <row r="103" spans="1:12" x14ac:dyDescent="0.15">
      <c r="A103" s="1"/>
      <c r="B103" s="4"/>
      <c r="C103" s="1"/>
      <c r="D103" s="1"/>
      <c r="E103" s="1"/>
      <c r="F103" s="1"/>
      <c r="G103" s="1"/>
      <c r="H103" s="1" t="str">
        <f>IF(OR(F103="",G103=""),"",G103-F103)</f>
        <v/>
      </c>
      <c r="I103" s="1"/>
      <c r="J103" s="1" t="str">
        <f>IF(OR(H103="",I103=""),"",H103*I103)</f>
        <v/>
      </c>
      <c r="K103" s="1" t="str">
        <f>IF(H103="","",IF(H103=0,"مطابق",IF(H103&gt;0,"زيادة","عجز")))</f>
        <v/>
      </c>
      <c r="L103" s="1"/>
    </row>
  </sheetData>
  <mergeCells count="1">
    <mergeCell ref="A1:L1"/>
  </mergeCell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3"/>
  <sheetViews>
    <sheetView showGridLines="0" workbookViewId="0">
      <pane ySplit="3" topLeftCell="A4" activePane="bottomLeft" state="frozen"/>
      <selection pane="bottomLeft"/>
    </sheetView>
  </sheetViews>
  <sheetFormatPr defaultRowHeight="13.5" x14ac:dyDescent="0.15"/>
  <cols>
    <col min="1" max="10" width="19" customWidth="1"/>
  </cols>
  <sheetData>
    <row r="1" spans="1:10" ht="22.5" x14ac:dyDescent="0.15">
      <c r="A1" s="14" t="s">
        <v>107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1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15">
      <c r="A3" s="2" t="s">
        <v>45</v>
      </c>
      <c r="B3" s="2" t="s">
        <v>46</v>
      </c>
      <c r="C3" s="2" t="s">
        <v>108</v>
      </c>
      <c r="D3" s="2" t="s">
        <v>69</v>
      </c>
      <c r="E3" s="2" t="s">
        <v>81</v>
      </c>
      <c r="F3" s="2" t="s">
        <v>10</v>
      </c>
      <c r="G3" s="2" t="s">
        <v>109</v>
      </c>
      <c r="H3" s="2" t="s">
        <v>110</v>
      </c>
      <c r="I3" s="2" t="s">
        <v>111</v>
      </c>
      <c r="J3" s="2" t="s">
        <v>11</v>
      </c>
    </row>
    <row r="4" spans="1:10" x14ac:dyDescent="0.15">
      <c r="A4" s="1"/>
      <c r="B4" s="1"/>
      <c r="C4" s="1"/>
      <c r="D4" s="1"/>
      <c r="E4" s="1"/>
      <c r="F4" s="1" t="str">
        <f>IF(OR(D4="",E4=""),"",D4*E4)</f>
        <v/>
      </c>
      <c r="G4" s="1" t="str">
        <f ca="1">IF(C4="","",TODAY()-C4)</f>
        <v/>
      </c>
      <c r="H4" s="1" t="str">
        <f ca="1">IF(G4="","",IF(G4&lt;=30,"0-30 يوم",IF(G4&lt;=60,"31-60 يوم",IF(G4&lt;=90,"61-90 يوم",IF(G4&lt;=180,"91-180 يوم",IF(G4&lt;=365,"181-365 يوم","+365 يوم"))))))</f>
        <v/>
      </c>
      <c r="I4" s="1" t="str">
        <f ca="1">IF(G4="","",IF(G4&gt;180,"راجع NRV/الركود","متابعة عادية"))</f>
        <v/>
      </c>
      <c r="J4" s="1"/>
    </row>
    <row r="5" spans="1:10" x14ac:dyDescent="0.15">
      <c r="A5" s="1"/>
      <c r="B5" s="1"/>
      <c r="C5" s="1"/>
      <c r="D5" s="1"/>
      <c r="E5" s="1"/>
      <c r="F5" s="1" t="str">
        <f>IF(OR(D5="",E5=""),"",D5*E5)</f>
        <v/>
      </c>
      <c r="G5" s="1" t="str">
        <f ca="1">IF(C5="","",TODAY()-C5)</f>
        <v/>
      </c>
      <c r="H5" s="1" t="str">
        <f ca="1">IF(G5="","",IF(G5&lt;=30,"0-30 يوم",IF(G5&lt;=60,"31-60 يوم",IF(G5&lt;=90,"61-90 يوم",IF(G5&lt;=180,"91-180 يوم",IF(G5&lt;=365,"181-365 يوم","+365 يوم"))))))</f>
        <v/>
      </c>
      <c r="I5" s="1" t="str">
        <f ca="1">IF(G5="","",IF(G5&gt;180,"راجع NRV/الركود","متابعة عادية"))</f>
        <v/>
      </c>
      <c r="J5" s="1"/>
    </row>
    <row r="6" spans="1:10" x14ac:dyDescent="0.15">
      <c r="A6" s="1"/>
      <c r="B6" s="1"/>
      <c r="C6" s="1"/>
      <c r="D6" s="1"/>
      <c r="E6" s="1"/>
      <c r="F6" s="1" t="str">
        <f>IF(OR(D6="",E6=""),"",D6*E6)</f>
        <v/>
      </c>
      <c r="G6" s="1" t="str">
        <f ca="1">IF(C6="","",TODAY()-C6)</f>
        <v/>
      </c>
      <c r="H6" s="1" t="str">
        <f ca="1">IF(G6="","",IF(G6&lt;=30,"0-30 يوم",IF(G6&lt;=60,"31-60 يوم",IF(G6&lt;=90,"61-90 يوم",IF(G6&lt;=180,"91-180 يوم",IF(G6&lt;=365,"181-365 يوم","+365 يوم"))))))</f>
        <v/>
      </c>
      <c r="I6" s="1" t="str">
        <f ca="1">IF(G6="","",IF(G6&gt;180,"راجع NRV/الركود","متابعة عادية"))</f>
        <v/>
      </c>
      <c r="J6" s="1"/>
    </row>
    <row r="7" spans="1:10" x14ac:dyDescent="0.15">
      <c r="A7" s="1"/>
      <c r="B7" s="1"/>
      <c r="C7" s="1"/>
      <c r="D7" s="1"/>
      <c r="E7" s="1"/>
      <c r="F7" s="1" t="str">
        <f>IF(OR(D7="",E7=""),"",D7*E7)</f>
        <v/>
      </c>
      <c r="G7" s="1" t="str">
        <f ca="1">IF(C7="","",TODAY()-C7)</f>
        <v/>
      </c>
      <c r="H7" s="1" t="str">
        <f ca="1">IF(G7="","",IF(G7&lt;=30,"0-30 يوم",IF(G7&lt;=60,"31-60 يوم",IF(G7&lt;=90,"61-90 يوم",IF(G7&lt;=180,"91-180 يوم",IF(G7&lt;=365,"181-365 يوم","+365 يوم"))))))</f>
        <v/>
      </c>
      <c r="I7" s="1" t="str">
        <f ca="1">IF(G7="","",IF(G7&gt;180,"راجع NRV/الركود","متابعة عادية"))</f>
        <v/>
      </c>
      <c r="J7" s="1"/>
    </row>
    <row r="8" spans="1:10" x14ac:dyDescent="0.15">
      <c r="A8" s="1"/>
      <c r="B8" s="1"/>
      <c r="C8" s="1"/>
      <c r="D8" s="1"/>
      <c r="E8" s="1"/>
      <c r="F8" s="1" t="str">
        <f>IF(OR(D8="",E8=""),"",D8*E8)</f>
        <v/>
      </c>
      <c r="G8" s="1" t="str">
        <f ca="1">IF(C8="","",TODAY()-C8)</f>
        <v/>
      </c>
      <c r="H8" s="1" t="str">
        <f ca="1">IF(G8="","",IF(G8&lt;=30,"0-30 يوم",IF(G8&lt;=60,"31-60 يوم",IF(G8&lt;=90,"61-90 يوم",IF(G8&lt;=180,"91-180 يوم",IF(G8&lt;=365,"181-365 يوم","+365 يوم"))))))</f>
        <v/>
      </c>
      <c r="I8" s="1" t="str">
        <f ca="1">IF(G8="","",IF(G8&gt;180,"راجع NRV/الركود","متابعة عادية"))</f>
        <v/>
      </c>
      <c r="J8" s="1"/>
    </row>
    <row r="9" spans="1:10" x14ac:dyDescent="0.15">
      <c r="A9" s="1"/>
      <c r="B9" s="1"/>
      <c r="C9" s="1"/>
      <c r="D9" s="1"/>
      <c r="E9" s="1"/>
      <c r="F9" s="1" t="str">
        <f>IF(OR(D9="",E9=""),"",D9*E9)</f>
        <v/>
      </c>
      <c r="G9" s="1" t="str">
        <f ca="1">IF(C9="","",TODAY()-C9)</f>
        <v/>
      </c>
      <c r="H9" s="1" t="str">
        <f ca="1">IF(G9="","",IF(G9&lt;=30,"0-30 يوم",IF(G9&lt;=60,"31-60 يوم",IF(G9&lt;=90,"61-90 يوم",IF(G9&lt;=180,"91-180 يوم",IF(G9&lt;=365,"181-365 يوم","+365 يوم"))))))</f>
        <v/>
      </c>
      <c r="I9" s="1" t="str">
        <f ca="1">IF(G9="","",IF(G9&gt;180,"راجع NRV/الركود","متابعة عادية"))</f>
        <v/>
      </c>
      <c r="J9" s="1"/>
    </row>
    <row r="10" spans="1:10" x14ac:dyDescent="0.15">
      <c r="A10" s="1"/>
      <c r="B10" s="1"/>
      <c r="C10" s="1"/>
      <c r="D10" s="1"/>
      <c r="E10" s="1"/>
      <c r="F10" s="1" t="str">
        <f>IF(OR(D10="",E10=""),"",D10*E10)</f>
        <v/>
      </c>
      <c r="G10" s="1" t="str">
        <f ca="1">IF(C10="","",TODAY()-C10)</f>
        <v/>
      </c>
      <c r="H10" s="1" t="str">
        <f ca="1">IF(G10="","",IF(G10&lt;=30,"0-30 يوم",IF(G10&lt;=60,"31-60 يوم",IF(G10&lt;=90,"61-90 يوم",IF(G10&lt;=180,"91-180 يوم",IF(G10&lt;=365,"181-365 يوم","+365 يوم"))))))</f>
        <v/>
      </c>
      <c r="I10" s="1" t="str">
        <f ca="1">IF(G10="","",IF(G10&gt;180,"راجع NRV/الركود","متابعة عادية"))</f>
        <v/>
      </c>
      <c r="J10" s="1"/>
    </row>
    <row r="11" spans="1:10" x14ac:dyDescent="0.15">
      <c r="A11" s="1"/>
      <c r="B11" s="1"/>
      <c r="C11" s="1"/>
      <c r="D11" s="1"/>
      <c r="E11" s="1"/>
      <c r="F11" s="1" t="str">
        <f>IF(OR(D11="",E11=""),"",D11*E11)</f>
        <v/>
      </c>
      <c r="G11" s="1" t="str">
        <f ca="1">IF(C11="","",TODAY()-C11)</f>
        <v/>
      </c>
      <c r="H11" s="1" t="str">
        <f ca="1">IF(G11="","",IF(G11&lt;=30,"0-30 يوم",IF(G11&lt;=60,"31-60 يوم",IF(G11&lt;=90,"61-90 يوم",IF(G11&lt;=180,"91-180 يوم",IF(G11&lt;=365,"181-365 يوم","+365 يوم"))))))</f>
        <v/>
      </c>
      <c r="I11" s="1" t="str">
        <f ca="1">IF(G11="","",IF(G11&gt;180,"راجع NRV/الركود","متابعة عادية"))</f>
        <v/>
      </c>
      <c r="J11" s="1"/>
    </row>
    <row r="12" spans="1:10" x14ac:dyDescent="0.15">
      <c r="A12" s="1"/>
      <c r="B12" s="1"/>
      <c r="C12" s="1"/>
      <c r="D12" s="1"/>
      <c r="E12" s="1"/>
      <c r="F12" s="1" t="str">
        <f>IF(OR(D12="",E12=""),"",D12*E12)</f>
        <v/>
      </c>
      <c r="G12" s="1" t="str">
        <f ca="1">IF(C12="","",TODAY()-C12)</f>
        <v/>
      </c>
      <c r="H12" s="1" t="str">
        <f ca="1">IF(G12="","",IF(G12&lt;=30,"0-30 يوم",IF(G12&lt;=60,"31-60 يوم",IF(G12&lt;=90,"61-90 يوم",IF(G12&lt;=180,"91-180 يوم",IF(G12&lt;=365,"181-365 يوم","+365 يوم"))))))</f>
        <v/>
      </c>
      <c r="I12" s="1" t="str">
        <f ca="1">IF(G12="","",IF(G12&gt;180,"راجع NRV/الركود","متابعة عادية"))</f>
        <v/>
      </c>
      <c r="J12" s="1"/>
    </row>
    <row r="13" spans="1:10" x14ac:dyDescent="0.15">
      <c r="A13" s="1"/>
      <c r="B13" s="1"/>
      <c r="C13" s="1"/>
      <c r="D13" s="1"/>
      <c r="E13" s="1"/>
      <c r="F13" s="1" t="str">
        <f>IF(OR(D13="",E13=""),"",D13*E13)</f>
        <v/>
      </c>
      <c r="G13" s="1" t="str">
        <f ca="1">IF(C13="","",TODAY()-C13)</f>
        <v/>
      </c>
      <c r="H13" s="1" t="str">
        <f ca="1">IF(G13="","",IF(G13&lt;=30,"0-30 يوم",IF(G13&lt;=60,"31-60 يوم",IF(G13&lt;=90,"61-90 يوم",IF(G13&lt;=180,"91-180 يوم",IF(G13&lt;=365,"181-365 يوم","+365 يوم"))))))</f>
        <v/>
      </c>
      <c r="I13" s="1" t="str">
        <f ca="1">IF(G13="","",IF(G13&gt;180,"راجع NRV/الركود","متابعة عادية"))</f>
        <v/>
      </c>
      <c r="J13" s="1"/>
    </row>
    <row r="14" spans="1:10" x14ac:dyDescent="0.15">
      <c r="A14" s="1"/>
      <c r="B14" s="1"/>
      <c r="C14" s="1"/>
      <c r="D14" s="1"/>
      <c r="E14" s="1"/>
      <c r="F14" s="1" t="str">
        <f>IF(OR(D14="",E14=""),"",D14*E14)</f>
        <v/>
      </c>
      <c r="G14" s="1" t="str">
        <f ca="1">IF(C14="","",TODAY()-C14)</f>
        <v/>
      </c>
      <c r="H14" s="1" t="str">
        <f ca="1">IF(G14="","",IF(G14&lt;=30,"0-30 يوم",IF(G14&lt;=60,"31-60 يوم",IF(G14&lt;=90,"61-90 يوم",IF(G14&lt;=180,"91-180 يوم",IF(G14&lt;=365,"181-365 يوم","+365 يوم"))))))</f>
        <v/>
      </c>
      <c r="I14" s="1" t="str">
        <f ca="1">IF(G14="","",IF(G14&gt;180,"راجع NRV/الركود","متابعة عادية"))</f>
        <v/>
      </c>
      <c r="J14" s="1"/>
    </row>
    <row r="15" spans="1:10" x14ac:dyDescent="0.15">
      <c r="A15" s="1"/>
      <c r="B15" s="1"/>
      <c r="C15" s="1"/>
      <c r="D15" s="1"/>
      <c r="E15" s="1"/>
      <c r="F15" s="1" t="str">
        <f>IF(OR(D15="",E15=""),"",D15*E15)</f>
        <v/>
      </c>
      <c r="G15" s="1" t="str">
        <f ca="1">IF(C15="","",TODAY()-C15)</f>
        <v/>
      </c>
      <c r="H15" s="1" t="str">
        <f ca="1">IF(G15="","",IF(G15&lt;=30,"0-30 يوم",IF(G15&lt;=60,"31-60 يوم",IF(G15&lt;=90,"61-90 يوم",IF(G15&lt;=180,"91-180 يوم",IF(G15&lt;=365,"181-365 يوم","+365 يوم"))))))</f>
        <v/>
      </c>
      <c r="I15" s="1" t="str">
        <f ca="1">IF(G15="","",IF(G15&gt;180,"راجع NRV/الركود","متابعة عادية"))</f>
        <v/>
      </c>
      <c r="J15" s="1"/>
    </row>
    <row r="16" spans="1:10" x14ac:dyDescent="0.15">
      <c r="A16" s="1"/>
      <c r="B16" s="1"/>
      <c r="C16" s="1"/>
      <c r="D16" s="1"/>
      <c r="E16" s="1"/>
      <c r="F16" s="1" t="str">
        <f>IF(OR(D16="",E16=""),"",D16*E16)</f>
        <v/>
      </c>
      <c r="G16" s="1" t="str">
        <f ca="1">IF(C16="","",TODAY()-C16)</f>
        <v/>
      </c>
      <c r="H16" s="1" t="str">
        <f ca="1">IF(G16="","",IF(G16&lt;=30,"0-30 يوم",IF(G16&lt;=60,"31-60 يوم",IF(G16&lt;=90,"61-90 يوم",IF(G16&lt;=180,"91-180 يوم",IF(G16&lt;=365,"181-365 يوم","+365 يوم"))))))</f>
        <v/>
      </c>
      <c r="I16" s="1" t="str">
        <f ca="1">IF(G16="","",IF(G16&gt;180,"راجع NRV/الركود","متابعة عادية"))</f>
        <v/>
      </c>
      <c r="J16" s="1"/>
    </row>
    <row r="17" spans="1:10" x14ac:dyDescent="0.15">
      <c r="A17" s="1"/>
      <c r="B17" s="1"/>
      <c r="C17" s="1"/>
      <c r="D17" s="1"/>
      <c r="E17" s="1"/>
      <c r="F17" s="1" t="str">
        <f>IF(OR(D17="",E17=""),"",D17*E17)</f>
        <v/>
      </c>
      <c r="G17" s="1" t="str">
        <f ca="1">IF(C17="","",TODAY()-C17)</f>
        <v/>
      </c>
      <c r="H17" s="1" t="str">
        <f ca="1">IF(G17="","",IF(G17&lt;=30,"0-30 يوم",IF(G17&lt;=60,"31-60 يوم",IF(G17&lt;=90,"61-90 يوم",IF(G17&lt;=180,"91-180 يوم",IF(G17&lt;=365,"181-365 يوم","+365 يوم"))))))</f>
        <v/>
      </c>
      <c r="I17" s="1" t="str">
        <f ca="1">IF(G17="","",IF(G17&gt;180,"راجع NRV/الركود","متابعة عادية"))</f>
        <v/>
      </c>
      <c r="J17" s="1"/>
    </row>
    <row r="18" spans="1:10" x14ac:dyDescent="0.15">
      <c r="A18" s="1"/>
      <c r="B18" s="1"/>
      <c r="C18" s="1"/>
      <c r="D18" s="1"/>
      <c r="E18" s="1"/>
      <c r="F18" s="1" t="str">
        <f>IF(OR(D18="",E18=""),"",D18*E18)</f>
        <v/>
      </c>
      <c r="G18" s="1" t="str">
        <f ca="1">IF(C18="","",TODAY()-C18)</f>
        <v/>
      </c>
      <c r="H18" s="1" t="str">
        <f ca="1">IF(G18="","",IF(G18&lt;=30,"0-30 يوم",IF(G18&lt;=60,"31-60 يوم",IF(G18&lt;=90,"61-90 يوم",IF(G18&lt;=180,"91-180 يوم",IF(G18&lt;=365,"181-365 يوم","+365 يوم"))))))</f>
        <v/>
      </c>
      <c r="I18" s="1" t="str">
        <f ca="1">IF(G18="","",IF(G18&gt;180,"راجع NRV/الركود","متابعة عادية"))</f>
        <v/>
      </c>
      <c r="J18" s="1"/>
    </row>
    <row r="19" spans="1:10" x14ac:dyDescent="0.15">
      <c r="A19" s="1"/>
      <c r="B19" s="1"/>
      <c r="C19" s="1"/>
      <c r="D19" s="1"/>
      <c r="E19" s="1"/>
      <c r="F19" s="1" t="str">
        <f>IF(OR(D19="",E19=""),"",D19*E19)</f>
        <v/>
      </c>
      <c r="G19" s="1" t="str">
        <f ca="1">IF(C19="","",TODAY()-C19)</f>
        <v/>
      </c>
      <c r="H19" s="1" t="str">
        <f ca="1">IF(G19="","",IF(G19&lt;=30,"0-30 يوم",IF(G19&lt;=60,"31-60 يوم",IF(G19&lt;=90,"61-90 يوم",IF(G19&lt;=180,"91-180 يوم",IF(G19&lt;=365,"181-365 يوم","+365 يوم"))))))</f>
        <v/>
      </c>
      <c r="I19" s="1" t="str">
        <f ca="1">IF(G19="","",IF(G19&gt;180,"راجع NRV/الركود","متابعة عادية"))</f>
        <v/>
      </c>
      <c r="J19" s="1"/>
    </row>
    <row r="20" spans="1:10" x14ac:dyDescent="0.15">
      <c r="A20" s="1"/>
      <c r="B20" s="1"/>
      <c r="C20" s="1"/>
      <c r="D20" s="1"/>
      <c r="E20" s="1"/>
      <c r="F20" s="1" t="str">
        <f>IF(OR(D20="",E20=""),"",D20*E20)</f>
        <v/>
      </c>
      <c r="G20" s="1" t="str">
        <f ca="1">IF(C20="","",TODAY()-C20)</f>
        <v/>
      </c>
      <c r="H20" s="1" t="str">
        <f ca="1">IF(G20="","",IF(G20&lt;=30,"0-30 يوم",IF(G20&lt;=60,"31-60 يوم",IF(G20&lt;=90,"61-90 يوم",IF(G20&lt;=180,"91-180 يوم",IF(G20&lt;=365,"181-365 يوم","+365 يوم"))))))</f>
        <v/>
      </c>
      <c r="I20" s="1" t="str">
        <f ca="1">IF(G20="","",IF(G20&gt;180,"راجع NRV/الركود","متابعة عادية"))</f>
        <v/>
      </c>
      <c r="J20" s="1"/>
    </row>
    <row r="21" spans="1:10" x14ac:dyDescent="0.15">
      <c r="A21" s="1"/>
      <c r="B21" s="1"/>
      <c r="C21" s="1"/>
      <c r="D21" s="1"/>
      <c r="E21" s="1"/>
      <c r="F21" s="1" t="str">
        <f>IF(OR(D21="",E21=""),"",D21*E21)</f>
        <v/>
      </c>
      <c r="G21" s="1" t="str">
        <f ca="1">IF(C21="","",TODAY()-C21)</f>
        <v/>
      </c>
      <c r="H21" s="1" t="str">
        <f ca="1">IF(G21="","",IF(G21&lt;=30,"0-30 يوم",IF(G21&lt;=60,"31-60 يوم",IF(G21&lt;=90,"61-90 يوم",IF(G21&lt;=180,"91-180 يوم",IF(G21&lt;=365,"181-365 يوم","+365 يوم"))))))</f>
        <v/>
      </c>
      <c r="I21" s="1" t="str">
        <f ca="1">IF(G21="","",IF(G21&gt;180,"راجع NRV/الركود","متابعة عادية"))</f>
        <v/>
      </c>
      <c r="J21" s="1"/>
    </row>
    <row r="22" spans="1:10" x14ac:dyDescent="0.15">
      <c r="A22" s="1"/>
      <c r="B22" s="1"/>
      <c r="C22" s="1"/>
      <c r="D22" s="1"/>
      <c r="E22" s="1"/>
      <c r="F22" s="1" t="str">
        <f>IF(OR(D22="",E22=""),"",D22*E22)</f>
        <v/>
      </c>
      <c r="G22" s="1" t="str">
        <f ca="1">IF(C22="","",TODAY()-C22)</f>
        <v/>
      </c>
      <c r="H22" s="1" t="str">
        <f ca="1">IF(G22="","",IF(G22&lt;=30,"0-30 يوم",IF(G22&lt;=60,"31-60 يوم",IF(G22&lt;=90,"61-90 يوم",IF(G22&lt;=180,"91-180 يوم",IF(G22&lt;=365,"181-365 يوم","+365 يوم"))))))</f>
        <v/>
      </c>
      <c r="I22" s="1" t="str">
        <f ca="1">IF(G22="","",IF(G22&gt;180,"راجع NRV/الركود","متابعة عادية"))</f>
        <v/>
      </c>
      <c r="J22" s="1"/>
    </row>
    <row r="23" spans="1:10" x14ac:dyDescent="0.15">
      <c r="A23" s="1"/>
      <c r="B23" s="1"/>
      <c r="C23" s="1"/>
      <c r="D23" s="1"/>
      <c r="E23" s="1"/>
      <c r="F23" s="1" t="str">
        <f>IF(OR(D23="",E23=""),"",D23*E23)</f>
        <v/>
      </c>
      <c r="G23" s="1" t="str">
        <f ca="1">IF(C23="","",TODAY()-C23)</f>
        <v/>
      </c>
      <c r="H23" s="1" t="str">
        <f ca="1">IF(G23="","",IF(G23&lt;=30,"0-30 يوم",IF(G23&lt;=60,"31-60 يوم",IF(G23&lt;=90,"61-90 يوم",IF(G23&lt;=180,"91-180 يوم",IF(G23&lt;=365,"181-365 يوم","+365 يوم"))))))</f>
        <v/>
      </c>
      <c r="I23" s="1" t="str">
        <f ca="1">IF(G23="","",IF(G23&gt;180,"راجع NRV/الركود","متابعة عادية"))</f>
        <v/>
      </c>
      <c r="J23" s="1"/>
    </row>
    <row r="24" spans="1:10" x14ac:dyDescent="0.15">
      <c r="A24" s="1"/>
      <c r="B24" s="1"/>
      <c r="C24" s="1"/>
      <c r="D24" s="1"/>
      <c r="E24" s="1"/>
      <c r="F24" s="1" t="str">
        <f>IF(OR(D24="",E24=""),"",D24*E24)</f>
        <v/>
      </c>
      <c r="G24" s="1" t="str">
        <f ca="1">IF(C24="","",TODAY()-C24)</f>
        <v/>
      </c>
      <c r="H24" s="1" t="str">
        <f ca="1">IF(G24="","",IF(G24&lt;=30,"0-30 يوم",IF(G24&lt;=60,"31-60 يوم",IF(G24&lt;=90,"61-90 يوم",IF(G24&lt;=180,"91-180 يوم",IF(G24&lt;=365,"181-365 يوم","+365 يوم"))))))</f>
        <v/>
      </c>
      <c r="I24" s="1" t="str">
        <f ca="1">IF(G24="","",IF(G24&gt;180,"راجع NRV/الركود","متابعة عادية"))</f>
        <v/>
      </c>
      <c r="J24" s="1"/>
    </row>
    <row r="25" spans="1:10" x14ac:dyDescent="0.15">
      <c r="A25" s="1"/>
      <c r="B25" s="1"/>
      <c r="C25" s="1"/>
      <c r="D25" s="1"/>
      <c r="E25" s="1"/>
      <c r="F25" s="1" t="str">
        <f>IF(OR(D25="",E25=""),"",D25*E25)</f>
        <v/>
      </c>
      <c r="G25" s="1" t="str">
        <f ca="1">IF(C25="","",TODAY()-C25)</f>
        <v/>
      </c>
      <c r="H25" s="1" t="str">
        <f ca="1">IF(G25="","",IF(G25&lt;=30,"0-30 يوم",IF(G25&lt;=60,"31-60 يوم",IF(G25&lt;=90,"61-90 يوم",IF(G25&lt;=180,"91-180 يوم",IF(G25&lt;=365,"181-365 يوم","+365 يوم"))))))</f>
        <v/>
      </c>
      <c r="I25" s="1" t="str">
        <f ca="1">IF(G25="","",IF(G25&gt;180,"راجع NRV/الركود","متابعة عادية"))</f>
        <v/>
      </c>
      <c r="J25" s="1"/>
    </row>
    <row r="26" spans="1:10" x14ac:dyDescent="0.15">
      <c r="A26" s="1"/>
      <c r="B26" s="1"/>
      <c r="C26" s="1"/>
      <c r="D26" s="1"/>
      <c r="E26" s="1"/>
      <c r="F26" s="1" t="str">
        <f>IF(OR(D26="",E26=""),"",D26*E26)</f>
        <v/>
      </c>
      <c r="G26" s="1" t="str">
        <f ca="1">IF(C26="","",TODAY()-C26)</f>
        <v/>
      </c>
      <c r="H26" s="1" t="str">
        <f ca="1">IF(G26="","",IF(G26&lt;=30,"0-30 يوم",IF(G26&lt;=60,"31-60 يوم",IF(G26&lt;=90,"61-90 يوم",IF(G26&lt;=180,"91-180 يوم",IF(G26&lt;=365,"181-365 يوم","+365 يوم"))))))</f>
        <v/>
      </c>
      <c r="I26" s="1" t="str">
        <f ca="1">IF(G26="","",IF(G26&gt;180,"راجع NRV/الركود","متابعة عادية"))</f>
        <v/>
      </c>
      <c r="J26" s="1"/>
    </row>
    <row r="27" spans="1:10" x14ac:dyDescent="0.15">
      <c r="A27" s="1"/>
      <c r="B27" s="1"/>
      <c r="C27" s="1"/>
      <c r="D27" s="1"/>
      <c r="E27" s="1"/>
      <c r="F27" s="1" t="str">
        <f>IF(OR(D27="",E27=""),"",D27*E27)</f>
        <v/>
      </c>
      <c r="G27" s="1" t="str">
        <f ca="1">IF(C27="","",TODAY()-C27)</f>
        <v/>
      </c>
      <c r="H27" s="1" t="str">
        <f ca="1">IF(G27="","",IF(G27&lt;=30,"0-30 يوم",IF(G27&lt;=60,"31-60 يوم",IF(G27&lt;=90,"61-90 يوم",IF(G27&lt;=180,"91-180 يوم",IF(G27&lt;=365,"181-365 يوم","+365 يوم"))))))</f>
        <v/>
      </c>
      <c r="I27" s="1" t="str">
        <f ca="1">IF(G27="","",IF(G27&gt;180,"راجع NRV/الركود","متابعة عادية"))</f>
        <v/>
      </c>
      <c r="J27" s="1"/>
    </row>
    <row r="28" spans="1:10" x14ac:dyDescent="0.15">
      <c r="A28" s="1"/>
      <c r="B28" s="1"/>
      <c r="C28" s="1"/>
      <c r="D28" s="1"/>
      <c r="E28" s="1"/>
      <c r="F28" s="1" t="str">
        <f>IF(OR(D28="",E28=""),"",D28*E28)</f>
        <v/>
      </c>
      <c r="G28" s="1" t="str">
        <f ca="1">IF(C28="","",TODAY()-C28)</f>
        <v/>
      </c>
      <c r="H28" s="1" t="str">
        <f ca="1">IF(G28="","",IF(G28&lt;=30,"0-30 يوم",IF(G28&lt;=60,"31-60 يوم",IF(G28&lt;=90,"61-90 يوم",IF(G28&lt;=180,"91-180 يوم",IF(G28&lt;=365,"181-365 يوم","+365 يوم"))))))</f>
        <v/>
      </c>
      <c r="I28" s="1" t="str">
        <f ca="1">IF(G28="","",IF(G28&gt;180,"راجع NRV/الركود","متابعة عادية"))</f>
        <v/>
      </c>
      <c r="J28" s="1"/>
    </row>
    <row r="29" spans="1:10" x14ac:dyDescent="0.15">
      <c r="A29" s="1"/>
      <c r="B29" s="1"/>
      <c r="C29" s="1"/>
      <c r="D29" s="1"/>
      <c r="E29" s="1"/>
      <c r="F29" s="1" t="str">
        <f>IF(OR(D29="",E29=""),"",D29*E29)</f>
        <v/>
      </c>
      <c r="G29" s="1" t="str">
        <f ca="1">IF(C29="","",TODAY()-C29)</f>
        <v/>
      </c>
      <c r="H29" s="1" t="str">
        <f ca="1">IF(G29="","",IF(G29&lt;=30,"0-30 يوم",IF(G29&lt;=60,"31-60 يوم",IF(G29&lt;=90,"61-90 يوم",IF(G29&lt;=180,"91-180 يوم",IF(G29&lt;=365,"181-365 يوم","+365 يوم"))))))</f>
        <v/>
      </c>
      <c r="I29" s="1" t="str">
        <f ca="1">IF(G29="","",IF(G29&gt;180,"راجع NRV/الركود","متابعة عادية"))</f>
        <v/>
      </c>
      <c r="J29" s="1"/>
    </row>
    <row r="30" spans="1:10" x14ac:dyDescent="0.15">
      <c r="A30" s="1"/>
      <c r="B30" s="1"/>
      <c r="C30" s="1"/>
      <c r="D30" s="1"/>
      <c r="E30" s="1"/>
      <c r="F30" s="1" t="str">
        <f>IF(OR(D30="",E30=""),"",D30*E30)</f>
        <v/>
      </c>
      <c r="G30" s="1" t="str">
        <f ca="1">IF(C30="","",TODAY()-C30)</f>
        <v/>
      </c>
      <c r="H30" s="1" t="str">
        <f ca="1">IF(G30="","",IF(G30&lt;=30,"0-30 يوم",IF(G30&lt;=60,"31-60 يوم",IF(G30&lt;=90,"61-90 يوم",IF(G30&lt;=180,"91-180 يوم",IF(G30&lt;=365,"181-365 يوم","+365 يوم"))))))</f>
        <v/>
      </c>
      <c r="I30" s="1" t="str">
        <f ca="1">IF(G30="","",IF(G30&gt;180,"راجع NRV/الركود","متابعة عادية"))</f>
        <v/>
      </c>
      <c r="J30" s="1"/>
    </row>
    <row r="31" spans="1:10" x14ac:dyDescent="0.15">
      <c r="A31" s="1"/>
      <c r="B31" s="1"/>
      <c r="C31" s="1"/>
      <c r="D31" s="1"/>
      <c r="E31" s="1"/>
      <c r="F31" s="1" t="str">
        <f>IF(OR(D31="",E31=""),"",D31*E31)</f>
        <v/>
      </c>
      <c r="G31" s="1" t="str">
        <f ca="1">IF(C31="","",TODAY()-C31)</f>
        <v/>
      </c>
      <c r="H31" s="1" t="str">
        <f ca="1">IF(G31="","",IF(G31&lt;=30,"0-30 يوم",IF(G31&lt;=60,"31-60 يوم",IF(G31&lt;=90,"61-90 يوم",IF(G31&lt;=180,"91-180 يوم",IF(G31&lt;=365,"181-365 يوم","+365 يوم"))))))</f>
        <v/>
      </c>
      <c r="I31" s="1" t="str">
        <f ca="1">IF(G31="","",IF(G31&gt;180,"راجع NRV/الركود","متابعة عادية"))</f>
        <v/>
      </c>
      <c r="J31" s="1"/>
    </row>
    <row r="32" spans="1:10" x14ac:dyDescent="0.15">
      <c r="A32" s="1"/>
      <c r="B32" s="1"/>
      <c r="C32" s="1"/>
      <c r="D32" s="1"/>
      <c r="E32" s="1"/>
      <c r="F32" s="1" t="str">
        <f>IF(OR(D32="",E32=""),"",D32*E32)</f>
        <v/>
      </c>
      <c r="G32" s="1" t="str">
        <f ca="1">IF(C32="","",TODAY()-C32)</f>
        <v/>
      </c>
      <c r="H32" s="1" t="str">
        <f ca="1">IF(G32="","",IF(G32&lt;=30,"0-30 يوم",IF(G32&lt;=60,"31-60 يوم",IF(G32&lt;=90,"61-90 يوم",IF(G32&lt;=180,"91-180 يوم",IF(G32&lt;=365,"181-365 يوم","+365 يوم"))))))</f>
        <v/>
      </c>
      <c r="I32" s="1" t="str">
        <f ca="1">IF(G32="","",IF(G32&gt;180,"راجع NRV/الركود","متابعة عادية"))</f>
        <v/>
      </c>
      <c r="J32" s="1"/>
    </row>
    <row r="33" spans="1:10" x14ac:dyDescent="0.15">
      <c r="A33" s="1"/>
      <c r="B33" s="1"/>
      <c r="C33" s="1"/>
      <c r="D33" s="1"/>
      <c r="E33" s="1"/>
      <c r="F33" s="1" t="str">
        <f>IF(OR(D33="",E33=""),"",D33*E33)</f>
        <v/>
      </c>
      <c r="G33" s="1" t="str">
        <f ca="1">IF(C33="","",TODAY()-C33)</f>
        <v/>
      </c>
      <c r="H33" s="1" t="str">
        <f ca="1">IF(G33="","",IF(G33&lt;=30,"0-30 يوم",IF(G33&lt;=60,"31-60 يوم",IF(G33&lt;=90,"61-90 يوم",IF(G33&lt;=180,"91-180 يوم",IF(G33&lt;=365,"181-365 يوم","+365 يوم"))))))</f>
        <v/>
      </c>
      <c r="I33" s="1" t="str">
        <f ca="1">IF(G33="","",IF(G33&gt;180,"راجع NRV/الركود","متابعة عادية"))</f>
        <v/>
      </c>
      <c r="J33" s="1"/>
    </row>
    <row r="34" spans="1:10" x14ac:dyDescent="0.15">
      <c r="A34" s="1"/>
      <c r="B34" s="1"/>
      <c r="C34" s="1"/>
      <c r="D34" s="1"/>
      <c r="E34" s="1"/>
      <c r="F34" s="1" t="str">
        <f>IF(OR(D34="",E34=""),"",D34*E34)</f>
        <v/>
      </c>
      <c r="G34" s="1" t="str">
        <f ca="1">IF(C34="","",TODAY()-C34)</f>
        <v/>
      </c>
      <c r="H34" s="1" t="str">
        <f ca="1">IF(G34="","",IF(G34&lt;=30,"0-30 يوم",IF(G34&lt;=60,"31-60 يوم",IF(G34&lt;=90,"61-90 يوم",IF(G34&lt;=180,"91-180 يوم",IF(G34&lt;=365,"181-365 يوم","+365 يوم"))))))</f>
        <v/>
      </c>
      <c r="I34" s="1" t="str">
        <f ca="1">IF(G34="","",IF(G34&gt;180,"راجع NRV/الركود","متابعة عادية"))</f>
        <v/>
      </c>
      <c r="J34" s="1"/>
    </row>
    <row r="35" spans="1:10" x14ac:dyDescent="0.15">
      <c r="A35" s="1"/>
      <c r="B35" s="1"/>
      <c r="C35" s="1"/>
      <c r="D35" s="1"/>
      <c r="E35" s="1"/>
      <c r="F35" s="1" t="str">
        <f>IF(OR(D35="",E35=""),"",D35*E35)</f>
        <v/>
      </c>
      <c r="G35" s="1" t="str">
        <f ca="1">IF(C35="","",TODAY()-C35)</f>
        <v/>
      </c>
      <c r="H35" s="1" t="str">
        <f ca="1">IF(G35="","",IF(G35&lt;=30,"0-30 يوم",IF(G35&lt;=60,"31-60 يوم",IF(G35&lt;=90,"61-90 يوم",IF(G35&lt;=180,"91-180 يوم",IF(G35&lt;=365,"181-365 يوم","+365 يوم"))))))</f>
        <v/>
      </c>
      <c r="I35" s="1" t="str">
        <f ca="1">IF(G35="","",IF(G35&gt;180,"راجع NRV/الركود","متابعة عادية"))</f>
        <v/>
      </c>
      <c r="J35" s="1"/>
    </row>
    <row r="36" spans="1:10" x14ac:dyDescent="0.15">
      <c r="A36" s="1"/>
      <c r="B36" s="1"/>
      <c r="C36" s="1"/>
      <c r="D36" s="1"/>
      <c r="E36" s="1"/>
      <c r="F36" s="1" t="str">
        <f>IF(OR(D36="",E36=""),"",D36*E36)</f>
        <v/>
      </c>
      <c r="G36" s="1" t="str">
        <f ca="1">IF(C36="","",TODAY()-C36)</f>
        <v/>
      </c>
      <c r="H36" s="1" t="str">
        <f ca="1">IF(G36="","",IF(G36&lt;=30,"0-30 يوم",IF(G36&lt;=60,"31-60 يوم",IF(G36&lt;=90,"61-90 يوم",IF(G36&lt;=180,"91-180 يوم",IF(G36&lt;=365,"181-365 يوم","+365 يوم"))))))</f>
        <v/>
      </c>
      <c r="I36" s="1" t="str">
        <f ca="1">IF(G36="","",IF(G36&gt;180,"راجع NRV/الركود","متابعة عادية"))</f>
        <v/>
      </c>
      <c r="J36" s="1"/>
    </row>
    <row r="37" spans="1:10" x14ac:dyDescent="0.15">
      <c r="A37" s="1"/>
      <c r="B37" s="1"/>
      <c r="C37" s="1"/>
      <c r="D37" s="1"/>
      <c r="E37" s="1"/>
      <c r="F37" s="1" t="str">
        <f>IF(OR(D37="",E37=""),"",D37*E37)</f>
        <v/>
      </c>
      <c r="G37" s="1" t="str">
        <f ca="1">IF(C37="","",TODAY()-C37)</f>
        <v/>
      </c>
      <c r="H37" s="1" t="str">
        <f ca="1">IF(G37="","",IF(G37&lt;=30,"0-30 يوم",IF(G37&lt;=60,"31-60 يوم",IF(G37&lt;=90,"61-90 يوم",IF(G37&lt;=180,"91-180 يوم",IF(G37&lt;=365,"181-365 يوم","+365 يوم"))))))</f>
        <v/>
      </c>
      <c r="I37" s="1" t="str">
        <f ca="1">IF(G37="","",IF(G37&gt;180,"راجع NRV/الركود","متابعة عادية"))</f>
        <v/>
      </c>
      <c r="J37" s="1"/>
    </row>
    <row r="38" spans="1:10" x14ac:dyDescent="0.15">
      <c r="A38" s="1"/>
      <c r="B38" s="1"/>
      <c r="C38" s="1"/>
      <c r="D38" s="1"/>
      <c r="E38" s="1"/>
      <c r="F38" s="1" t="str">
        <f>IF(OR(D38="",E38=""),"",D38*E38)</f>
        <v/>
      </c>
      <c r="G38" s="1" t="str">
        <f ca="1">IF(C38="","",TODAY()-C38)</f>
        <v/>
      </c>
      <c r="H38" s="1" t="str">
        <f ca="1">IF(G38="","",IF(G38&lt;=30,"0-30 يوم",IF(G38&lt;=60,"31-60 يوم",IF(G38&lt;=90,"61-90 يوم",IF(G38&lt;=180,"91-180 يوم",IF(G38&lt;=365,"181-365 يوم","+365 يوم"))))))</f>
        <v/>
      </c>
      <c r="I38" s="1" t="str">
        <f ca="1">IF(G38="","",IF(G38&gt;180,"راجع NRV/الركود","متابعة عادية"))</f>
        <v/>
      </c>
      <c r="J38" s="1"/>
    </row>
    <row r="39" spans="1:10" x14ac:dyDescent="0.15">
      <c r="A39" s="1"/>
      <c r="B39" s="1"/>
      <c r="C39" s="1"/>
      <c r="D39" s="1"/>
      <c r="E39" s="1"/>
      <c r="F39" s="1" t="str">
        <f>IF(OR(D39="",E39=""),"",D39*E39)</f>
        <v/>
      </c>
      <c r="G39" s="1" t="str">
        <f ca="1">IF(C39="","",TODAY()-C39)</f>
        <v/>
      </c>
      <c r="H39" s="1" t="str">
        <f ca="1">IF(G39="","",IF(G39&lt;=30,"0-30 يوم",IF(G39&lt;=60,"31-60 يوم",IF(G39&lt;=90,"61-90 يوم",IF(G39&lt;=180,"91-180 يوم",IF(G39&lt;=365,"181-365 يوم","+365 يوم"))))))</f>
        <v/>
      </c>
      <c r="I39" s="1" t="str">
        <f ca="1">IF(G39="","",IF(G39&gt;180,"راجع NRV/الركود","متابعة عادية"))</f>
        <v/>
      </c>
      <c r="J39" s="1"/>
    </row>
    <row r="40" spans="1:10" x14ac:dyDescent="0.15">
      <c r="A40" s="1"/>
      <c r="B40" s="1"/>
      <c r="C40" s="1"/>
      <c r="D40" s="1"/>
      <c r="E40" s="1"/>
      <c r="F40" s="1" t="str">
        <f>IF(OR(D40="",E40=""),"",D40*E40)</f>
        <v/>
      </c>
      <c r="G40" s="1" t="str">
        <f ca="1">IF(C40="","",TODAY()-C40)</f>
        <v/>
      </c>
      <c r="H40" s="1" t="str">
        <f ca="1">IF(G40="","",IF(G40&lt;=30,"0-30 يوم",IF(G40&lt;=60,"31-60 يوم",IF(G40&lt;=90,"61-90 يوم",IF(G40&lt;=180,"91-180 يوم",IF(G40&lt;=365,"181-365 يوم","+365 يوم"))))))</f>
        <v/>
      </c>
      <c r="I40" s="1" t="str">
        <f ca="1">IF(G40="","",IF(G40&gt;180,"راجع NRV/الركود","متابعة عادية"))</f>
        <v/>
      </c>
      <c r="J40" s="1"/>
    </row>
    <row r="41" spans="1:10" x14ac:dyDescent="0.15">
      <c r="A41" s="1"/>
      <c r="B41" s="1"/>
      <c r="C41" s="1"/>
      <c r="D41" s="1"/>
      <c r="E41" s="1"/>
      <c r="F41" s="1" t="str">
        <f>IF(OR(D41="",E41=""),"",D41*E41)</f>
        <v/>
      </c>
      <c r="G41" s="1" t="str">
        <f ca="1">IF(C41="","",TODAY()-C41)</f>
        <v/>
      </c>
      <c r="H41" s="1" t="str">
        <f ca="1">IF(G41="","",IF(G41&lt;=30,"0-30 يوم",IF(G41&lt;=60,"31-60 يوم",IF(G41&lt;=90,"61-90 يوم",IF(G41&lt;=180,"91-180 يوم",IF(G41&lt;=365,"181-365 يوم","+365 يوم"))))))</f>
        <v/>
      </c>
      <c r="I41" s="1" t="str">
        <f ca="1">IF(G41="","",IF(G41&gt;180,"راجع NRV/الركود","متابعة عادية"))</f>
        <v/>
      </c>
      <c r="J41" s="1"/>
    </row>
    <row r="42" spans="1:10" x14ac:dyDescent="0.15">
      <c r="A42" s="1"/>
      <c r="B42" s="1"/>
      <c r="C42" s="1"/>
      <c r="D42" s="1"/>
      <c r="E42" s="1"/>
      <c r="F42" s="1" t="str">
        <f>IF(OR(D42="",E42=""),"",D42*E42)</f>
        <v/>
      </c>
      <c r="G42" s="1" t="str">
        <f ca="1">IF(C42="","",TODAY()-C42)</f>
        <v/>
      </c>
      <c r="H42" s="1" t="str">
        <f ca="1">IF(G42="","",IF(G42&lt;=30,"0-30 يوم",IF(G42&lt;=60,"31-60 يوم",IF(G42&lt;=90,"61-90 يوم",IF(G42&lt;=180,"91-180 يوم",IF(G42&lt;=365,"181-365 يوم","+365 يوم"))))))</f>
        <v/>
      </c>
      <c r="I42" s="1" t="str">
        <f ca="1">IF(G42="","",IF(G42&gt;180,"راجع NRV/الركود","متابعة عادية"))</f>
        <v/>
      </c>
      <c r="J42" s="1"/>
    </row>
    <row r="43" spans="1:10" x14ac:dyDescent="0.15">
      <c r="A43" s="1"/>
      <c r="B43" s="1"/>
      <c r="C43" s="1"/>
      <c r="D43" s="1"/>
      <c r="E43" s="1"/>
      <c r="F43" s="1" t="str">
        <f>IF(OR(D43="",E43=""),"",D43*E43)</f>
        <v/>
      </c>
      <c r="G43" s="1" t="str">
        <f ca="1">IF(C43="","",TODAY()-C43)</f>
        <v/>
      </c>
      <c r="H43" s="1" t="str">
        <f ca="1">IF(G43="","",IF(G43&lt;=30,"0-30 يوم",IF(G43&lt;=60,"31-60 يوم",IF(G43&lt;=90,"61-90 يوم",IF(G43&lt;=180,"91-180 يوم",IF(G43&lt;=365,"181-365 يوم","+365 يوم"))))))</f>
        <v/>
      </c>
      <c r="I43" s="1" t="str">
        <f ca="1">IF(G43="","",IF(G43&gt;180,"راجع NRV/الركود","متابعة عادية"))</f>
        <v/>
      </c>
      <c r="J43" s="1"/>
    </row>
    <row r="44" spans="1:10" x14ac:dyDescent="0.15">
      <c r="A44" s="1"/>
      <c r="B44" s="1"/>
      <c r="C44" s="1"/>
      <c r="D44" s="1"/>
      <c r="E44" s="1"/>
      <c r="F44" s="1" t="str">
        <f>IF(OR(D44="",E44=""),"",D44*E44)</f>
        <v/>
      </c>
      <c r="G44" s="1" t="str">
        <f ca="1">IF(C44="","",TODAY()-C44)</f>
        <v/>
      </c>
      <c r="H44" s="1" t="str">
        <f ca="1">IF(G44="","",IF(G44&lt;=30,"0-30 يوم",IF(G44&lt;=60,"31-60 يوم",IF(G44&lt;=90,"61-90 يوم",IF(G44&lt;=180,"91-180 يوم",IF(G44&lt;=365,"181-365 يوم","+365 يوم"))))))</f>
        <v/>
      </c>
      <c r="I44" s="1" t="str">
        <f ca="1">IF(G44="","",IF(G44&gt;180,"راجع NRV/الركود","متابعة عادية"))</f>
        <v/>
      </c>
      <c r="J44" s="1"/>
    </row>
    <row r="45" spans="1:10" x14ac:dyDescent="0.15">
      <c r="A45" s="1"/>
      <c r="B45" s="1"/>
      <c r="C45" s="1"/>
      <c r="D45" s="1"/>
      <c r="E45" s="1"/>
      <c r="F45" s="1" t="str">
        <f>IF(OR(D45="",E45=""),"",D45*E45)</f>
        <v/>
      </c>
      <c r="G45" s="1" t="str">
        <f ca="1">IF(C45="","",TODAY()-C45)</f>
        <v/>
      </c>
      <c r="H45" s="1" t="str">
        <f ca="1">IF(G45="","",IF(G45&lt;=30,"0-30 يوم",IF(G45&lt;=60,"31-60 يوم",IF(G45&lt;=90,"61-90 يوم",IF(G45&lt;=180,"91-180 يوم",IF(G45&lt;=365,"181-365 يوم","+365 يوم"))))))</f>
        <v/>
      </c>
      <c r="I45" s="1" t="str">
        <f ca="1">IF(G45="","",IF(G45&gt;180,"راجع NRV/الركود","متابعة عادية"))</f>
        <v/>
      </c>
      <c r="J45" s="1"/>
    </row>
    <row r="46" spans="1:10" x14ac:dyDescent="0.15">
      <c r="A46" s="1"/>
      <c r="B46" s="1"/>
      <c r="C46" s="1"/>
      <c r="D46" s="1"/>
      <c r="E46" s="1"/>
      <c r="F46" s="1" t="str">
        <f>IF(OR(D46="",E46=""),"",D46*E46)</f>
        <v/>
      </c>
      <c r="G46" s="1" t="str">
        <f ca="1">IF(C46="","",TODAY()-C46)</f>
        <v/>
      </c>
      <c r="H46" s="1" t="str">
        <f ca="1">IF(G46="","",IF(G46&lt;=30,"0-30 يوم",IF(G46&lt;=60,"31-60 يوم",IF(G46&lt;=90,"61-90 يوم",IF(G46&lt;=180,"91-180 يوم",IF(G46&lt;=365,"181-365 يوم","+365 يوم"))))))</f>
        <v/>
      </c>
      <c r="I46" s="1" t="str">
        <f ca="1">IF(G46="","",IF(G46&gt;180,"راجع NRV/الركود","متابعة عادية"))</f>
        <v/>
      </c>
      <c r="J46" s="1"/>
    </row>
    <row r="47" spans="1:10" x14ac:dyDescent="0.15">
      <c r="A47" s="1"/>
      <c r="B47" s="1"/>
      <c r="C47" s="1"/>
      <c r="D47" s="1"/>
      <c r="E47" s="1"/>
      <c r="F47" s="1" t="str">
        <f>IF(OR(D47="",E47=""),"",D47*E47)</f>
        <v/>
      </c>
      <c r="G47" s="1" t="str">
        <f ca="1">IF(C47="","",TODAY()-C47)</f>
        <v/>
      </c>
      <c r="H47" s="1" t="str">
        <f ca="1">IF(G47="","",IF(G47&lt;=30,"0-30 يوم",IF(G47&lt;=60,"31-60 يوم",IF(G47&lt;=90,"61-90 يوم",IF(G47&lt;=180,"91-180 يوم",IF(G47&lt;=365,"181-365 يوم","+365 يوم"))))))</f>
        <v/>
      </c>
      <c r="I47" s="1" t="str">
        <f ca="1">IF(G47="","",IF(G47&gt;180,"راجع NRV/الركود","متابعة عادية"))</f>
        <v/>
      </c>
      <c r="J47" s="1"/>
    </row>
    <row r="48" spans="1:10" x14ac:dyDescent="0.15">
      <c r="A48" s="1"/>
      <c r="B48" s="1"/>
      <c r="C48" s="1"/>
      <c r="D48" s="1"/>
      <c r="E48" s="1"/>
      <c r="F48" s="1" t="str">
        <f>IF(OR(D48="",E48=""),"",D48*E48)</f>
        <v/>
      </c>
      <c r="G48" s="1" t="str">
        <f ca="1">IF(C48="","",TODAY()-C48)</f>
        <v/>
      </c>
      <c r="H48" s="1" t="str">
        <f ca="1">IF(G48="","",IF(G48&lt;=30,"0-30 يوم",IF(G48&lt;=60,"31-60 يوم",IF(G48&lt;=90,"61-90 يوم",IF(G48&lt;=180,"91-180 يوم",IF(G48&lt;=365,"181-365 يوم","+365 يوم"))))))</f>
        <v/>
      </c>
      <c r="I48" s="1" t="str">
        <f ca="1">IF(G48="","",IF(G48&gt;180,"راجع NRV/الركود","متابعة عادية"))</f>
        <v/>
      </c>
      <c r="J48" s="1"/>
    </row>
    <row r="49" spans="1:10" x14ac:dyDescent="0.15">
      <c r="A49" s="1"/>
      <c r="B49" s="1"/>
      <c r="C49" s="1"/>
      <c r="D49" s="1"/>
      <c r="E49" s="1"/>
      <c r="F49" s="1" t="str">
        <f>IF(OR(D49="",E49=""),"",D49*E49)</f>
        <v/>
      </c>
      <c r="G49" s="1" t="str">
        <f ca="1">IF(C49="","",TODAY()-C49)</f>
        <v/>
      </c>
      <c r="H49" s="1" t="str">
        <f ca="1">IF(G49="","",IF(G49&lt;=30,"0-30 يوم",IF(G49&lt;=60,"31-60 يوم",IF(G49&lt;=90,"61-90 يوم",IF(G49&lt;=180,"91-180 يوم",IF(G49&lt;=365,"181-365 يوم","+365 يوم"))))))</f>
        <v/>
      </c>
      <c r="I49" s="1" t="str">
        <f ca="1">IF(G49="","",IF(G49&gt;180,"راجع NRV/الركود","متابعة عادية"))</f>
        <v/>
      </c>
      <c r="J49" s="1"/>
    </row>
    <row r="50" spans="1:10" x14ac:dyDescent="0.15">
      <c r="A50" s="1"/>
      <c r="B50" s="1"/>
      <c r="C50" s="1"/>
      <c r="D50" s="1"/>
      <c r="E50" s="1"/>
      <c r="F50" s="1" t="str">
        <f>IF(OR(D50="",E50=""),"",D50*E50)</f>
        <v/>
      </c>
      <c r="G50" s="1" t="str">
        <f ca="1">IF(C50="","",TODAY()-C50)</f>
        <v/>
      </c>
      <c r="H50" s="1" t="str">
        <f ca="1">IF(G50="","",IF(G50&lt;=30,"0-30 يوم",IF(G50&lt;=60,"31-60 يوم",IF(G50&lt;=90,"61-90 يوم",IF(G50&lt;=180,"91-180 يوم",IF(G50&lt;=365,"181-365 يوم","+365 يوم"))))))</f>
        <v/>
      </c>
      <c r="I50" s="1" t="str">
        <f ca="1">IF(G50="","",IF(G50&gt;180,"راجع NRV/الركود","متابعة عادية"))</f>
        <v/>
      </c>
      <c r="J50" s="1"/>
    </row>
    <row r="51" spans="1:10" x14ac:dyDescent="0.15">
      <c r="A51" s="1"/>
      <c r="B51" s="1"/>
      <c r="C51" s="1"/>
      <c r="D51" s="1"/>
      <c r="E51" s="1"/>
      <c r="F51" s="1" t="str">
        <f>IF(OR(D51="",E51=""),"",D51*E51)</f>
        <v/>
      </c>
      <c r="G51" s="1" t="str">
        <f ca="1">IF(C51="","",TODAY()-C51)</f>
        <v/>
      </c>
      <c r="H51" s="1" t="str">
        <f ca="1">IF(G51="","",IF(G51&lt;=30,"0-30 يوم",IF(G51&lt;=60,"31-60 يوم",IF(G51&lt;=90,"61-90 يوم",IF(G51&lt;=180,"91-180 يوم",IF(G51&lt;=365,"181-365 يوم","+365 يوم"))))))</f>
        <v/>
      </c>
      <c r="I51" s="1" t="str">
        <f ca="1">IF(G51="","",IF(G51&gt;180,"راجع NRV/الركود","متابعة عادية"))</f>
        <v/>
      </c>
      <c r="J51" s="1"/>
    </row>
    <row r="52" spans="1:10" x14ac:dyDescent="0.15">
      <c r="A52" s="1"/>
      <c r="B52" s="1"/>
      <c r="C52" s="1"/>
      <c r="D52" s="1"/>
      <c r="E52" s="1"/>
      <c r="F52" s="1" t="str">
        <f>IF(OR(D52="",E52=""),"",D52*E52)</f>
        <v/>
      </c>
      <c r="G52" s="1" t="str">
        <f ca="1">IF(C52="","",TODAY()-C52)</f>
        <v/>
      </c>
      <c r="H52" s="1" t="str">
        <f ca="1">IF(G52="","",IF(G52&lt;=30,"0-30 يوم",IF(G52&lt;=60,"31-60 يوم",IF(G52&lt;=90,"61-90 يوم",IF(G52&lt;=180,"91-180 يوم",IF(G52&lt;=365,"181-365 يوم","+365 يوم"))))))</f>
        <v/>
      </c>
      <c r="I52" s="1" t="str">
        <f ca="1">IF(G52="","",IF(G52&gt;180,"راجع NRV/الركود","متابعة عادية"))</f>
        <v/>
      </c>
      <c r="J52" s="1"/>
    </row>
    <row r="53" spans="1:10" x14ac:dyDescent="0.15">
      <c r="A53" s="1"/>
      <c r="B53" s="1"/>
      <c r="C53" s="1"/>
      <c r="D53" s="1"/>
      <c r="E53" s="1"/>
      <c r="F53" s="1" t="str">
        <f>IF(OR(D53="",E53=""),"",D53*E53)</f>
        <v/>
      </c>
      <c r="G53" s="1" t="str">
        <f ca="1">IF(C53="","",TODAY()-C53)</f>
        <v/>
      </c>
      <c r="H53" s="1" t="str">
        <f ca="1">IF(G53="","",IF(G53&lt;=30,"0-30 يوم",IF(G53&lt;=60,"31-60 يوم",IF(G53&lt;=90,"61-90 يوم",IF(G53&lt;=180,"91-180 يوم",IF(G53&lt;=365,"181-365 يوم","+365 يوم"))))))</f>
        <v/>
      </c>
      <c r="I53" s="1" t="str">
        <f ca="1">IF(G53="","",IF(G53&gt;180,"راجع NRV/الركود","متابعة عادية"))</f>
        <v/>
      </c>
      <c r="J53" s="1"/>
    </row>
    <row r="54" spans="1:10" x14ac:dyDescent="0.15">
      <c r="A54" s="1"/>
      <c r="B54" s="1"/>
      <c r="C54" s="1"/>
      <c r="D54" s="1"/>
      <c r="E54" s="1"/>
      <c r="F54" s="1" t="str">
        <f>IF(OR(D54="",E54=""),"",D54*E54)</f>
        <v/>
      </c>
      <c r="G54" s="1" t="str">
        <f ca="1">IF(C54="","",TODAY()-C54)</f>
        <v/>
      </c>
      <c r="H54" s="1" t="str">
        <f ca="1">IF(G54="","",IF(G54&lt;=30,"0-30 يوم",IF(G54&lt;=60,"31-60 يوم",IF(G54&lt;=90,"61-90 يوم",IF(G54&lt;=180,"91-180 يوم",IF(G54&lt;=365,"181-365 يوم","+365 يوم"))))))</f>
        <v/>
      </c>
      <c r="I54" s="1" t="str">
        <f ca="1">IF(G54="","",IF(G54&gt;180,"راجع NRV/الركود","متابعة عادية"))</f>
        <v/>
      </c>
      <c r="J54" s="1"/>
    </row>
    <row r="55" spans="1:10" x14ac:dyDescent="0.15">
      <c r="A55" s="1"/>
      <c r="B55" s="1"/>
      <c r="C55" s="1"/>
      <c r="D55" s="1"/>
      <c r="E55" s="1"/>
      <c r="F55" s="1" t="str">
        <f>IF(OR(D55="",E55=""),"",D55*E55)</f>
        <v/>
      </c>
      <c r="G55" s="1" t="str">
        <f ca="1">IF(C55="","",TODAY()-C55)</f>
        <v/>
      </c>
      <c r="H55" s="1" t="str">
        <f ca="1">IF(G55="","",IF(G55&lt;=30,"0-30 يوم",IF(G55&lt;=60,"31-60 يوم",IF(G55&lt;=90,"61-90 يوم",IF(G55&lt;=180,"91-180 يوم",IF(G55&lt;=365,"181-365 يوم","+365 يوم"))))))</f>
        <v/>
      </c>
      <c r="I55" s="1" t="str">
        <f ca="1">IF(G55="","",IF(G55&gt;180,"راجع NRV/الركود","متابعة عادية"))</f>
        <v/>
      </c>
      <c r="J55" s="1"/>
    </row>
    <row r="56" spans="1:10" x14ac:dyDescent="0.15">
      <c r="A56" s="1"/>
      <c r="B56" s="1"/>
      <c r="C56" s="1"/>
      <c r="D56" s="1"/>
      <c r="E56" s="1"/>
      <c r="F56" s="1" t="str">
        <f>IF(OR(D56="",E56=""),"",D56*E56)</f>
        <v/>
      </c>
      <c r="G56" s="1" t="str">
        <f ca="1">IF(C56="","",TODAY()-C56)</f>
        <v/>
      </c>
      <c r="H56" s="1" t="str">
        <f ca="1">IF(G56="","",IF(G56&lt;=30,"0-30 يوم",IF(G56&lt;=60,"31-60 يوم",IF(G56&lt;=90,"61-90 يوم",IF(G56&lt;=180,"91-180 يوم",IF(G56&lt;=365,"181-365 يوم","+365 يوم"))))))</f>
        <v/>
      </c>
      <c r="I56" s="1" t="str">
        <f ca="1">IF(G56="","",IF(G56&gt;180,"راجع NRV/الركود","متابعة عادية"))</f>
        <v/>
      </c>
      <c r="J56" s="1"/>
    </row>
    <row r="57" spans="1:10" x14ac:dyDescent="0.15">
      <c r="A57" s="1"/>
      <c r="B57" s="1"/>
      <c r="C57" s="1"/>
      <c r="D57" s="1"/>
      <c r="E57" s="1"/>
      <c r="F57" s="1" t="str">
        <f>IF(OR(D57="",E57=""),"",D57*E57)</f>
        <v/>
      </c>
      <c r="G57" s="1" t="str">
        <f ca="1">IF(C57="","",TODAY()-C57)</f>
        <v/>
      </c>
      <c r="H57" s="1" t="str">
        <f ca="1">IF(G57="","",IF(G57&lt;=30,"0-30 يوم",IF(G57&lt;=60,"31-60 يوم",IF(G57&lt;=90,"61-90 يوم",IF(G57&lt;=180,"91-180 يوم",IF(G57&lt;=365,"181-365 يوم","+365 يوم"))))))</f>
        <v/>
      </c>
      <c r="I57" s="1" t="str">
        <f ca="1">IF(G57="","",IF(G57&gt;180,"راجع NRV/الركود","متابعة عادية"))</f>
        <v/>
      </c>
      <c r="J57" s="1"/>
    </row>
    <row r="58" spans="1:10" x14ac:dyDescent="0.15">
      <c r="A58" s="1"/>
      <c r="B58" s="1"/>
      <c r="C58" s="1"/>
      <c r="D58" s="1"/>
      <c r="E58" s="1"/>
      <c r="F58" s="1" t="str">
        <f>IF(OR(D58="",E58=""),"",D58*E58)</f>
        <v/>
      </c>
      <c r="G58" s="1" t="str">
        <f ca="1">IF(C58="","",TODAY()-C58)</f>
        <v/>
      </c>
      <c r="H58" s="1" t="str">
        <f ca="1">IF(G58="","",IF(G58&lt;=30,"0-30 يوم",IF(G58&lt;=60,"31-60 يوم",IF(G58&lt;=90,"61-90 يوم",IF(G58&lt;=180,"91-180 يوم",IF(G58&lt;=365,"181-365 يوم","+365 يوم"))))))</f>
        <v/>
      </c>
      <c r="I58" s="1" t="str">
        <f ca="1">IF(G58="","",IF(G58&gt;180,"راجع NRV/الركود","متابعة عادية"))</f>
        <v/>
      </c>
      <c r="J58" s="1"/>
    </row>
    <row r="59" spans="1:10" x14ac:dyDescent="0.15">
      <c r="A59" s="1"/>
      <c r="B59" s="1"/>
      <c r="C59" s="1"/>
      <c r="D59" s="1"/>
      <c r="E59" s="1"/>
      <c r="F59" s="1" t="str">
        <f>IF(OR(D59="",E59=""),"",D59*E59)</f>
        <v/>
      </c>
      <c r="G59" s="1" t="str">
        <f ca="1">IF(C59="","",TODAY()-C59)</f>
        <v/>
      </c>
      <c r="H59" s="1" t="str">
        <f ca="1">IF(G59="","",IF(G59&lt;=30,"0-30 يوم",IF(G59&lt;=60,"31-60 يوم",IF(G59&lt;=90,"61-90 يوم",IF(G59&lt;=180,"91-180 يوم",IF(G59&lt;=365,"181-365 يوم","+365 يوم"))))))</f>
        <v/>
      </c>
      <c r="I59" s="1" t="str">
        <f ca="1">IF(G59="","",IF(G59&gt;180,"راجع NRV/الركود","متابعة عادية"))</f>
        <v/>
      </c>
      <c r="J59" s="1"/>
    </row>
    <row r="60" spans="1:10" x14ac:dyDescent="0.15">
      <c r="A60" s="1"/>
      <c r="B60" s="1"/>
      <c r="C60" s="1"/>
      <c r="D60" s="1"/>
      <c r="E60" s="1"/>
      <c r="F60" s="1" t="str">
        <f>IF(OR(D60="",E60=""),"",D60*E60)</f>
        <v/>
      </c>
      <c r="G60" s="1" t="str">
        <f ca="1">IF(C60="","",TODAY()-C60)</f>
        <v/>
      </c>
      <c r="H60" s="1" t="str">
        <f ca="1">IF(G60="","",IF(G60&lt;=30,"0-30 يوم",IF(G60&lt;=60,"31-60 يوم",IF(G60&lt;=90,"61-90 يوم",IF(G60&lt;=180,"91-180 يوم",IF(G60&lt;=365,"181-365 يوم","+365 يوم"))))))</f>
        <v/>
      </c>
      <c r="I60" s="1" t="str">
        <f ca="1">IF(G60="","",IF(G60&gt;180,"راجع NRV/الركود","متابعة عادية"))</f>
        <v/>
      </c>
      <c r="J60" s="1"/>
    </row>
    <row r="61" spans="1:10" x14ac:dyDescent="0.15">
      <c r="A61" s="1"/>
      <c r="B61" s="1"/>
      <c r="C61" s="1"/>
      <c r="D61" s="1"/>
      <c r="E61" s="1"/>
      <c r="F61" s="1" t="str">
        <f>IF(OR(D61="",E61=""),"",D61*E61)</f>
        <v/>
      </c>
      <c r="G61" s="1" t="str">
        <f ca="1">IF(C61="","",TODAY()-C61)</f>
        <v/>
      </c>
      <c r="H61" s="1" t="str">
        <f ca="1">IF(G61="","",IF(G61&lt;=30,"0-30 يوم",IF(G61&lt;=60,"31-60 يوم",IF(G61&lt;=90,"61-90 يوم",IF(G61&lt;=180,"91-180 يوم",IF(G61&lt;=365,"181-365 يوم","+365 يوم"))))))</f>
        <v/>
      </c>
      <c r="I61" s="1" t="str">
        <f ca="1">IF(G61="","",IF(G61&gt;180,"راجع NRV/الركود","متابعة عادية"))</f>
        <v/>
      </c>
      <c r="J61" s="1"/>
    </row>
    <row r="62" spans="1:10" x14ac:dyDescent="0.15">
      <c r="A62" s="1"/>
      <c r="B62" s="1"/>
      <c r="C62" s="1"/>
      <c r="D62" s="1"/>
      <c r="E62" s="1"/>
      <c r="F62" s="1" t="str">
        <f>IF(OR(D62="",E62=""),"",D62*E62)</f>
        <v/>
      </c>
      <c r="G62" s="1" t="str">
        <f ca="1">IF(C62="","",TODAY()-C62)</f>
        <v/>
      </c>
      <c r="H62" s="1" t="str">
        <f ca="1">IF(G62="","",IF(G62&lt;=30,"0-30 يوم",IF(G62&lt;=60,"31-60 يوم",IF(G62&lt;=90,"61-90 يوم",IF(G62&lt;=180,"91-180 يوم",IF(G62&lt;=365,"181-365 يوم","+365 يوم"))))))</f>
        <v/>
      </c>
      <c r="I62" s="1" t="str">
        <f ca="1">IF(G62="","",IF(G62&gt;180,"راجع NRV/الركود","متابعة عادية"))</f>
        <v/>
      </c>
      <c r="J62" s="1"/>
    </row>
    <row r="63" spans="1:10" x14ac:dyDescent="0.15">
      <c r="A63" s="1"/>
      <c r="B63" s="1"/>
      <c r="C63" s="1"/>
      <c r="D63" s="1"/>
      <c r="E63" s="1"/>
      <c r="F63" s="1" t="str">
        <f>IF(OR(D63="",E63=""),"",D63*E63)</f>
        <v/>
      </c>
      <c r="G63" s="1" t="str">
        <f ca="1">IF(C63="","",TODAY()-C63)</f>
        <v/>
      </c>
      <c r="H63" s="1" t="str">
        <f ca="1">IF(G63="","",IF(G63&lt;=30,"0-30 يوم",IF(G63&lt;=60,"31-60 يوم",IF(G63&lt;=90,"61-90 يوم",IF(G63&lt;=180,"91-180 يوم",IF(G63&lt;=365,"181-365 يوم","+365 يوم"))))))</f>
        <v/>
      </c>
      <c r="I63" s="1" t="str">
        <f ca="1">IF(G63="","",IF(G63&gt;180,"راجع NRV/الركود","متابعة عادية"))</f>
        <v/>
      </c>
      <c r="J63" s="1"/>
    </row>
    <row r="64" spans="1:10" x14ac:dyDescent="0.15">
      <c r="A64" s="1"/>
      <c r="B64" s="1"/>
      <c r="C64" s="1"/>
      <c r="D64" s="1"/>
      <c r="E64" s="1"/>
      <c r="F64" s="1" t="str">
        <f>IF(OR(D64="",E64=""),"",D64*E64)</f>
        <v/>
      </c>
      <c r="G64" s="1" t="str">
        <f ca="1">IF(C64="","",TODAY()-C64)</f>
        <v/>
      </c>
      <c r="H64" s="1" t="str">
        <f ca="1">IF(G64="","",IF(G64&lt;=30,"0-30 يوم",IF(G64&lt;=60,"31-60 يوم",IF(G64&lt;=90,"61-90 يوم",IF(G64&lt;=180,"91-180 يوم",IF(G64&lt;=365,"181-365 يوم","+365 يوم"))))))</f>
        <v/>
      </c>
      <c r="I64" s="1" t="str">
        <f ca="1">IF(G64="","",IF(G64&gt;180,"راجع NRV/الركود","متابعة عادية"))</f>
        <v/>
      </c>
      <c r="J64" s="1"/>
    </row>
    <row r="65" spans="1:10" x14ac:dyDescent="0.15">
      <c r="A65" s="1"/>
      <c r="B65" s="1"/>
      <c r="C65" s="1"/>
      <c r="D65" s="1"/>
      <c r="E65" s="1"/>
      <c r="F65" s="1" t="str">
        <f>IF(OR(D65="",E65=""),"",D65*E65)</f>
        <v/>
      </c>
      <c r="G65" s="1" t="str">
        <f ca="1">IF(C65="","",TODAY()-C65)</f>
        <v/>
      </c>
      <c r="H65" s="1" t="str">
        <f ca="1">IF(G65="","",IF(G65&lt;=30,"0-30 يوم",IF(G65&lt;=60,"31-60 يوم",IF(G65&lt;=90,"61-90 يوم",IF(G65&lt;=180,"91-180 يوم",IF(G65&lt;=365,"181-365 يوم","+365 يوم"))))))</f>
        <v/>
      </c>
      <c r="I65" s="1" t="str">
        <f ca="1">IF(G65="","",IF(G65&gt;180,"راجع NRV/الركود","متابعة عادية"))</f>
        <v/>
      </c>
      <c r="J65" s="1"/>
    </row>
    <row r="66" spans="1:10" x14ac:dyDescent="0.15">
      <c r="A66" s="1"/>
      <c r="B66" s="1"/>
      <c r="C66" s="1"/>
      <c r="D66" s="1"/>
      <c r="E66" s="1"/>
      <c r="F66" s="1" t="str">
        <f>IF(OR(D66="",E66=""),"",D66*E66)</f>
        <v/>
      </c>
      <c r="G66" s="1" t="str">
        <f ca="1">IF(C66="","",TODAY()-C66)</f>
        <v/>
      </c>
      <c r="H66" s="1" t="str">
        <f ca="1">IF(G66="","",IF(G66&lt;=30,"0-30 يوم",IF(G66&lt;=60,"31-60 يوم",IF(G66&lt;=90,"61-90 يوم",IF(G66&lt;=180,"91-180 يوم",IF(G66&lt;=365,"181-365 يوم","+365 يوم"))))))</f>
        <v/>
      </c>
      <c r="I66" s="1" t="str">
        <f ca="1">IF(G66="","",IF(G66&gt;180,"راجع NRV/الركود","متابعة عادية"))</f>
        <v/>
      </c>
      <c r="J66" s="1"/>
    </row>
    <row r="67" spans="1:10" x14ac:dyDescent="0.15">
      <c r="A67" s="1"/>
      <c r="B67" s="1"/>
      <c r="C67" s="1"/>
      <c r="D67" s="1"/>
      <c r="E67" s="1"/>
      <c r="F67" s="1" t="str">
        <f>IF(OR(D67="",E67=""),"",D67*E67)</f>
        <v/>
      </c>
      <c r="G67" s="1" t="str">
        <f ca="1">IF(C67="","",TODAY()-C67)</f>
        <v/>
      </c>
      <c r="H67" s="1" t="str">
        <f ca="1">IF(G67="","",IF(G67&lt;=30,"0-30 يوم",IF(G67&lt;=60,"31-60 يوم",IF(G67&lt;=90,"61-90 يوم",IF(G67&lt;=180,"91-180 يوم",IF(G67&lt;=365,"181-365 يوم","+365 يوم"))))))</f>
        <v/>
      </c>
      <c r="I67" s="1" t="str">
        <f ca="1">IF(G67="","",IF(G67&gt;180,"راجع NRV/الركود","متابعة عادية"))</f>
        <v/>
      </c>
      <c r="J67" s="1"/>
    </row>
    <row r="68" spans="1:10" x14ac:dyDescent="0.15">
      <c r="A68" s="1"/>
      <c r="B68" s="1"/>
      <c r="C68" s="1"/>
      <c r="D68" s="1"/>
      <c r="E68" s="1"/>
      <c r="F68" s="1" t="str">
        <f>IF(OR(D68="",E68=""),"",D68*E68)</f>
        <v/>
      </c>
      <c r="G68" s="1" t="str">
        <f ca="1">IF(C68="","",TODAY()-C68)</f>
        <v/>
      </c>
      <c r="H68" s="1" t="str">
        <f ca="1">IF(G68="","",IF(G68&lt;=30,"0-30 يوم",IF(G68&lt;=60,"31-60 يوم",IF(G68&lt;=90,"61-90 يوم",IF(G68&lt;=180,"91-180 يوم",IF(G68&lt;=365,"181-365 يوم","+365 يوم"))))))</f>
        <v/>
      </c>
      <c r="I68" s="1" t="str">
        <f ca="1">IF(G68="","",IF(G68&gt;180,"راجع NRV/الركود","متابعة عادية"))</f>
        <v/>
      </c>
      <c r="J68" s="1"/>
    </row>
    <row r="69" spans="1:10" x14ac:dyDescent="0.15">
      <c r="A69" s="1"/>
      <c r="B69" s="1"/>
      <c r="C69" s="1"/>
      <c r="D69" s="1"/>
      <c r="E69" s="1"/>
      <c r="F69" s="1" t="str">
        <f>IF(OR(D69="",E69=""),"",D69*E69)</f>
        <v/>
      </c>
      <c r="G69" s="1" t="str">
        <f ca="1">IF(C69="","",TODAY()-C69)</f>
        <v/>
      </c>
      <c r="H69" s="1" t="str">
        <f ca="1">IF(G69="","",IF(G69&lt;=30,"0-30 يوم",IF(G69&lt;=60,"31-60 يوم",IF(G69&lt;=90,"61-90 يوم",IF(G69&lt;=180,"91-180 يوم",IF(G69&lt;=365,"181-365 يوم","+365 يوم"))))))</f>
        <v/>
      </c>
      <c r="I69" s="1" t="str">
        <f ca="1">IF(G69="","",IF(G69&gt;180,"راجع NRV/الركود","متابعة عادية"))</f>
        <v/>
      </c>
      <c r="J69" s="1"/>
    </row>
    <row r="70" spans="1:10" x14ac:dyDescent="0.15">
      <c r="A70" s="1"/>
      <c r="B70" s="1"/>
      <c r="C70" s="1"/>
      <c r="D70" s="1"/>
      <c r="E70" s="1"/>
      <c r="F70" s="1" t="str">
        <f>IF(OR(D70="",E70=""),"",D70*E70)</f>
        <v/>
      </c>
      <c r="G70" s="1" t="str">
        <f ca="1">IF(C70="","",TODAY()-C70)</f>
        <v/>
      </c>
      <c r="H70" s="1" t="str">
        <f ca="1">IF(G70="","",IF(G70&lt;=30,"0-30 يوم",IF(G70&lt;=60,"31-60 يوم",IF(G70&lt;=90,"61-90 يوم",IF(G70&lt;=180,"91-180 يوم",IF(G70&lt;=365,"181-365 يوم","+365 يوم"))))))</f>
        <v/>
      </c>
      <c r="I70" s="1" t="str">
        <f ca="1">IF(G70="","",IF(G70&gt;180,"راجع NRV/الركود","متابعة عادية"))</f>
        <v/>
      </c>
      <c r="J70" s="1"/>
    </row>
    <row r="71" spans="1:10" x14ac:dyDescent="0.15">
      <c r="A71" s="1"/>
      <c r="B71" s="1"/>
      <c r="C71" s="1"/>
      <c r="D71" s="1"/>
      <c r="E71" s="1"/>
      <c r="F71" s="1" t="str">
        <f>IF(OR(D71="",E71=""),"",D71*E71)</f>
        <v/>
      </c>
      <c r="G71" s="1" t="str">
        <f ca="1">IF(C71="","",TODAY()-C71)</f>
        <v/>
      </c>
      <c r="H71" s="1" t="str">
        <f ca="1">IF(G71="","",IF(G71&lt;=30,"0-30 يوم",IF(G71&lt;=60,"31-60 يوم",IF(G71&lt;=90,"61-90 يوم",IF(G71&lt;=180,"91-180 يوم",IF(G71&lt;=365,"181-365 يوم","+365 يوم"))))))</f>
        <v/>
      </c>
      <c r="I71" s="1" t="str">
        <f ca="1">IF(G71="","",IF(G71&gt;180,"راجع NRV/الركود","متابعة عادية"))</f>
        <v/>
      </c>
      <c r="J71" s="1"/>
    </row>
    <row r="72" spans="1:10" x14ac:dyDescent="0.15">
      <c r="A72" s="1"/>
      <c r="B72" s="1"/>
      <c r="C72" s="1"/>
      <c r="D72" s="1"/>
      <c r="E72" s="1"/>
      <c r="F72" s="1" t="str">
        <f>IF(OR(D72="",E72=""),"",D72*E72)</f>
        <v/>
      </c>
      <c r="G72" s="1" t="str">
        <f ca="1">IF(C72="","",TODAY()-C72)</f>
        <v/>
      </c>
      <c r="H72" s="1" t="str">
        <f ca="1">IF(G72="","",IF(G72&lt;=30,"0-30 يوم",IF(G72&lt;=60,"31-60 يوم",IF(G72&lt;=90,"61-90 يوم",IF(G72&lt;=180,"91-180 يوم",IF(G72&lt;=365,"181-365 يوم","+365 يوم"))))))</f>
        <v/>
      </c>
      <c r="I72" s="1" t="str">
        <f ca="1">IF(G72="","",IF(G72&gt;180,"راجع NRV/الركود","متابعة عادية"))</f>
        <v/>
      </c>
      <c r="J72" s="1"/>
    </row>
    <row r="73" spans="1:10" x14ac:dyDescent="0.15">
      <c r="A73" s="1"/>
      <c r="B73" s="1"/>
      <c r="C73" s="1"/>
      <c r="D73" s="1"/>
      <c r="E73" s="1"/>
      <c r="F73" s="1" t="str">
        <f>IF(OR(D73="",E73=""),"",D73*E73)</f>
        <v/>
      </c>
      <c r="G73" s="1" t="str">
        <f ca="1">IF(C73="","",TODAY()-C73)</f>
        <v/>
      </c>
      <c r="H73" s="1" t="str">
        <f ca="1">IF(G73="","",IF(G73&lt;=30,"0-30 يوم",IF(G73&lt;=60,"31-60 يوم",IF(G73&lt;=90,"61-90 يوم",IF(G73&lt;=180,"91-180 يوم",IF(G73&lt;=365,"181-365 يوم","+365 يوم"))))))</f>
        <v/>
      </c>
      <c r="I73" s="1" t="str">
        <f ca="1">IF(G73="","",IF(G73&gt;180,"راجع NRV/الركود","متابعة عادية"))</f>
        <v/>
      </c>
      <c r="J73" s="1"/>
    </row>
    <row r="74" spans="1:10" x14ac:dyDescent="0.15">
      <c r="A74" s="1"/>
      <c r="B74" s="1"/>
      <c r="C74" s="1"/>
      <c r="D74" s="1"/>
      <c r="E74" s="1"/>
      <c r="F74" s="1" t="str">
        <f>IF(OR(D74="",E74=""),"",D74*E74)</f>
        <v/>
      </c>
      <c r="G74" s="1" t="str">
        <f ca="1">IF(C74="","",TODAY()-C74)</f>
        <v/>
      </c>
      <c r="H74" s="1" t="str">
        <f ca="1">IF(G74="","",IF(G74&lt;=30,"0-30 يوم",IF(G74&lt;=60,"31-60 يوم",IF(G74&lt;=90,"61-90 يوم",IF(G74&lt;=180,"91-180 يوم",IF(G74&lt;=365,"181-365 يوم","+365 يوم"))))))</f>
        <v/>
      </c>
      <c r="I74" s="1" t="str">
        <f ca="1">IF(G74="","",IF(G74&gt;180,"راجع NRV/الركود","متابعة عادية"))</f>
        <v/>
      </c>
      <c r="J74" s="1"/>
    </row>
    <row r="75" spans="1:10" x14ac:dyDescent="0.15">
      <c r="A75" s="1"/>
      <c r="B75" s="1"/>
      <c r="C75" s="1"/>
      <c r="D75" s="1"/>
      <c r="E75" s="1"/>
      <c r="F75" s="1" t="str">
        <f>IF(OR(D75="",E75=""),"",D75*E75)</f>
        <v/>
      </c>
      <c r="G75" s="1" t="str">
        <f ca="1">IF(C75="","",TODAY()-C75)</f>
        <v/>
      </c>
      <c r="H75" s="1" t="str">
        <f ca="1">IF(G75="","",IF(G75&lt;=30,"0-30 يوم",IF(G75&lt;=60,"31-60 يوم",IF(G75&lt;=90,"61-90 يوم",IF(G75&lt;=180,"91-180 يوم",IF(G75&lt;=365,"181-365 يوم","+365 يوم"))))))</f>
        <v/>
      </c>
      <c r="I75" s="1" t="str">
        <f ca="1">IF(G75="","",IF(G75&gt;180,"راجع NRV/الركود","متابعة عادية"))</f>
        <v/>
      </c>
      <c r="J75" s="1"/>
    </row>
    <row r="76" spans="1:10" x14ac:dyDescent="0.15">
      <c r="A76" s="1"/>
      <c r="B76" s="1"/>
      <c r="C76" s="1"/>
      <c r="D76" s="1"/>
      <c r="E76" s="1"/>
      <c r="F76" s="1" t="str">
        <f>IF(OR(D76="",E76=""),"",D76*E76)</f>
        <v/>
      </c>
      <c r="G76" s="1" t="str">
        <f ca="1">IF(C76="","",TODAY()-C76)</f>
        <v/>
      </c>
      <c r="H76" s="1" t="str">
        <f ca="1">IF(G76="","",IF(G76&lt;=30,"0-30 يوم",IF(G76&lt;=60,"31-60 يوم",IF(G76&lt;=90,"61-90 يوم",IF(G76&lt;=180,"91-180 يوم",IF(G76&lt;=365,"181-365 يوم","+365 يوم"))))))</f>
        <v/>
      </c>
      <c r="I76" s="1" t="str">
        <f ca="1">IF(G76="","",IF(G76&gt;180,"راجع NRV/الركود","متابعة عادية"))</f>
        <v/>
      </c>
      <c r="J76" s="1"/>
    </row>
    <row r="77" spans="1:10" x14ac:dyDescent="0.15">
      <c r="A77" s="1"/>
      <c r="B77" s="1"/>
      <c r="C77" s="1"/>
      <c r="D77" s="1"/>
      <c r="E77" s="1"/>
      <c r="F77" s="1" t="str">
        <f>IF(OR(D77="",E77=""),"",D77*E77)</f>
        <v/>
      </c>
      <c r="G77" s="1" t="str">
        <f ca="1">IF(C77="","",TODAY()-C77)</f>
        <v/>
      </c>
      <c r="H77" s="1" t="str">
        <f ca="1">IF(G77="","",IF(G77&lt;=30,"0-30 يوم",IF(G77&lt;=60,"31-60 يوم",IF(G77&lt;=90,"61-90 يوم",IF(G77&lt;=180,"91-180 يوم",IF(G77&lt;=365,"181-365 يوم","+365 يوم"))))))</f>
        <v/>
      </c>
      <c r="I77" s="1" t="str">
        <f ca="1">IF(G77="","",IF(G77&gt;180,"راجع NRV/الركود","متابعة عادية"))</f>
        <v/>
      </c>
      <c r="J77" s="1"/>
    </row>
    <row r="78" spans="1:10" x14ac:dyDescent="0.15">
      <c r="A78" s="1"/>
      <c r="B78" s="1"/>
      <c r="C78" s="1"/>
      <c r="D78" s="1"/>
      <c r="E78" s="1"/>
      <c r="F78" s="1" t="str">
        <f>IF(OR(D78="",E78=""),"",D78*E78)</f>
        <v/>
      </c>
      <c r="G78" s="1" t="str">
        <f ca="1">IF(C78="","",TODAY()-C78)</f>
        <v/>
      </c>
      <c r="H78" s="1" t="str">
        <f ca="1">IF(G78="","",IF(G78&lt;=30,"0-30 يوم",IF(G78&lt;=60,"31-60 يوم",IF(G78&lt;=90,"61-90 يوم",IF(G78&lt;=180,"91-180 يوم",IF(G78&lt;=365,"181-365 يوم","+365 يوم"))))))</f>
        <v/>
      </c>
      <c r="I78" s="1" t="str">
        <f ca="1">IF(G78="","",IF(G78&gt;180,"راجع NRV/الركود","متابعة عادية"))</f>
        <v/>
      </c>
      <c r="J78" s="1"/>
    </row>
    <row r="79" spans="1:10" x14ac:dyDescent="0.15">
      <c r="A79" s="1"/>
      <c r="B79" s="1"/>
      <c r="C79" s="1"/>
      <c r="D79" s="1"/>
      <c r="E79" s="1"/>
      <c r="F79" s="1" t="str">
        <f>IF(OR(D79="",E79=""),"",D79*E79)</f>
        <v/>
      </c>
      <c r="G79" s="1" t="str">
        <f ca="1">IF(C79="","",TODAY()-C79)</f>
        <v/>
      </c>
      <c r="H79" s="1" t="str">
        <f ca="1">IF(G79="","",IF(G79&lt;=30,"0-30 يوم",IF(G79&lt;=60,"31-60 يوم",IF(G79&lt;=90,"61-90 يوم",IF(G79&lt;=180,"91-180 يوم",IF(G79&lt;=365,"181-365 يوم","+365 يوم"))))))</f>
        <v/>
      </c>
      <c r="I79" s="1" t="str">
        <f ca="1">IF(G79="","",IF(G79&gt;180,"راجع NRV/الركود","متابعة عادية"))</f>
        <v/>
      </c>
      <c r="J79" s="1"/>
    </row>
    <row r="80" spans="1:10" x14ac:dyDescent="0.15">
      <c r="A80" s="1"/>
      <c r="B80" s="1"/>
      <c r="C80" s="1"/>
      <c r="D80" s="1"/>
      <c r="E80" s="1"/>
      <c r="F80" s="1" t="str">
        <f>IF(OR(D80="",E80=""),"",D80*E80)</f>
        <v/>
      </c>
      <c r="G80" s="1" t="str">
        <f ca="1">IF(C80="","",TODAY()-C80)</f>
        <v/>
      </c>
      <c r="H80" s="1" t="str">
        <f ca="1">IF(G80="","",IF(G80&lt;=30,"0-30 يوم",IF(G80&lt;=60,"31-60 يوم",IF(G80&lt;=90,"61-90 يوم",IF(G80&lt;=180,"91-180 يوم",IF(G80&lt;=365,"181-365 يوم","+365 يوم"))))))</f>
        <v/>
      </c>
      <c r="I80" s="1" t="str">
        <f ca="1">IF(G80="","",IF(G80&gt;180,"راجع NRV/الركود","متابعة عادية"))</f>
        <v/>
      </c>
      <c r="J80" s="1"/>
    </row>
    <row r="81" spans="1:10" x14ac:dyDescent="0.15">
      <c r="A81" s="1"/>
      <c r="B81" s="1"/>
      <c r="C81" s="1"/>
      <c r="D81" s="1"/>
      <c r="E81" s="1"/>
      <c r="F81" s="1" t="str">
        <f>IF(OR(D81="",E81=""),"",D81*E81)</f>
        <v/>
      </c>
      <c r="G81" s="1" t="str">
        <f ca="1">IF(C81="","",TODAY()-C81)</f>
        <v/>
      </c>
      <c r="H81" s="1" t="str">
        <f ca="1">IF(G81="","",IF(G81&lt;=30,"0-30 يوم",IF(G81&lt;=60,"31-60 يوم",IF(G81&lt;=90,"61-90 يوم",IF(G81&lt;=180,"91-180 يوم",IF(G81&lt;=365,"181-365 يوم","+365 يوم"))))))</f>
        <v/>
      </c>
      <c r="I81" s="1" t="str">
        <f ca="1">IF(G81="","",IF(G81&gt;180,"راجع NRV/الركود","متابعة عادية"))</f>
        <v/>
      </c>
      <c r="J81" s="1"/>
    </row>
    <row r="82" spans="1:10" x14ac:dyDescent="0.15">
      <c r="A82" s="1"/>
      <c r="B82" s="1"/>
      <c r="C82" s="1"/>
      <c r="D82" s="1"/>
      <c r="E82" s="1"/>
      <c r="F82" s="1" t="str">
        <f>IF(OR(D82="",E82=""),"",D82*E82)</f>
        <v/>
      </c>
      <c r="G82" s="1" t="str">
        <f ca="1">IF(C82="","",TODAY()-C82)</f>
        <v/>
      </c>
      <c r="H82" s="1" t="str">
        <f ca="1">IF(G82="","",IF(G82&lt;=30,"0-30 يوم",IF(G82&lt;=60,"31-60 يوم",IF(G82&lt;=90,"61-90 يوم",IF(G82&lt;=180,"91-180 يوم",IF(G82&lt;=365,"181-365 يوم","+365 يوم"))))))</f>
        <v/>
      </c>
      <c r="I82" s="1" t="str">
        <f ca="1">IF(G82="","",IF(G82&gt;180,"راجع NRV/الركود","متابعة عادية"))</f>
        <v/>
      </c>
      <c r="J82" s="1"/>
    </row>
    <row r="83" spans="1:10" x14ac:dyDescent="0.15">
      <c r="A83" s="1"/>
      <c r="B83" s="1"/>
      <c r="C83" s="1"/>
      <c r="D83" s="1"/>
      <c r="E83" s="1"/>
      <c r="F83" s="1" t="str">
        <f>IF(OR(D83="",E83=""),"",D83*E83)</f>
        <v/>
      </c>
      <c r="G83" s="1" t="str">
        <f ca="1">IF(C83="","",TODAY()-C83)</f>
        <v/>
      </c>
      <c r="H83" s="1" t="str">
        <f ca="1">IF(G83="","",IF(G83&lt;=30,"0-30 يوم",IF(G83&lt;=60,"31-60 يوم",IF(G83&lt;=90,"61-90 يوم",IF(G83&lt;=180,"91-180 يوم",IF(G83&lt;=365,"181-365 يوم","+365 يوم"))))))</f>
        <v/>
      </c>
      <c r="I83" s="1" t="str">
        <f ca="1">IF(G83="","",IF(G83&gt;180,"راجع NRV/الركود","متابعة عادية"))</f>
        <v/>
      </c>
      <c r="J83" s="1"/>
    </row>
    <row r="84" spans="1:10" x14ac:dyDescent="0.15">
      <c r="A84" s="1"/>
      <c r="B84" s="1"/>
      <c r="C84" s="1"/>
      <c r="D84" s="1"/>
      <c r="E84" s="1"/>
      <c r="F84" s="1" t="str">
        <f>IF(OR(D84="",E84=""),"",D84*E84)</f>
        <v/>
      </c>
      <c r="G84" s="1" t="str">
        <f ca="1">IF(C84="","",TODAY()-C84)</f>
        <v/>
      </c>
      <c r="H84" s="1" t="str">
        <f ca="1">IF(G84="","",IF(G84&lt;=30,"0-30 يوم",IF(G84&lt;=60,"31-60 يوم",IF(G84&lt;=90,"61-90 يوم",IF(G84&lt;=180,"91-180 يوم",IF(G84&lt;=365,"181-365 يوم","+365 يوم"))))))</f>
        <v/>
      </c>
      <c r="I84" s="1" t="str">
        <f ca="1">IF(G84="","",IF(G84&gt;180,"راجع NRV/الركود","متابعة عادية"))</f>
        <v/>
      </c>
      <c r="J84" s="1"/>
    </row>
    <row r="85" spans="1:10" x14ac:dyDescent="0.15">
      <c r="A85" s="1"/>
      <c r="B85" s="1"/>
      <c r="C85" s="1"/>
      <c r="D85" s="1"/>
      <c r="E85" s="1"/>
      <c r="F85" s="1" t="str">
        <f>IF(OR(D85="",E85=""),"",D85*E85)</f>
        <v/>
      </c>
      <c r="G85" s="1" t="str">
        <f ca="1">IF(C85="","",TODAY()-C85)</f>
        <v/>
      </c>
      <c r="H85" s="1" t="str">
        <f ca="1">IF(G85="","",IF(G85&lt;=30,"0-30 يوم",IF(G85&lt;=60,"31-60 يوم",IF(G85&lt;=90,"61-90 يوم",IF(G85&lt;=180,"91-180 يوم",IF(G85&lt;=365,"181-365 يوم","+365 يوم"))))))</f>
        <v/>
      </c>
      <c r="I85" s="1" t="str">
        <f ca="1">IF(G85="","",IF(G85&gt;180,"راجع NRV/الركود","متابعة عادية"))</f>
        <v/>
      </c>
      <c r="J85" s="1"/>
    </row>
    <row r="86" spans="1:10" x14ac:dyDescent="0.15">
      <c r="A86" s="1"/>
      <c r="B86" s="1"/>
      <c r="C86" s="1"/>
      <c r="D86" s="1"/>
      <c r="E86" s="1"/>
      <c r="F86" s="1" t="str">
        <f>IF(OR(D86="",E86=""),"",D86*E86)</f>
        <v/>
      </c>
      <c r="G86" s="1" t="str">
        <f ca="1">IF(C86="","",TODAY()-C86)</f>
        <v/>
      </c>
      <c r="H86" s="1" t="str">
        <f ca="1">IF(G86="","",IF(G86&lt;=30,"0-30 يوم",IF(G86&lt;=60,"31-60 يوم",IF(G86&lt;=90,"61-90 يوم",IF(G86&lt;=180,"91-180 يوم",IF(G86&lt;=365,"181-365 يوم","+365 يوم"))))))</f>
        <v/>
      </c>
      <c r="I86" s="1" t="str">
        <f ca="1">IF(G86="","",IF(G86&gt;180,"راجع NRV/الركود","متابعة عادية"))</f>
        <v/>
      </c>
      <c r="J86" s="1"/>
    </row>
    <row r="87" spans="1:10" x14ac:dyDescent="0.15">
      <c r="A87" s="1"/>
      <c r="B87" s="1"/>
      <c r="C87" s="1"/>
      <c r="D87" s="1"/>
      <c r="E87" s="1"/>
      <c r="F87" s="1" t="str">
        <f>IF(OR(D87="",E87=""),"",D87*E87)</f>
        <v/>
      </c>
      <c r="G87" s="1" t="str">
        <f ca="1">IF(C87="","",TODAY()-C87)</f>
        <v/>
      </c>
      <c r="H87" s="1" t="str">
        <f ca="1">IF(G87="","",IF(G87&lt;=30,"0-30 يوم",IF(G87&lt;=60,"31-60 يوم",IF(G87&lt;=90,"61-90 يوم",IF(G87&lt;=180,"91-180 يوم",IF(G87&lt;=365,"181-365 يوم","+365 يوم"))))))</f>
        <v/>
      </c>
      <c r="I87" s="1" t="str">
        <f ca="1">IF(G87="","",IF(G87&gt;180,"راجع NRV/الركود","متابعة عادية"))</f>
        <v/>
      </c>
      <c r="J87" s="1"/>
    </row>
    <row r="88" spans="1:10" x14ac:dyDescent="0.15">
      <c r="A88" s="1"/>
      <c r="B88" s="1"/>
      <c r="C88" s="1"/>
      <c r="D88" s="1"/>
      <c r="E88" s="1"/>
      <c r="F88" s="1" t="str">
        <f>IF(OR(D88="",E88=""),"",D88*E88)</f>
        <v/>
      </c>
      <c r="G88" s="1" t="str">
        <f ca="1">IF(C88="","",TODAY()-C88)</f>
        <v/>
      </c>
      <c r="H88" s="1" t="str">
        <f ca="1">IF(G88="","",IF(G88&lt;=30,"0-30 يوم",IF(G88&lt;=60,"31-60 يوم",IF(G88&lt;=90,"61-90 يوم",IF(G88&lt;=180,"91-180 يوم",IF(G88&lt;=365,"181-365 يوم","+365 يوم"))))))</f>
        <v/>
      </c>
      <c r="I88" s="1" t="str">
        <f ca="1">IF(G88="","",IF(G88&gt;180,"راجع NRV/الركود","متابعة عادية"))</f>
        <v/>
      </c>
      <c r="J88" s="1"/>
    </row>
    <row r="89" spans="1:10" x14ac:dyDescent="0.15">
      <c r="A89" s="1"/>
      <c r="B89" s="1"/>
      <c r="C89" s="1"/>
      <c r="D89" s="1"/>
      <c r="E89" s="1"/>
      <c r="F89" s="1" t="str">
        <f>IF(OR(D89="",E89=""),"",D89*E89)</f>
        <v/>
      </c>
      <c r="G89" s="1" t="str">
        <f ca="1">IF(C89="","",TODAY()-C89)</f>
        <v/>
      </c>
      <c r="H89" s="1" t="str">
        <f ca="1">IF(G89="","",IF(G89&lt;=30,"0-30 يوم",IF(G89&lt;=60,"31-60 يوم",IF(G89&lt;=90,"61-90 يوم",IF(G89&lt;=180,"91-180 يوم",IF(G89&lt;=365,"181-365 يوم","+365 يوم"))))))</f>
        <v/>
      </c>
      <c r="I89" s="1" t="str">
        <f ca="1">IF(G89="","",IF(G89&gt;180,"راجع NRV/الركود","متابعة عادية"))</f>
        <v/>
      </c>
      <c r="J89" s="1"/>
    </row>
    <row r="90" spans="1:10" x14ac:dyDescent="0.15">
      <c r="A90" s="1"/>
      <c r="B90" s="1"/>
      <c r="C90" s="1"/>
      <c r="D90" s="1"/>
      <c r="E90" s="1"/>
      <c r="F90" s="1" t="str">
        <f>IF(OR(D90="",E90=""),"",D90*E90)</f>
        <v/>
      </c>
      <c r="G90" s="1" t="str">
        <f ca="1">IF(C90="","",TODAY()-C90)</f>
        <v/>
      </c>
      <c r="H90" s="1" t="str">
        <f ca="1">IF(G90="","",IF(G90&lt;=30,"0-30 يوم",IF(G90&lt;=60,"31-60 يوم",IF(G90&lt;=90,"61-90 يوم",IF(G90&lt;=180,"91-180 يوم",IF(G90&lt;=365,"181-365 يوم","+365 يوم"))))))</f>
        <v/>
      </c>
      <c r="I90" s="1" t="str">
        <f ca="1">IF(G90="","",IF(G90&gt;180,"راجع NRV/الركود","متابعة عادية"))</f>
        <v/>
      </c>
      <c r="J90" s="1"/>
    </row>
    <row r="91" spans="1:10" x14ac:dyDescent="0.15">
      <c r="A91" s="1"/>
      <c r="B91" s="1"/>
      <c r="C91" s="1"/>
      <c r="D91" s="1"/>
      <c r="E91" s="1"/>
      <c r="F91" s="1" t="str">
        <f>IF(OR(D91="",E91=""),"",D91*E91)</f>
        <v/>
      </c>
      <c r="G91" s="1" t="str">
        <f ca="1">IF(C91="","",TODAY()-C91)</f>
        <v/>
      </c>
      <c r="H91" s="1" t="str">
        <f ca="1">IF(G91="","",IF(G91&lt;=30,"0-30 يوم",IF(G91&lt;=60,"31-60 يوم",IF(G91&lt;=90,"61-90 يوم",IF(G91&lt;=180,"91-180 يوم",IF(G91&lt;=365,"181-365 يوم","+365 يوم"))))))</f>
        <v/>
      </c>
      <c r="I91" s="1" t="str">
        <f ca="1">IF(G91="","",IF(G91&gt;180,"راجع NRV/الركود","متابعة عادية"))</f>
        <v/>
      </c>
      <c r="J91" s="1"/>
    </row>
    <row r="92" spans="1:10" x14ac:dyDescent="0.15">
      <c r="A92" s="1"/>
      <c r="B92" s="1"/>
      <c r="C92" s="1"/>
      <c r="D92" s="1"/>
      <c r="E92" s="1"/>
      <c r="F92" s="1" t="str">
        <f>IF(OR(D92="",E92=""),"",D92*E92)</f>
        <v/>
      </c>
      <c r="G92" s="1" t="str">
        <f ca="1">IF(C92="","",TODAY()-C92)</f>
        <v/>
      </c>
      <c r="H92" s="1" t="str">
        <f ca="1">IF(G92="","",IF(G92&lt;=30,"0-30 يوم",IF(G92&lt;=60,"31-60 يوم",IF(G92&lt;=90,"61-90 يوم",IF(G92&lt;=180,"91-180 يوم",IF(G92&lt;=365,"181-365 يوم","+365 يوم"))))))</f>
        <v/>
      </c>
      <c r="I92" s="1" t="str">
        <f ca="1">IF(G92="","",IF(G92&gt;180,"راجع NRV/الركود","متابعة عادية"))</f>
        <v/>
      </c>
      <c r="J92" s="1"/>
    </row>
    <row r="93" spans="1:10" x14ac:dyDescent="0.15">
      <c r="A93" s="1"/>
      <c r="B93" s="1"/>
      <c r="C93" s="1"/>
      <c r="D93" s="1"/>
      <c r="E93" s="1"/>
      <c r="F93" s="1" t="str">
        <f>IF(OR(D93="",E93=""),"",D93*E93)</f>
        <v/>
      </c>
      <c r="G93" s="1" t="str">
        <f ca="1">IF(C93="","",TODAY()-C93)</f>
        <v/>
      </c>
      <c r="H93" s="1" t="str">
        <f ca="1">IF(G93="","",IF(G93&lt;=30,"0-30 يوم",IF(G93&lt;=60,"31-60 يوم",IF(G93&lt;=90,"61-90 يوم",IF(G93&lt;=180,"91-180 يوم",IF(G93&lt;=365,"181-365 يوم","+365 يوم"))))))</f>
        <v/>
      </c>
      <c r="I93" s="1" t="str">
        <f ca="1">IF(G93="","",IF(G93&gt;180,"راجع NRV/الركود","متابعة عادية"))</f>
        <v/>
      </c>
      <c r="J93" s="1"/>
    </row>
    <row r="94" spans="1:10" x14ac:dyDescent="0.15">
      <c r="A94" s="1"/>
      <c r="B94" s="1"/>
      <c r="C94" s="1"/>
      <c r="D94" s="1"/>
      <c r="E94" s="1"/>
      <c r="F94" s="1" t="str">
        <f>IF(OR(D94="",E94=""),"",D94*E94)</f>
        <v/>
      </c>
      <c r="G94" s="1" t="str">
        <f ca="1">IF(C94="","",TODAY()-C94)</f>
        <v/>
      </c>
      <c r="H94" s="1" t="str">
        <f ca="1">IF(G94="","",IF(G94&lt;=30,"0-30 يوم",IF(G94&lt;=60,"31-60 يوم",IF(G94&lt;=90,"61-90 يوم",IF(G94&lt;=180,"91-180 يوم",IF(G94&lt;=365,"181-365 يوم","+365 يوم"))))))</f>
        <v/>
      </c>
      <c r="I94" s="1" t="str">
        <f ca="1">IF(G94="","",IF(G94&gt;180,"راجع NRV/الركود","متابعة عادية"))</f>
        <v/>
      </c>
      <c r="J94" s="1"/>
    </row>
    <row r="95" spans="1:10" x14ac:dyDescent="0.15">
      <c r="A95" s="1"/>
      <c r="B95" s="1"/>
      <c r="C95" s="1"/>
      <c r="D95" s="1"/>
      <c r="E95" s="1"/>
      <c r="F95" s="1" t="str">
        <f>IF(OR(D95="",E95=""),"",D95*E95)</f>
        <v/>
      </c>
      <c r="G95" s="1" t="str">
        <f ca="1">IF(C95="","",TODAY()-C95)</f>
        <v/>
      </c>
      <c r="H95" s="1" t="str">
        <f ca="1">IF(G95="","",IF(G95&lt;=30,"0-30 يوم",IF(G95&lt;=60,"31-60 يوم",IF(G95&lt;=90,"61-90 يوم",IF(G95&lt;=180,"91-180 يوم",IF(G95&lt;=365,"181-365 يوم","+365 يوم"))))))</f>
        <v/>
      </c>
      <c r="I95" s="1" t="str">
        <f ca="1">IF(G95="","",IF(G95&gt;180,"راجع NRV/الركود","متابعة عادية"))</f>
        <v/>
      </c>
      <c r="J95" s="1"/>
    </row>
    <row r="96" spans="1:10" x14ac:dyDescent="0.15">
      <c r="A96" s="1"/>
      <c r="B96" s="1"/>
      <c r="C96" s="1"/>
      <c r="D96" s="1"/>
      <c r="E96" s="1"/>
      <c r="F96" s="1" t="str">
        <f>IF(OR(D96="",E96=""),"",D96*E96)</f>
        <v/>
      </c>
      <c r="G96" s="1" t="str">
        <f ca="1">IF(C96="","",TODAY()-C96)</f>
        <v/>
      </c>
      <c r="H96" s="1" t="str">
        <f ca="1">IF(G96="","",IF(G96&lt;=30,"0-30 يوم",IF(G96&lt;=60,"31-60 يوم",IF(G96&lt;=90,"61-90 يوم",IF(G96&lt;=180,"91-180 يوم",IF(G96&lt;=365,"181-365 يوم","+365 يوم"))))))</f>
        <v/>
      </c>
      <c r="I96" s="1" t="str">
        <f ca="1">IF(G96="","",IF(G96&gt;180,"راجع NRV/الركود","متابعة عادية"))</f>
        <v/>
      </c>
      <c r="J96" s="1"/>
    </row>
    <row r="97" spans="1:10" x14ac:dyDescent="0.15">
      <c r="A97" s="1"/>
      <c r="B97" s="1"/>
      <c r="C97" s="1"/>
      <c r="D97" s="1"/>
      <c r="E97" s="1"/>
      <c r="F97" s="1" t="str">
        <f>IF(OR(D97="",E97=""),"",D97*E97)</f>
        <v/>
      </c>
      <c r="G97" s="1" t="str">
        <f ca="1">IF(C97="","",TODAY()-C97)</f>
        <v/>
      </c>
      <c r="H97" s="1" t="str">
        <f ca="1">IF(G97="","",IF(G97&lt;=30,"0-30 يوم",IF(G97&lt;=60,"31-60 يوم",IF(G97&lt;=90,"61-90 يوم",IF(G97&lt;=180,"91-180 يوم",IF(G97&lt;=365,"181-365 يوم","+365 يوم"))))))</f>
        <v/>
      </c>
      <c r="I97" s="1" t="str">
        <f ca="1">IF(G97="","",IF(G97&gt;180,"راجع NRV/الركود","متابعة عادية"))</f>
        <v/>
      </c>
      <c r="J97" s="1"/>
    </row>
    <row r="98" spans="1:10" x14ac:dyDescent="0.15">
      <c r="A98" s="1"/>
      <c r="B98" s="1"/>
      <c r="C98" s="1"/>
      <c r="D98" s="1"/>
      <c r="E98" s="1"/>
      <c r="F98" s="1" t="str">
        <f>IF(OR(D98="",E98=""),"",D98*E98)</f>
        <v/>
      </c>
      <c r="G98" s="1" t="str">
        <f ca="1">IF(C98="","",TODAY()-C98)</f>
        <v/>
      </c>
      <c r="H98" s="1" t="str">
        <f ca="1">IF(G98="","",IF(G98&lt;=30,"0-30 يوم",IF(G98&lt;=60,"31-60 يوم",IF(G98&lt;=90,"61-90 يوم",IF(G98&lt;=180,"91-180 يوم",IF(G98&lt;=365,"181-365 يوم","+365 يوم"))))))</f>
        <v/>
      </c>
      <c r="I98" s="1" t="str">
        <f ca="1">IF(G98="","",IF(G98&gt;180,"راجع NRV/الركود","متابعة عادية"))</f>
        <v/>
      </c>
      <c r="J98" s="1"/>
    </row>
    <row r="99" spans="1:10" x14ac:dyDescent="0.15">
      <c r="A99" s="1"/>
      <c r="B99" s="1"/>
      <c r="C99" s="1"/>
      <c r="D99" s="1"/>
      <c r="E99" s="1"/>
      <c r="F99" s="1" t="str">
        <f>IF(OR(D99="",E99=""),"",D99*E99)</f>
        <v/>
      </c>
      <c r="G99" s="1" t="str">
        <f ca="1">IF(C99="","",TODAY()-C99)</f>
        <v/>
      </c>
      <c r="H99" s="1" t="str">
        <f ca="1">IF(G99="","",IF(G99&lt;=30,"0-30 يوم",IF(G99&lt;=60,"31-60 يوم",IF(G99&lt;=90,"61-90 يوم",IF(G99&lt;=180,"91-180 يوم",IF(G99&lt;=365,"181-365 يوم","+365 يوم"))))))</f>
        <v/>
      </c>
      <c r="I99" s="1" t="str">
        <f ca="1">IF(G99="","",IF(G99&gt;180,"راجع NRV/الركود","متابعة عادية"))</f>
        <v/>
      </c>
      <c r="J99" s="1"/>
    </row>
    <row r="100" spans="1:10" x14ac:dyDescent="0.15">
      <c r="A100" s="1"/>
      <c r="B100" s="1"/>
      <c r="C100" s="1"/>
      <c r="D100" s="1"/>
      <c r="E100" s="1"/>
      <c r="F100" s="1" t="str">
        <f>IF(OR(D100="",E100=""),"",D100*E100)</f>
        <v/>
      </c>
      <c r="G100" s="1" t="str">
        <f ca="1">IF(C100="","",TODAY()-C100)</f>
        <v/>
      </c>
      <c r="H100" s="1" t="str">
        <f ca="1">IF(G100="","",IF(G100&lt;=30,"0-30 يوم",IF(G100&lt;=60,"31-60 يوم",IF(G100&lt;=90,"61-90 يوم",IF(G100&lt;=180,"91-180 يوم",IF(G100&lt;=365,"181-365 يوم","+365 يوم"))))))</f>
        <v/>
      </c>
      <c r="I100" s="1" t="str">
        <f ca="1">IF(G100="","",IF(G100&gt;180,"راجع NRV/الركود","متابعة عادية"))</f>
        <v/>
      </c>
      <c r="J100" s="1"/>
    </row>
    <row r="101" spans="1:10" x14ac:dyDescent="0.15">
      <c r="A101" s="1"/>
      <c r="B101" s="1"/>
      <c r="C101" s="1"/>
      <c r="D101" s="1"/>
      <c r="E101" s="1"/>
      <c r="F101" s="1" t="str">
        <f>IF(OR(D101="",E101=""),"",D101*E101)</f>
        <v/>
      </c>
      <c r="G101" s="1" t="str">
        <f ca="1">IF(C101="","",TODAY()-C101)</f>
        <v/>
      </c>
      <c r="H101" s="1" t="str">
        <f ca="1">IF(G101="","",IF(G101&lt;=30,"0-30 يوم",IF(G101&lt;=60,"31-60 يوم",IF(G101&lt;=90,"61-90 يوم",IF(G101&lt;=180,"91-180 يوم",IF(G101&lt;=365,"181-365 يوم","+365 يوم"))))))</f>
        <v/>
      </c>
      <c r="I101" s="1" t="str">
        <f ca="1">IF(G101="","",IF(G101&gt;180,"راجع NRV/الركود","متابعة عادية"))</f>
        <v/>
      </c>
      <c r="J101" s="1"/>
    </row>
    <row r="102" spans="1:10" x14ac:dyDescent="0.15">
      <c r="A102" s="1"/>
      <c r="B102" s="1"/>
      <c r="C102" s="1"/>
      <c r="D102" s="1"/>
      <c r="E102" s="1"/>
      <c r="F102" s="1" t="str">
        <f>IF(OR(D102="",E102=""),"",D102*E102)</f>
        <v/>
      </c>
      <c r="G102" s="1" t="str">
        <f ca="1">IF(C102="","",TODAY()-C102)</f>
        <v/>
      </c>
      <c r="H102" s="1" t="str">
        <f ca="1">IF(G102="","",IF(G102&lt;=30,"0-30 يوم",IF(G102&lt;=60,"31-60 يوم",IF(G102&lt;=90,"61-90 يوم",IF(G102&lt;=180,"91-180 يوم",IF(G102&lt;=365,"181-365 يوم","+365 يوم"))))))</f>
        <v/>
      </c>
      <c r="I102" s="1" t="str">
        <f ca="1">IF(G102="","",IF(G102&gt;180,"راجع NRV/الركود","متابعة عادية"))</f>
        <v/>
      </c>
      <c r="J102" s="1"/>
    </row>
    <row r="103" spans="1:10" x14ac:dyDescent="0.15">
      <c r="A103" s="1"/>
      <c r="B103" s="1"/>
      <c r="C103" s="1"/>
      <c r="D103" s="1"/>
      <c r="E103" s="1"/>
      <c r="F103" s="1" t="str">
        <f>IF(OR(D103="",E103=""),"",D103*E103)</f>
        <v/>
      </c>
      <c r="G103" s="1" t="str">
        <f ca="1">IF(C103="","",TODAY()-C103)</f>
        <v/>
      </c>
      <c r="H103" s="1" t="str">
        <f ca="1">IF(G103="","",IF(G103&lt;=30,"0-30 يوم",IF(G103&lt;=60,"31-60 يوم",IF(G103&lt;=90,"61-90 يوم",IF(G103&lt;=180,"91-180 يوم",IF(G103&lt;=365,"181-365 يوم","+365 يوم"))))))</f>
        <v/>
      </c>
      <c r="I103" s="1" t="str">
        <f ca="1">IF(G103="","",IF(G103&gt;180,"راجع NRV/الركود","متابعة عادية"))</f>
        <v/>
      </c>
      <c r="J103" s="1"/>
    </row>
  </sheetData>
  <mergeCells count="1">
    <mergeCell ref="A1:J1"/>
  </mergeCell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3"/>
  <sheetViews>
    <sheetView showGridLines="0" workbookViewId="0">
      <pane ySplit="3" topLeftCell="A4" activePane="bottomLeft" state="frozen"/>
      <selection pane="bottomLeft"/>
    </sheetView>
  </sheetViews>
  <sheetFormatPr defaultRowHeight="13.5" x14ac:dyDescent="0.15"/>
  <cols>
    <col min="1" max="11" width="19" customWidth="1"/>
  </cols>
  <sheetData>
    <row r="1" spans="1:11" ht="22.5" x14ac:dyDescent="0.15">
      <c r="A1" s="14" t="s">
        <v>112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15">
      <c r="A3" s="2" t="s">
        <v>45</v>
      </c>
      <c r="B3" s="2" t="s">
        <v>46</v>
      </c>
      <c r="C3" s="2" t="s">
        <v>113</v>
      </c>
      <c r="D3" s="2" t="s">
        <v>49</v>
      </c>
      <c r="E3" s="2" t="s">
        <v>50</v>
      </c>
      <c r="F3" s="2" t="s">
        <v>51</v>
      </c>
      <c r="G3" s="2" t="s">
        <v>114</v>
      </c>
      <c r="H3" s="2" t="s">
        <v>115</v>
      </c>
      <c r="I3" s="2" t="s">
        <v>116</v>
      </c>
      <c r="J3" s="2" t="s">
        <v>117</v>
      </c>
      <c r="K3" s="2" t="s">
        <v>11</v>
      </c>
    </row>
    <row r="4" spans="1:11" x14ac:dyDescent="0.15">
      <c r="A4" s="1"/>
      <c r="B4" s="1"/>
      <c r="C4" s="1"/>
      <c r="D4" s="1"/>
      <c r="E4" s="1"/>
      <c r="F4" s="1"/>
      <c r="G4" s="1" t="str">
        <f>IF(C4="","",IF(C4&lt;=D4,"حرج",IF(C4&lt;=E4,"إعادة طلب قريبًا","طبيعي")))</f>
        <v/>
      </c>
      <c r="H4" s="1" t="str">
        <f>IF(OR(C4="",F4=""),"",MAX(0,F4-C4))</f>
        <v/>
      </c>
      <c r="I4" s="1"/>
      <c r="J4" s="1" t="str">
        <f>IF(OR(C4="",I4="",I4=0),"",C4/I4)</f>
        <v/>
      </c>
      <c r="K4" s="1"/>
    </row>
    <row r="5" spans="1:11" x14ac:dyDescent="0.15">
      <c r="A5" s="1"/>
      <c r="B5" s="1"/>
      <c r="C5" s="1"/>
      <c r="D5" s="1"/>
      <c r="E5" s="1"/>
      <c r="F5" s="1"/>
      <c r="G5" s="1" t="str">
        <f>IF(C5="","",IF(C5&lt;=D5,"حرج",IF(C5&lt;=E5,"إعادة طلب قريبًا","طبيعي")))</f>
        <v/>
      </c>
      <c r="H5" s="1" t="str">
        <f>IF(OR(C5="",F5=""),"",MAX(0,F5-C5))</f>
        <v/>
      </c>
      <c r="I5" s="1"/>
      <c r="J5" s="1" t="str">
        <f>IF(OR(C5="",I5="",I5=0),"",C5/I5)</f>
        <v/>
      </c>
      <c r="K5" s="1"/>
    </row>
    <row r="6" spans="1:11" x14ac:dyDescent="0.15">
      <c r="A6" s="1"/>
      <c r="B6" s="1"/>
      <c r="C6" s="1"/>
      <c r="D6" s="1"/>
      <c r="E6" s="1"/>
      <c r="F6" s="1"/>
      <c r="G6" s="1" t="str">
        <f>IF(C6="","",IF(C6&lt;=D6,"حرج",IF(C6&lt;=E6,"إعادة طلب قريبًا","طبيعي")))</f>
        <v/>
      </c>
      <c r="H6" s="1" t="str">
        <f>IF(OR(C6="",F6=""),"",MAX(0,F6-C6))</f>
        <v/>
      </c>
      <c r="I6" s="1"/>
      <c r="J6" s="1" t="str">
        <f>IF(OR(C6="",I6="",I6=0),"",C6/I6)</f>
        <v/>
      </c>
      <c r="K6" s="1"/>
    </row>
    <row r="7" spans="1:11" x14ac:dyDescent="0.15">
      <c r="A7" s="1"/>
      <c r="B7" s="1"/>
      <c r="C7" s="1"/>
      <c r="D7" s="1"/>
      <c r="E7" s="1"/>
      <c r="F7" s="1"/>
      <c r="G7" s="1" t="str">
        <f>IF(C7="","",IF(C7&lt;=D7,"حرج",IF(C7&lt;=E7,"إعادة طلب قريبًا","طبيعي")))</f>
        <v/>
      </c>
      <c r="H7" s="1" t="str">
        <f>IF(OR(C7="",F7=""),"",MAX(0,F7-C7))</f>
        <v/>
      </c>
      <c r="I7" s="1"/>
      <c r="J7" s="1" t="str">
        <f>IF(OR(C7="",I7="",I7=0),"",C7/I7)</f>
        <v/>
      </c>
      <c r="K7" s="1"/>
    </row>
    <row r="8" spans="1:11" x14ac:dyDescent="0.15">
      <c r="A8" s="1"/>
      <c r="B8" s="1"/>
      <c r="C8" s="1"/>
      <c r="D8" s="1"/>
      <c r="E8" s="1"/>
      <c r="F8" s="1"/>
      <c r="G8" s="1" t="str">
        <f>IF(C8="","",IF(C8&lt;=D8,"حرج",IF(C8&lt;=E8,"إعادة طلب قريبًا","طبيعي")))</f>
        <v/>
      </c>
      <c r="H8" s="1" t="str">
        <f>IF(OR(C8="",F8=""),"",MAX(0,F8-C8))</f>
        <v/>
      </c>
      <c r="I8" s="1"/>
      <c r="J8" s="1" t="str">
        <f>IF(OR(C8="",I8="",I8=0),"",C8/I8)</f>
        <v/>
      </c>
      <c r="K8" s="1"/>
    </row>
    <row r="9" spans="1:11" x14ac:dyDescent="0.15">
      <c r="A9" s="1"/>
      <c r="B9" s="1"/>
      <c r="C9" s="1"/>
      <c r="D9" s="1"/>
      <c r="E9" s="1"/>
      <c r="F9" s="1"/>
      <c r="G9" s="1" t="str">
        <f>IF(C9="","",IF(C9&lt;=D9,"حرج",IF(C9&lt;=E9,"إعادة طلب قريبًا","طبيعي")))</f>
        <v/>
      </c>
      <c r="H9" s="1" t="str">
        <f>IF(OR(C9="",F9=""),"",MAX(0,F9-C9))</f>
        <v/>
      </c>
      <c r="I9" s="1"/>
      <c r="J9" s="1" t="str">
        <f>IF(OR(C9="",I9="",I9=0),"",C9/I9)</f>
        <v/>
      </c>
      <c r="K9" s="1"/>
    </row>
    <row r="10" spans="1:11" x14ac:dyDescent="0.15">
      <c r="A10" s="1"/>
      <c r="B10" s="1"/>
      <c r="C10" s="1"/>
      <c r="D10" s="1"/>
      <c r="E10" s="1"/>
      <c r="F10" s="1"/>
      <c r="G10" s="1" t="str">
        <f>IF(C10="","",IF(C10&lt;=D10,"حرج",IF(C10&lt;=E10,"إعادة طلب قريبًا","طبيعي")))</f>
        <v/>
      </c>
      <c r="H10" s="1" t="str">
        <f>IF(OR(C10="",F10=""),"",MAX(0,F10-C10))</f>
        <v/>
      </c>
      <c r="I10" s="1"/>
      <c r="J10" s="1" t="str">
        <f>IF(OR(C10="",I10="",I10=0),"",C10/I10)</f>
        <v/>
      </c>
      <c r="K10" s="1"/>
    </row>
    <row r="11" spans="1:11" x14ac:dyDescent="0.15">
      <c r="A11" s="1"/>
      <c r="B11" s="1"/>
      <c r="C11" s="1"/>
      <c r="D11" s="1"/>
      <c r="E11" s="1"/>
      <c r="F11" s="1"/>
      <c r="G11" s="1" t="str">
        <f>IF(C11="","",IF(C11&lt;=D11,"حرج",IF(C11&lt;=E11,"إعادة طلب قريبًا","طبيعي")))</f>
        <v/>
      </c>
      <c r="H11" s="1" t="str">
        <f>IF(OR(C11="",F11=""),"",MAX(0,F11-C11))</f>
        <v/>
      </c>
      <c r="I11" s="1"/>
      <c r="J11" s="1" t="str">
        <f>IF(OR(C11="",I11="",I11=0),"",C11/I11)</f>
        <v/>
      </c>
      <c r="K11" s="1"/>
    </row>
    <row r="12" spans="1:11" x14ac:dyDescent="0.15">
      <c r="A12" s="1"/>
      <c r="B12" s="1"/>
      <c r="C12" s="1"/>
      <c r="D12" s="1"/>
      <c r="E12" s="1"/>
      <c r="F12" s="1"/>
      <c r="G12" s="1" t="str">
        <f>IF(C12="","",IF(C12&lt;=D12,"حرج",IF(C12&lt;=E12,"إعادة طلب قريبًا","طبيعي")))</f>
        <v/>
      </c>
      <c r="H12" s="1" t="str">
        <f>IF(OR(C12="",F12=""),"",MAX(0,F12-C12))</f>
        <v/>
      </c>
      <c r="I12" s="1"/>
      <c r="J12" s="1" t="str">
        <f>IF(OR(C12="",I12="",I12=0),"",C12/I12)</f>
        <v/>
      </c>
      <c r="K12" s="1"/>
    </row>
    <row r="13" spans="1:11" x14ac:dyDescent="0.15">
      <c r="A13" s="1"/>
      <c r="B13" s="1"/>
      <c r="C13" s="1"/>
      <c r="D13" s="1"/>
      <c r="E13" s="1"/>
      <c r="F13" s="1"/>
      <c r="G13" s="1" t="str">
        <f>IF(C13="","",IF(C13&lt;=D13,"حرج",IF(C13&lt;=E13,"إعادة طلب قريبًا","طبيعي")))</f>
        <v/>
      </c>
      <c r="H13" s="1" t="str">
        <f>IF(OR(C13="",F13=""),"",MAX(0,F13-C13))</f>
        <v/>
      </c>
      <c r="I13" s="1"/>
      <c r="J13" s="1" t="str">
        <f>IF(OR(C13="",I13="",I13=0),"",C13/I13)</f>
        <v/>
      </c>
      <c r="K13" s="1"/>
    </row>
    <row r="14" spans="1:11" x14ac:dyDescent="0.15">
      <c r="A14" s="1"/>
      <c r="B14" s="1"/>
      <c r="C14" s="1"/>
      <c r="D14" s="1"/>
      <c r="E14" s="1"/>
      <c r="F14" s="1"/>
      <c r="G14" s="1" t="str">
        <f>IF(C14="","",IF(C14&lt;=D14,"حرج",IF(C14&lt;=E14,"إعادة طلب قريبًا","طبيعي")))</f>
        <v/>
      </c>
      <c r="H14" s="1" t="str">
        <f>IF(OR(C14="",F14=""),"",MAX(0,F14-C14))</f>
        <v/>
      </c>
      <c r="I14" s="1"/>
      <c r="J14" s="1" t="str">
        <f>IF(OR(C14="",I14="",I14=0),"",C14/I14)</f>
        <v/>
      </c>
      <c r="K14" s="1"/>
    </row>
    <row r="15" spans="1:11" x14ac:dyDescent="0.15">
      <c r="A15" s="1"/>
      <c r="B15" s="1"/>
      <c r="C15" s="1"/>
      <c r="D15" s="1"/>
      <c r="E15" s="1"/>
      <c r="F15" s="1"/>
      <c r="G15" s="1" t="str">
        <f>IF(C15="","",IF(C15&lt;=D15,"حرج",IF(C15&lt;=E15,"إعادة طلب قريبًا","طبيعي")))</f>
        <v/>
      </c>
      <c r="H15" s="1" t="str">
        <f>IF(OR(C15="",F15=""),"",MAX(0,F15-C15))</f>
        <v/>
      </c>
      <c r="I15" s="1"/>
      <c r="J15" s="1" t="str">
        <f>IF(OR(C15="",I15="",I15=0),"",C15/I15)</f>
        <v/>
      </c>
      <c r="K15" s="1"/>
    </row>
    <row r="16" spans="1:11" x14ac:dyDescent="0.15">
      <c r="A16" s="1"/>
      <c r="B16" s="1"/>
      <c r="C16" s="1"/>
      <c r="D16" s="1"/>
      <c r="E16" s="1"/>
      <c r="F16" s="1"/>
      <c r="G16" s="1" t="str">
        <f>IF(C16="","",IF(C16&lt;=D16,"حرج",IF(C16&lt;=E16,"إعادة طلب قريبًا","طبيعي")))</f>
        <v/>
      </c>
      <c r="H16" s="1" t="str">
        <f>IF(OR(C16="",F16=""),"",MAX(0,F16-C16))</f>
        <v/>
      </c>
      <c r="I16" s="1"/>
      <c r="J16" s="1" t="str">
        <f>IF(OR(C16="",I16="",I16=0),"",C16/I16)</f>
        <v/>
      </c>
      <c r="K16" s="1"/>
    </row>
    <row r="17" spans="1:11" x14ac:dyDescent="0.15">
      <c r="A17" s="1"/>
      <c r="B17" s="1"/>
      <c r="C17" s="1"/>
      <c r="D17" s="1"/>
      <c r="E17" s="1"/>
      <c r="F17" s="1"/>
      <c r="G17" s="1" t="str">
        <f>IF(C17="","",IF(C17&lt;=D17,"حرج",IF(C17&lt;=E17,"إعادة طلب قريبًا","طبيعي")))</f>
        <v/>
      </c>
      <c r="H17" s="1" t="str">
        <f>IF(OR(C17="",F17=""),"",MAX(0,F17-C17))</f>
        <v/>
      </c>
      <c r="I17" s="1"/>
      <c r="J17" s="1" t="str">
        <f>IF(OR(C17="",I17="",I17=0),"",C17/I17)</f>
        <v/>
      </c>
      <c r="K17" s="1"/>
    </row>
    <row r="18" spans="1:11" x14ac:dyDescent="0.15">
      <c r="A18" s="1"/>
      <c r="B18" s="1"/>
      <c r="C18" s="1"/>
      <c r="D18" s="1"/>
      <c r="E18" s="1"/>
      <c r="F18" s="1"/>
      <c r="G18" s="1" t="str">
        <f>IF(C18="","",IF(C18&lt;=D18,"حرج",IF(C18&lt;=E18,"إعادة طلب قريبًا","طبيعي")))</f>
        <v/>
      </c>
      <c r="H18" s="1" t="str">
        <f>IF(OR(C18="",F18=""),"",MAX(0,F18-C18))</f>
        <v/>
      </c>
      <c r="I18" s="1"/>
      <c r="J18" s="1" t="str">
        <f>IF(OR(C18="",I18="",I18=0),"",C18/I18)</f>
        <v/>
      </c>
      <c r="K18" s="1"/>
    </row>
    <row r="19" spans="1:11" x14ac:dyDescent="0.15">
      <c r="A19" s="1"/>
      <c r="B19" s="1"/>
      <c r="C19" s="1"/>
      <c r="D19" s="1"/>
      <c r="E19" s="1"/>
      <c r="F19" s="1"/>
      <c r="G19" s="1" t="str">
        <f>IF(C19="","",IF(C19&lt;=D19,"حرج",IF(C19&lt;=E19,"إعادة طلب قريبًا","طبيعي")))</f>
        <v/>
      </c>
      <c r="H19" s="1" t="str">
        <f>IF(OR(C19="",F19=""),"",MAX(0,F19-C19))</f>
        <v/>
      </c>
      <c r="I19" s="1"/>
      <c r="J19" s="1" t="str">
        <f>IF(OR(C19="",I19="",I19=0),"",C19/I19)</f>
        <v/>
      </c>
      <c r="K19" s="1"/>
    </row>
    <row r="20" spans="1:11" x14ac:dyDescent="0.15">
      <c r="A20" s="1"/>
      <c r="B20" s="1"/>
      <c r="C20" s="1"/>
      <c r="D20" s="1"/>
      <c r="E20" s="1"/>
      <c r="F20" s="1"/>
      <c r="G20" s="1" t="str">
        <f>IF(C20="","",IF(C20&lt;=D20,"حرج",IF(C20&lt;=E20,"إعادة طلب قريبًا","طبيعي")))</f>
        <v/>
      </c>
      <c r="H20" s="1" t="str">
        <f>IF(OR(C20="",F20=""),"",MAX(0,F20-C20))</f>
        <v/>
      </c>
      <c r="I20" s="1"/>
      <c r="J20" s="1" t="str">
        <f>IF(OR(C20="",I20="",I20=0),"",C20/I20)</f>
        <v/>
      </c>
      <c r="K20" s="1"/>
    </row>
    <row r="21" spans="1:11" x14ac:dyDescent="0.15">
      <c r="A21" s="1"/>
      <c r="B21" s="1"/>
      <c r="C21" s="1"/>
      <c r="D21" s="1"/>
      <c r="E21" s="1"/>
      <c r="F21" s="1"/>
      <c r="G21" s="1" t="str">
        <f>IF(C21="","",IF(C21&lt;=D21,"حرج",IF(C21&lt;=E21,"إعادة طلب قريبًا","طبيعي")))</f>
        <v/>
      </c>
      <c r="H21" s="1" t="str">
        <f>IF(OR(C21="",F21=""),"",MAX(0,F21-C21))</f>
        <v/>
      </c>
      <c r="I21" s="1"/>
      <c r="J21" s="1" t="str">
        <f>IF(OR(C21="",I21="",I21=0),"",C21/I21)</f>
        <v/>
      </c>
      <c r="K21" s="1"/>
    </row>
    <row r="22" spans="1:11" x14ac:dyDescent="0.15">
      <c r="A22" s="1"/>
      <c r="B22" s="1"/>
      <c r="C22" s="1"/>
      <c r="D22" s="1"/>
      <c r="E22" s="1"/>
      <c r="F22" s="1"/>
      <c r="G22" s="1" t="str">
        <f>IF(C22="","",IF(C22&lt;=D22,"حرج",IF(C22&lt;=E22,"إعادة طلب قريبًا","طبيعي")))</f>
        <v/>
      </c>
      <c r="H22" s="1" t="str">
        <f>IF(OR(C22="",F22=""),"",MAX(0,F22-C22))</f>
        <v/>
      </c>
      <c r="I22" s="1"/>
      <c r="J22" s="1" t="str">
        <f>IF(OR(C22="",I22="",I22=0),"",C22/I22)</f>
        <v/>
      </c>
      <c r="K22" s="1"/>
    </row>
    <row r="23" spans="1:11" x14ac:dyDescent="0.15">
      <c r="A23" s="1"/>
      <c r="B23" s="1"/>
      <c r="C23" s="1"/>
      <c r="D23" s="1"/>
      <c r="E23" s="1"/>
      <c r="F23" s="1"/>
      <c r="G23" s="1" t="str">
        <f>IF(C23="","",IF(C23&lt;=D23,"حرج",IF(C23&lt;=E23,"إعادة طلب قريبًا","طبيعي")))</f>
        <v/>
      </c>
      <c r="H23" s="1" t="str">
        <f>IF(OR(C23="",F23=""),"",MAX(0,F23-C23))</f>
        <v/>
      </c>
      <c r="I23" s="1"/>
      <c r="J23" s="1" t="str">
        <f>IF(OR(C23="",I23="",I23=0),"",C23/I23)</f>
        <v/>
      </c>
      <c r="K23" s="1"/>
    </row>
    <row r="24" spans="1:11" x14ac:dyDescent="0.15">
      <c r="A24" s="1"/>
      <c r="B24" s="1"/>
      <c r="C24" s="1"/>
      <c r="D24" s="1"/>
      <c r="E24" s="1"/>
      <c r="F24" s="1"/>
      <c r="G24" s="1" t="str">
        <f>IF(C24="","",IF(C24&lt;=D24,"حرج",IF(C24&lt;=E24,"إعادة طلب قريبًا","طبيعي")))</f>
        <v/>
      </c>
      <c r="H24" s="1" t="str">
        <f>IF(OR(C24="",F24=""),"",MAX(0,F24-C24))</f>
        <v/>
      </c>
      <c r="I24" s="1"/>
      <c r="J24" s="1" t="str">
        <f>IF(OR(C24="",I24="",I24=0),"",C24/I24)</f>
        <v/>
      </c>
      <c r="K24" s="1"/>
    </row>
    <row r="25" spans="1:11" x14ac:dyDescent="0.15">
      <c r="A25" s="1"/>
      <c r="B25" s="1"/>
      <c r="C25" s="1"/>
      <c r="D25" s="1"/>
      <c r="E25" s="1"/>
      <c r="F25" s="1"/>
      <c r="G25" s="1" t="str">
        <f>IF(C25="","",IF(C25&lt;=D25,"حرج",IF(C25&lt;=E25,"إعادة طلب قريبًا","طبيعي")))</f>
        <v/>
      </c>
      <c r="H25" s="1" t="str">
        <f>IF(OR(C25="",F25=""),"",MAX(0,F25-C25))</f>
        <v/>
      </c>
      <c r="I25" s="1"/>
      <c r="J25" s="1" t="str">
        <f>IF(OR(C25="",I25="",I25=0),"",C25/I25)</f>
        <v/>
      </c>
      <c r="K25" s="1"/>
    </row>
    <row r="26" spans="1:11" x14ac:dyDescent="0.15">
      <c r="A26" s="1"/>
      <c r="B26" s="1"/>
      <c r="C26" s="1"/>
      <c r="D26" s="1"/>
      <c r="E26" s="1"/>
      <c r="F26" s="1"/>
      <c r="G26" s="1" t="str">
        <f>IF(C26="","",IF(C26&lt;=D26,"حرج",IF(C26&lt;=E26,"إعادة طلب قريبًا","طبيعي")))</f>
        <v/>
      </c>
      <c r="H26" s="1" t="str">
        <f>IF(OR(C26="",F26=""),"",MAX(0,F26-C26))</f>
        <v/>
      </c>
      <c r="I26" s="1"/>
      <c r="J26" s="1" t="str">
        <f>IF(OR(C26="",I26="",I26=0),"",C26/I26)</f>
        <v/>
      </c>
      <c r="K26" s="1"/>
    </row>
    <row r="27" spans="1:11" x14ac:dyDescent="0.15">
      <c r="A27" s="1"/>
      <c r="B27" s="1"/>
      <c r="C27" s="1"/>
      <c r="D27" s="1"/>
      <c r="E27" s="1"/>
      <c r="F27" s="1"/>
      <c r="G27" s="1" t="str">
        <f>IF(C27="","",IF(C27&lt;=D27,"حرج",IF(C27&lt;=E27,"إعادة طلب قريبًا","طبيعي")))</f>
        <v/>
      </c>
      <c r="H27" s="1" t="str">
        <f>IF(OR(C27="",F27=""),"",MAX(0,F27-C27))</f>
        <v/>
      </c>
      <c r="I27" s="1"/>
      <c r="J27" s="1" t="str">
        <f>IF(OR(C27="",I27="",I27=0),"",C27/I27)</f>
        <v/>
      </c>
      <c r="K27" s="1"/>
    </row>
    <row r="28" spans="1:11" x14ac:dyDescent="0.15">
      <c r="A28" s="1"/>
      <c r="B28" s="1"/>
      <c r="C28" s="1"/>
      <c r="D28" s="1"/>
      <c r="E28" s="1"/>
      <c r="F28" s="1"/>
      <c r="G28" s="1" t="str">
        <f>IF(C28="","",IF(C28&lt;=D28,"حرج",IF(C28&lt;=E28,"إعادة طلب قريبًا","طبيعي")))</f>
        <v/>
      </c>
      <c r="H28" s="1" t="str">
        <f>IF(OR(C28="",F28=""),"",MAX(0,F28-C28))</f>
        <v/>
      </c>
      <c r="I28" s="1"/>
      <c r="J28" s="1" t="str">
        <f>IF(OR(C28="",I28="",I28=0),"",C28/I28)</f>
        <v/>
      </c>
      <c r="K28" s="1"/>
    </row>
    <row r="29" spans="1:11" x14ac:dyDescent="0.15">
      <c r="A29" s="1"/>
      <c r="B29" s="1"/>
      <c r="C29" s="1"/>
      <c r="D29" s="1"/>
      <c r="E29" s="1"/>
      <c r="F29" s="1"/>
      <c r="G29" s="1" t="str">
        <f>IF(C29="","",IF(C29&lt;=D29,"حرج",IF(C29&lt;=E29,"إعادة طلب قريبًا","طبيعي")))</f>
        <v/>
      </c>
      <c r="H29" s="1" t="str">
        <f>IF(OR(C29="",F29=""),"",MAX(0,F29-C29))</f>
        <v/>
      </c>
      <c r="I29" s="1"/>
      <c r="J29" s="1" t="str">
        <f>IF(OR(C29="",I29="",I29=0),"",C29/I29)</f>
        <v/>
      </c>
      <c r="K29" s="1"/>
    </row>
    <row r="30" spans="1:11" x14ac:dyDescent="0.15">
      <c r="A30" s="1"/>
      <c r="B30" s="1"/>
      <c r="C30" s="1"/>
      <c r="D30" s="1"/>
      <c r="E30" s="1"/>
      <c r="F30" s="1"/>
      <c r="G30" s="1" t="str">
        <f>IF(C30="","",IF(C30&lt;=D30,"حرج",IF(C30&lt;=E30,"إعادة طلب قريبًا","طبيعي")))</f>
        <v/>
      </c>
      <c r="H30" s="1" t="str">
        <f>IF(OR(C30="",F30=""),"",MAX(0,F30-C30))</f>
        <v/>
      </c>
      <c r="I30" s="1"/>
      <c r="J30" s="1" t="str">
        <f>IF(OR(C30="",I30="",I30=0),"",C30/I30)</f>
        <v/>
      </c>
      <c r="K30" s="1"/>
    </row>
    <row r="31" spans="1:11" x14ac:dyDescent="0.15">
      <c r="A31" s="1"/>
      <c r="B31" s="1"/>
      <c r="C31" s="1"/>
      <c r="D31" s="1"/>
      <c r="E31" s="1"/>
      <c r="F31" s="1"/>
      <c r="G31" s="1" t="str">
        <f>IF(C31="","",IF(C31&lt;=D31,"حرج",IF(C31&lt;=E31,"إعادة طلب قريبًا","طبيعي")))</f>
        <v/>
      </c>
      <c r="H31" s="1" t="str">
        <f>IF(OR(C31="",F31=""),"",MAX(0,F31-C31))</f>
        <v/>
      </c>
      <c r="I31" s="1"/>
      <c r="J31" s="1" t="str">
        <f>IF(OR(C31="",I31="",I31=0),"",C31/I31)</f>
        <v/>
      </c>
      <c r="K31" s="1"/>
    </row>
    <row r="32" spans="1:11" x14ac:dyDescent="0.15">
      <c r="A32" s="1"/>
      <c r="B32" s="1"/>
      <c r="C32" s="1"/>
      <c r="D32" s="1"/>
      <c r="E32" s="1"/>
      <c r="F32" s="1"/>
      <c r="G32" s="1" t="str">
        <f>IF(C32="","",IF(C32&lt;=D32,"حرج",IF(C32&lt;=E32,"إعادة طلب قريبًا","طبيعي")))</f>
        <v/>
      </c>
      <c r="H32" s="1" t="str">
        <f>IF(OR(C32="",F32=""),"",MAX(0,F32-C32))</f>
        <v/>
      </c>
      <c r="I32" s="1"/>
      <c r="J32" s="1" t="str">
        <f>IF(OR(C32="",I32="",I32=0),"",C32/I32)</f>
        <v/>
      </c>
      <c r="K32" s="1"/>
    </row>
    <row r="33" spans="1:11" x14ac:dyDescent="0.15">
      <c r="A33" s="1"/>
      <c r="B33" s="1"/>
      <c r="C33" s="1"/>
      <c r="D33" s="1"/>
      <c r="E33" s="1"/>
      <c r="F33" s="1"/>
      <c r="G33" s="1" t="str">
        <f>IF(C33="","",IF(C33&lt;=D33,"حرج",IF(C33&lt;=E33,"إعادة طلب قريبًا","طبيعي")))</f>
        <v/>
      </c>
      <c r="H33" s="1" t="str">
        <f>IF(OR(C33="",F33=""),"",MAX(0,F33-C33))</f>
        <v/>
      </c>
      <c r="I33" s="1"/>
      <c r="J33" s="1" t="str">
        <f>IF(OR(C33="",I33="",I33=0),"",C33/I33)</f>
        <v/>
      </c>
      <c r="K33" s="1"/>
    </row>
    <row r="34" spans="1:11" x14ac:dyDescent="0.15">
      <c r="A34" s="1"/>
      <c r="B34" s="1"/>
      <c r="C34" s="1"/>
      <c r="D34" s="1"/>
      <c r="E34" s="1"/>
      <c r="F34" s="1"/>
      <c r="G34" s="1" t="str">
        <f>IF(C34="","",IF(C34&lt;=D34,"حرج",IF(C34&lt;=E34,"إعادة طلب قريبًا","طبيعي")))</f>
        <v/>
      </c>
      <c r="H34" s="1" t="str">
        <f>IF(OR(C34="",F34=""),"",MAX(0,F34-C34))</f>
        <v/>
      </c>
      <c r="I34" s="1"/>
      <c r="J34" s="1" t="str">
        <f>IF(OR(C34="",I34="",I34=0),"",C34/I34)</f>
        <v/>
      </c>
      <c r="K34" s="1"/>
    </row>
    <row r="35" spans="1:11" x14ac:dyDescent="0.15">
      <c r="A35" s="1"/>
      <c r="B35" s="1"/>
      <c r="C35" s="1"/>
      <c r="D35" s="1"/>
      <c r="E35" s="1"/>
      <c r="F35" s="1"/>
      <c r="G35" s="1" t="str">
        <f>IF(C35="","",IF(C35&lt;=D35,"حرج",IF(C35&lt;=E35,"إعادة طلب قريبًا","طبيعي")))</f>
        <v/>
      </c>
      <c r="H35" s="1" t="str">
        <f>IF(OR(C35="",F35=""),"",MAX(0,F35-C35))</f>
        <v/>
      </c>
      <c r="I35" s="1"/>
      <c r="J35" s="1" t="str">
        <f>IF(OR(C35="",I35="",I35=0),"",C35/I35)</f>
        <v/>
      </c>
      <c r="K35" s="1"/>
    </row>
    <row r="36" spans="1:11" x14ac:dyDescent="0.15">
      <c r="A36" s="1"/>
      <c r="B36" s="1"/>
      <c r="C36" s="1"/>
      <c r="D36" s="1"/>
      <c r="E36" s="1"/>
      <c r="F36" s="1"/>
      <c r="G36" s="1" t="str">
        <f>IF(C36="","",IF(C36&lt;=D36,"حرج",IF(C36&lt;=E36,"إعادة طلب قريبًا","طبيعي")))</f>
        <v/>
      </c>
      <c r="H36" s="1" t="str">
        <f>IF(OR(C36="",F36=""),"",MAX(0,F36-C36))</f>
        <v/>
      </c>
      <c r="I36" s="1"/>
      <c r="J36" s="1" t="str">
        <f>IF(OR(C36="",I36="",I36=0),"",C36/I36)</f>
        <v/>
      </c>
      <c r="K36" s="1"/>
    </row>
    <row r="37" spans="1:11" x14ac:dyDescent="0.15">
      <c r="A37" s="1"/>
      <c r="B37" s="1"/>
      <c r="C37" s="1"/>
      <c r="D37" s="1"/>
      <c r="E37" s="1"/>
      <c r="F37" s="1"/>
      <c r="G37" s="1" t="str">
        <f>IF(C37="","",IF(C37&lt;=D37,"حرج",IF(C37&lt;=E37,"إعادة طلب قريبًا","طبيعي")))</f>
        <v/>
      </c>
      <c r="H37" s="1" t="str">
        <f>IF(OR(C37="",F37=""),"",MAX(0,F37-C37))</f>
        <v/>
      </c>
      <c r="I37" s="1"/>
      <c r="J37" s="1" t="str">
        <f>IF(OR(C37="",I37="",I37=0),"",C37/I37)</f>
        <v/>
      </c>
      <c r="K37" s="1"/>
    </row>
    <row r="38" spans="1:11" x14ac:dyDescent="0.15">
      <c r="A38" s="1"/>
      <c r="B38" s="1"/>
      <c r="C38" s="1"/>
      <c r="D38" s="1"/>
      <c r="E38" s="1"/>
      <c r="F38" s="1"/>
      <c r="G38" s="1" t="str">
        <f>IF(C38="","",IF(C38&lt;=D38,"حرج",IF(C38&lt;=E38,"إعادة طلب قريبًا","طبيعي")))</f>
        <v/>
      </c>
      <c r="H38" s="1" t="str">
        <f>IF(OR(C38="",F38=""),"",MAX(0,F38-C38))</f>
        <v/>
      </c>
      <c r="I38" s="1"/>
      <c r="J38" s="1" t="str">
        <f>IF(OR(C38="",I38="",I38=0),"",C38/I38)</f>
        <v/>
      </c>
      <c r="K38" s="1"/>
    </row>
    <row r="39" spans="1:11" x14ac:dyDescent="0.15">
      <c r="A39" s="1"/>
      <c r="B39" s="1"/>
      <c r="C39" s="1"/>
      <c r="D39" s="1"/>
      <c r="E39" s="1"/>
      <c r="F39" s="1"/>
      <c r="G39" s="1" t="str">
        <f>IF(C39="","",IF(C39&lt;=D39,"حرج",IF(C39&lt;=E39,"إعادة طلب قريبًا","طبيعي")))</f>
        <v/>
      </c>
      <c r="H39" s="1" t="str">
        <f>IF(OR(C39="",F39=""),"",MAX(0,F39-C39))</f>
        <v/>
      </c>
      <c r="I39" s="1"/>
      <c r="J39" s="1" t="str">
        <f>IF(OR(C39="",I39="",I39=0),"",C39/I39)</f>
        <v/>
      </c>
      <c r="K39" s="1"/>
    </row>
    <row r="40" spans="1:11" x14ac:dyDescent="0.15">
      <c r="A40" s="1"/>
      <c r="B40" s="1"/>
      <c r="C40" s="1"/>
      <c r="D40" s="1"/>
      <c r="E40" s="1"/>
      <c r="F40" s="1"/>
      <c r="G40" s="1" t="str">
        <f>IF(C40="","",IF(C40&lt;=D40,"حرج",IF(C40&lt;=E40,"إعادة طلب قريبًا","طبيعي")))</f>
        <v/>
      </c>
      <c r="H40" s="1" t="str">
        <f>IF(OR(C40="",F40=""),"",MAX(0,F40-C40))</f>
        <v/>
      </c>
      <c r="I40" s="1"/>
      <c r="J40" s="1" t="str">
        <f>IF(OR(C40="",I40="",I40=0),"",C40/I40)</f>
        <v/>
      </c>
      <c r="K40" s="1"/>
    </row>
    <row r="41" spans="1:11" x14ac:dyDescent="0.15">
      <c r="A41" s="1"/>
      <c r="B41" s="1"/>
      <c r="C41" s="1"/>
      <c r="D41" s="1"/>
      <c r="E41" s="1"/>
      <c r="F41" s="1"/>
      <c r="G41" s="1" t="str">
        <f>IF(C41="","",IF(C41&lt;=D41,"حرج",IF(C41&lt;=E41,"إعادة طلب قريبًا","طبيعي")))</f>
        <v/>
      </c>
      <c r="H41" s="1" t="str">
        <f>IF(OR(C41="",F41=""),"",MAX(0,F41-C41))</f>
        <v/>
      </c>
      <c r="I41" s="1"/>
      <c r="J41" s="1" t="str">
        <f>IF(OR(C41="",I41="",I41=0),"",C41/I41)</f>
        <v/>
      </c>
      <c r="K41" s="1"/>
    </row>
    <row r="42" spans="1:11" x14ac:dyDescent="0.15">
      <c r="A42" s="1"/>
      <c r="B42" s="1"/>
      <c r="C42" s="1"/>
      <c r="D42" s="1"/>
      <c r="E42" s="1"/>
      <c r="F42" s="1"/>
      <c r="G42" s="1" t="str">
        <f>IF(C42="","",IF(C42&lt;=D42,"حرج",IF(C42&lt;=E42,"إعادة طلب قريبًا","طبيعي")))</f>
        <v/>
      </c>
      <c r="H42" s="1" t="str">
        <f>IF(OR(C42="",F42=""),"",MAX(0,F42-C42))</f>
        <v/>
      </c>
      <c r="I42" s="1"/>
      <c r="J42" s="1" t="str">
        <f>IF(OR(C42="",I42="",I42=0),"",C42/I42)</f>
        <v/>
      </c>
      <c r="K42" s="1"/>
    </row>
    <row r="43" spans="1:11" x14ac:dyDescent="0.15">
      <c r="A43" s="1"/>
      <c r="B43" s="1"/>
      <c r="C43" s="1"/>
      <c r="D43" s="1"/>
      <c r="E43" s="1"/>
      <c r="F43" s="1"/>
      <c r="G43" s="1" t="str">
        <f>IF(C43="","",IF(C43&lt;=D43,"حرج",IF(C43&lt;=E43,"إعادة طلب قريبًا","طبيعي")))</f>
        <v/>
      </c>
      <c r="H43" s="1" t="str">
        <f>IF(OR(C43="",F43=""),"",MAX(0,F43-C43))</f>
        <v/>
      </c>
      <c r="I43" s="1"/>
      <c r="J43" s="1" t="str">
        <f>IF(OR(C43="",I43="",I43=0),"",C43/I43)</f>
        <v/>
      </c>
      <c r="K43" s="1"/>
    </row>
    <row r="44" spans="1:11" x14ac:dyDescent="0.15">
      <c r="A44" s="1"/>
      <c r="B44" s="1"/>
      <c r="C44" s="1"/>
      <c r="D44" s="1"/>
      <c r="E44" s="1"/>
      <c r="F44" s="1"/>
      <c r="G44" s="1" t="str">
        <f>IF(C44="","",IF(C44&lt;=D44,"حرج",IF(C44&lt;=E44,"إعادة طلب قريبًا","طبيعي")))</f>
        <v/>
      </c>
      <c r="H44" s="1" t="str">
        <f>IF(OR(C44="",F44=""),"",MAX(0,F44-C44))</f>
        <v/>
      </c>
      <c r="I44" s="1"/>
      <c r="J44" s="1" t="str">
        <f>IF(OR(C44="",I44="",I44=0),"",C44/I44)</f>
        <v/>
      </c>
      <c r="K44" s="1"/>
    </row>
    <row r="45" spans="1:11" x14ac:dyDescent="0.15">
      <c r="A45" s="1"/>
      <c r="B45" s="1"/>
      <c r="C45" s="1"/>
      <c r="D45" s="1"/>
      <c r="E45" s="1"/>
      <c r="F45" s="1"/>
      <c r="G45" s="1" t="str">
        <f>IF(C45="","",IF(C45&lt;=D45,"حرج",IF(C45&lt;=E45,"إعادة طلب قريبًا","طبيعي")))</f>
        <v/>
      </c>
      <c r="H45" s="1" t="str">
        <f>IF(OR(C45="",F45=""),"",MAX(0,F45-C45))</f>
        <v/>
      </c>
      <c r="I45" s="1"/>
      <c r="J45" s="1" t="str">
        <f>IF(OR(C45="",I45="",I45=0),"",C45/I45)</f>
        <v/>
      </c>
      <c r="K45" s="1"/>
    </row>
    <row r="46" spans="1:11" x14ac:dyDescent="0.15">
      <c r="A46" s="1"/>
      <c r="B46" s="1"/>
      <c r="C46" s="1"/>
      <c r="D46" s="1"/>
      <c r="E46" s="1"/>
      <c r="F46" s="1"/>
      <c r="G46" s="1" t="str">
        <f>IF(C46="","",IF(C46&lt;=D46,"حرج",IF(C46&lt;=E46,"إعادة طلب قريبًا","طبيعي")))</f>
        <v/>
      </c>
      <c r="H46" s="1" t="str">
        <f>IF(OR(C46="",F46=""),"",MAX(0,F46-C46))</f>
        <v/>
      </c>
      <c r="I46" s="1"/>
      <c r="J46" s="1" t="str">
        <f>IF(OR(C46="",I46="",I46=0),"",C46/I46)</f>
        <v/>
      </c>
      <c r="K46" s="1"/>
    </row>
    <row r="47" spans="1:11" x14ac:dyDescent="0.15">
      <c r="A47" s="1"/>
      <c r="B47" s="1"/>
      <c r="C47" s="1"/>
      <c r="D47" s="1"/>
      <c r="E47" s="1"/>
      <c r="F47" s="1"/>
      <c r="G47" s="1" t="str">
        <f>IF(C47="","",IF(C47&lt;=D47,"حرج",IF(C47&lt;=E47,"إعادة طلب قريبًا","طبيعي")))</f>
        <v/>
      </c>
      <c r="H47" s="1" t="str">
        <f>IF(OR(C47="",F47=""),"",MAX(0,F47-C47))</f>
        <v/>
      </c>
      <c r="I47" s="1"/>
      <c r="J47" s="1" t="str">
        <f>IF(OR(C47="",I47="",I47=0),"",C47/I47)</f>
        <v/>
      </c>
      <c r="K47" s="1"/>
    </row>
    <row r="48" spans="1:11" x14ac:dyDescent="0.15">
      <c r="A48" s="1"/>
      <c r="B48" s="1"/>
      <c r="C48" s="1"/>
      <c r="D48" s="1"/>
      <c r="E48" s="1"/>
      <c r="F48" s="1"/>
      <c r="G48" s="1" t="str">
        <f>IF(C48="","",IF(C48&lt;=D48,"حرج",IF(C48&lt;=E48,"إعادة طلب قريبًا","طبيعي")))</f>
        <v/>
      </c>
      <c r="H48" s="1" t="str">
        <f>IF(OR(C48="",F48=""),"",MAX(0,F48-C48))</f>
        <v/>
      </c>
      <c r="I48" s="1"/>
      <c r="J48" s="1" t="str">
        <f>IF(OR(C48="",I48="",I48=0),"",C48/I48)</f>
        <v/>
      </c>
      <c r="K48" s="1"/>
    </row>
    <row r="49" spans="1:11" x14ac:dyDescent="0.15">
      <c r="A49" s="1"/>
      <c r="B49" s="1"/>
      <c r="C49" s="1"/>
      <c r="D49" s="1"/>
      <c r="E49" s="1"/>
      <c r="F49" s="1"/>
      <c r="G49" s="1" t="str">
        <f>IF(C49="","",IF(C49&lt;=D49,"حرج",IF(C49&lt;=E49,"إعادة طلب قريبًا","طبيعي")))</f>
        <v/>
      </c>
      <c r="H49" s="1" t="str">
        <f>IF(OR(C49="",F49=""),"",MAX(0,F49-C49))</f>
        <v/>
      </c>
      <c r="I49" s="1"/>
      <c r="J49" s="1" t="str">
        <f>IF(OR(C49="",I49="",I49=0),"",C49/I49)</f>
        <v/>
      </c>
      <c r="K49" s="1"/>
    </row>
    <row r="50" spans="1:11" x14ac:dyDescent="0.15">
      <c r="A50" s="1"/>
      <c r="B50" s="1"/>
      <c r="C50" s="1"/>
      <c r="D50" s="1"/>
      <c r="E50" s="1"/>
      <c r="F50" s="1"/>
      <c r="G50" s="1" t="str">
        <f>IF(C50="","",IF(C50&lt;=D50,"حرج",IF(C50&lt;=E50,"إعادة طلب قريبًا","طبيعي")))</f>
        <v/>
      </c>
      <c r="H50" s="1" t="str">
        <f>IF(OR(C50="",F50=""),"",MAX(0,F50-C50))</f>
        <v/>
      </c>
      <c r="I50" s="1"/>
      <c r="J50" s="1" t="str">
        <f>IF(OR(C50="",I50="",I50=0),"",C50/I50)</f>
        <v/>
      </c>
      <c r="K50" s="1"/>
    </row>
    <row r="51" spans="1:11" x14ac:dyDescent="0.15">
      <c r="A51" s="1"/>
      <c r="B51" s="1"/>
      <c r="C51" s="1"/>
      <c r="D51" s="1"/>
      <c r="E51" s="1"/>
      <c r="F51" s="1"/>
      <c r="G51" s="1" t="str">
        <f>IF(C51="","",IF(C51&lt;=D51,"حرج",IF(C51&lt;=E51,"إعادة طلب قريبًا","طبيعي")))</f>
        <v/>
      </c>
      <c r="H51" s="1" t="str">
        <f>IF(OR(C51="",F51=""),"",MAX(0,F51-C51))</f>
        <v/>
      </c>
      <c r="I51" s="1"/>
      <c r="J51" s="1" t="str">
        <f>IF(OR(C51="",I51="",I51=0),"",C51/I51)</f>
        <v/>
      </c>
      <c r="K51" s="1"/>
    </row>
    <row r="52" spans="1:11" x14ac:dyDescent="0.15">
      <c r="A52" s="1"/>
      <c r="B52" s="1"/>
      <c r="C52" s="1"/>
      <c r="D52" s="1"/>
      <c r="E52" s="1"/>
      <c r="F52" s="1"/>
      <c r="G52" s="1" t="str">
        <f>IF(C52="","",IF(C52&lt;=D52,"حرج",IF(C52&lt;=E52,"إعادة طلب قريبًا","طبيعي")))</f>
        <v/>
      </c>
      <c r="H52" s="1" t="str">
        <f>IF(OR(C52="",F52=""),"",MAX(0,F52-C52))</f>
        <v/>
      </c>
      <c r="I52" s="1"/>
      <c r="J52" s="1" t="str">
        <f>IF(OR(C52="",I52="",I52=0),"",C52/I52)</f>
        <v/>
      </c>
      <c r="K52" s="1"/>
    </row>
    <row r="53" spans="1:11" x14ac:dyDescent="0.15">
      <c r="A53" s="1"/>
      <c r="B53" s="1"/>
      <c r="C53" s="1"/>
      <c r="D53" s="1"/>
      <c r="E53" s="1"/>
      <c r="F53" s="1"/>
      <c r="G53" s="1" t="str">
        <f>IF(C53="","",IF(C53&lt;=D53,"حرج",IF(C53&lt;=E53,"إعادة طلب قريبًا","طبيعي")))</f>
        <v/>
      </c>
      <c r="H53" s="1" t="str">
        <f>IF(OR(C53="",F53=""),"",MAX(0,F53-C53))</f>
        <v/>
      </c>
      <c r="I53" s="1"/>
      <c r="J53" s="1" t="str">
        <f>IF(OR(C53="",I53="",I53=0),"",C53/I53)</f>
        <v/>
      </c>
      <c r="K53" s="1"/>
    </row>
    <row r="54" spans="1:11" x14ac:dyDescent="0.15">
      <c r="A54" s="1"/>
      <c r="B54" s="1"/>
      <c r="C54" s="1"/>
      <c r="D54" s="1"/>
      <c r="E54" s="1"/>
      <c r="F54" s="1"/>
      <c r="G54" s="1" t="str">
        <f>IF(C54="","",IF(C54&lt;=D54,"حرج",IF(C54&lt;=E54,"إعادة طلب قريبًا","طبيعي")))</f>
        <v/>
      </c>
      <c r="H54" s="1" t="str">
        <f>IF(OR(C54="",F54=""),"",MAX(0,F54-C54))</f>
        <v/>
      </c>
      <c r="I54" s="1"/>
      <c r="J54" s="1" t="str">
        <f>IF(OR(C54="",I54="",I54=0),"",C54/I54)</f>
        <v/>
      </c>
      <c r="K54" s="1"/>
    </row>
    <row r="55" spans="1:11" x14ac:dyDescent="0.15">
      <c r="A55" s="1"/>
      <c r="B55" s="1"/>
      <c r="C55" s="1"/>
      <c r="D55" s="1"/>
      <c r="E55" s="1"/>
      <c r="F55" s="1"/>
      <c r="G55" s="1" t="str">
        <f>IF(C55="","",IF(C55&lt;=D55,"حرج",IF(C55&lt;=E55,"إعادة طلب قريبًا","طبيعي")))</f>
        <v/>
      </c>
      <c r="H55" s="1" t="str">
        <f>IF(OR(C55="",F55=""),"",MAX(0,F55-C55))</f>
        <v/>
      </c>
      <c r="I55" s="1"/>
      <c r="J55" s="1" t="str">
        <f>IF(OR(C55="",I55="",I55=0),"",C55/I55)</f>
        <v/>
      </c>
      <c r="K55" s="1"/>
    </row>
    <row r="56" spans="1:11" x14ac:dyDescent="0.15">
      <c r="A56" s="1"/>
      <c r="B56" s="1"/>
      <c r="C56" s="1"/>
      <c r="D56" s="1"/>
      <c r="E56" s="1"/>
      <c r="F56" s="1"/>
      <c r="G56" s="1" t="str">
        <f>IF(C56="","",IF(C56&lt;=D56,"حرج",IF(C56&lt;=E56,"إعادة طلب قريبًا","طبيعي")))</f>
        <v/>
      </c>
      <c r="H56" s="1" t="str">
        <f>IF(OR(C56="",F56=""),"",MAX(0,F56-C56))</f>
        <v/>
      </c>
      <c r="I56" s="1"/>
      <c r="J56" s="1" t="str">
        <f>IF(OR(C56="",I56="",I56=0),"",C56/I56)</f>
        <v/>
      </c>
      <c r="K56" s="1"/>
    </row>
    <row r="57" spans="1:11" x14ac:dyDescent="0.15">
      <c r="A57" s="1"/>
      <c r="B57" s="1"/>
      <c r="C57" s="1"/>
      <c r="D57" s="1"/>
      <c r="E57" s="1"/>
      <c r="F57" s="1"/>
      <c r="G57" s="1" t="str">
        <f>IF(C57="","",IF(C57&lt;=D57,"حرج",IF(C57&lt;=E57,"إعادة طلب قريبًا","طبيعي")))</f>
        <v/>
      </c>
      <c r="H57" s="1" t="str">
        <f>IF(OR(C57="",F57=""),"",MAX(0,F57-C57))</f>
        <v/>
      </c>
      <c r="I57" s="1"/>
      <c r="J57" s="1" t="str">
        <f>IF(OR(C57="",I57="",I57=0),"",C57/I57)</f>
        <v/>
      </c>
      <c r="K57" s="1"/>
    </row>
    <row r="58" spans="1:11" x14ac:dyDescent="0.15">
      <c r="A58" s="1"/>
      <c r="B58" s="1"/>
      <c r="C58" s="1"/>
      <c r="D58" s="1"/>
      <c r="E58" s="1"/>
      <c r="F58" s="1"/>
      <c r="G58" s="1" t="str">
        <f>IF(C58="","",IF(C58&lt;=D58,"حرج",IF(C58&lt;=E58,"إعادة طلب قريبًا","طبيعي")))</f>
        <v/>
      </c>
      <c r="H58" s="1" t="str">
        <f>IF(OR(C58="",F58=""),"",MAX(0,F58-C58))</f>
        <v/>
      </c>
      <c r="I58" s="1"/>
      <c r="J58" s="1" t="str">
        <f>IF(OR(C58="",I58="",I58=0),"",C58/I58)</f>
        <v/>
      </c>
      <c r="K58" s="1"/>
    </row>
    <row r="59" spans="1:11" x14ac:dyDescent="0.15">
      <c r="A59" s="1"/>
      <c r="B59" s="1"/>
      <c r="C59" s="1"/>
      <c r="D59" s="1"/>
      <c r="E59" s="1"/>
      <c r="F59" s="1"/>
      <c r="G59" s="1" t="str">
        <f>IF(C59="","",IF(C59&lt;=D59,"حرج",IF(C59&lt;=E59,"إعادة طلب قريبًا","طبيعي")))</f>
        <v/>
      </c>
      <c r="H59" s="1" t="str">
        <f>IF(OR(C59="",F59=""),"",MAX(0,F59-C59))</f>
        <v/>
      </c>
      <c r="I59" s="1"/>
      <c r="J59" s="1" t="str">
        <f>IF(OR(C59="",I59="",I59=0),"",C59/I59)</f>
        <v/>
      </c>
      <c r="K59" s="1"/>
    </row>
    <row r="60" spans="1:11" x14ac:dyDescent="0.15">
      <c r="A60" s="1"/>
      <c r="B60" s="1"/>
      <c r="C60" s="1"/>
      <c r="D60" s="1"/>
      <c r="E60" s="1"/>
      <c r="F60" s="1"/>
      <c r="G60" s="1" t="str">
        <f>IF(C60="","",IF(C60&lt;=D60,"حرج",IF(C60&lt;=E60,"إعادة طلب قريبًا","طبيعي")))</f>
        <v/>
      </c>
      <c r="H60" s="1" t="str">
        <f>IF(OR(C60="",F60=""),"",MAX(0,F60-C60))</f>
        <v/>
      </c>
      <c r="I60" s="1"/>
      <c r="J60" s="1" t="str">
        <f>IF(OR(C60="",I60="",I60=0),"",C60/I60)</f>
        <v/>
      </c>
      <c r="K60" s="1"/>
    </row>
    <row r="61" spans="1:11" x14ac:dyDescent="0.15">
      <c r="A61" s="1"/>
      <c r="B61" s="1"/>
      <c r="C61" s="1"/>
      <c r="D61" s="1"/>
      <c r="E61" s="1"/>
      <c r="F61" s="1"/>
      <c r="G61" s="1" t="str">
        <f>IF(C61="","",IF(C61&lt;=D61,"حرج",IF(C61&lt;=E61,"إعادة طلب قريبًا","طبيعي")))</f>
        <v/>
      </c>
      <c r="H61" s="1" t="str">
        <f>IF(OR(C61="",F61=""),"",MAX(0,F61-C61))</f>
        <v/>
      </c>
      <c r="I61" s="1"/>
      <c r="J61" s="1" t="str">
        <f>IF(OR(C61="",I61="",I61=0),"",C61/I61)</f>
        <v/>
      </c>
      <c r="K61" s="1"/>
    </row>
    <row r="62" spans="1:11" x14ac:dyDescent="0.15">
      <c r="A62" s="1"/>
      <c r="B62" s="1"/>
      <c r="C62" s="1"/>
      <c r="D62" s="1"/>
      <c r="E62" s="1"/>
      <c r="F62" s="1"/>
      <c r="G62" s="1" t="str">
        <f>IF(C62="","",IF(C62&lt;=D62,"حرج",IF(C62&lt;=E62,"إعادة طلب قريبًا","طبيعي")))</f>
        <v/>
      </c>
      <c r="H62" s="1" t="str">
        <f>IF(OR(C62="",F62=""),"",MAX(0,F62-C62))</f>
        <v/>
      </c>
      <c r="I62" s="1"/>
      <c r="J62" s="1" t="str">
        <f>IF(OR(C62="",I62="",I62=0),"",C62/I62)</f>
        <v/>
      </c>
      <c r="K62" s="1"/>
    </row>
    <row r="63" spans="1:11" x14ac:dyDescent="0.15">
      <c r="A63" s="1"/>
      <c r="B63" s="1"/>
      <c r="C63" s="1"/>
      <c r="D63" s="1"/>
      <c r="E63" s="1"/>
      <c r="F63" s="1"/>
      <c r="G63" s="1" t="str">
        <f>IF(C63="","",IF(C63&lt;=D63,"حرج",IF(C63&lt;=E63,"إعادة طلب قريبًا","طبيعي")))</f>
        <v/>
      </c>
      <c r="H63" s="1" t="str">
        <f>IF(OR(C63="",F63=""),"",MAX(0,F63-C63))</f>
        <v/>
      </c>
      <c r="I63" s="1"/>
      <c r="J63" s="1" t="str">
        <f>IF(OR(C63="",I63="",I63=0),"",C63/I63)</f>
        <v/>
      </c>
      <c r="K63" s="1"/>
    </row>
    <row r="64" spans="1:11" x14ac:dyDescent="0.15">
      <c r="A64" s="1"/>
      <c r="B64" s="1"/>
      <c r="C64" s="1"/>
      <c r="D64" s="1"/>
      <c r="E64" s="1"/>
      <c r="F64" s="1"/>
      <c r="G64" s="1" t="str">
        <f>IF(C64="","",IF(C64&lt;=D64,"حرج",IF(C64&lt;=E64,"إعادة طلب قريبًا","طبيعي")))</f>
        <v/>
      </c>
      <c r="H64" s="1" t="str">
        <f>IF(OR(C64="",F64=""),"",MAX(0,F64-C64))</f>
        <v/>
      </c>
      <c r="I64" s="1"/>
      <c r="J64" s="1" t="str">
        <f>IF(OR(C64="",I64="",I64=0),"",C64/I64)</f>
        <v/>
      </c>
      <c r="K64" s="1"/>
    </row>
    <row r="65" spans="1:11" x14ac:dyDescent="0.15">
      <c r="A65" s="1"/>
      <c r="B65" s="1"/>
      <c r="C65" s="1"/>
      <c r="D65" s="1"/>
      <c r="E65" s="1"/>
      <c r="F65" s="1"/>
      <c r="G65" s="1" t="str">
        <f>IF(C65="","",IF(C65&lt;=D65,"حرج",IF(C65&lt;=E65,"إعادة طلب قريبًا","طبيعي")))</f>
        <v/>
      </c>
      <c r="H65" s="1" t="str">
        <f>IF(OR(C65="",F65=""),"",MAX(0,F65-C65))</f>
        <v/>
      </c>
      <c r="I65" s="1"/>
      <c r="J65" s="1" t="str">
        <f>IF(OR(C65="",I65="",I65=0),"",C65/I65)</f>
        <v/>
      </c>
      <c r="K65" s="1"/>
    </row>
    <row r="66" spans="1:11" x14ac:dyDescent="0.15">
      <c r="A66" s="1"/>
      <c r="B66" s="1"/>
      <c r="C66" s="1"/>
      <c r="D66" s="1"/>
      <c r="E66" s="1"/>
      <c r="F66" s="1"/>
      <c r="G66" s="1" t="str">
        <f>IF(C66="","",IF(C66&lt;=D66,"حرج",IF(C66&lt;=E66,"إعادة طلب قريبًا","طبيعي")))</f>
        <v/>
      </c>
      <c r="H66" s="1" t="str">
        <f>IF(OR(C66="",F66=""),"",MAX(0,F66-C66))</f>
        <v/>
      </c>
      <c r="I66" s="1"/>
      <c r="J66" s="1" t="str">
        <f>IF(OR(C66="",I66="",I66=0),"",C66/I66)</f>
        <v/>
      </c>
      <c r="K66" s="1"/>
    </row>
    <row r="67" spans="1:11" x14ac:dyDescent="0.15">
      <c r="A67" s="1"/>
      <c r="B67" s="1"/>
      <c r="C67" s="1"/>
      <c r="D67" s="1"/>
      <c r="E67" s="1"/>
      <c r="F67" s="1"/>
      <c r="G67" s="1" t="str">
        <f>IF(C67="","",IF(C67&lt;=D67,"حرج",IF(C67&lt;=E67,"إعادة طلب قريبًا","طبيعي")))</f>
        <v/>
      </c>
      <c r="H67" s="1" t="str">
        <f>IF(OR(C67="",F67=""),"",MAX(0,F67-C67))</f>
        <v/>
      </c>
      <c r="I67" s="1"/>
      <c r="J67" s="1" t="str">
        <f>IF(OR(C67="",I67="",I67=0),"",C67/I67)</f>
        <v/>
      </c>
      <c r="K67" s="1"/>
    </row>
    <row r="68" spans="1:11" x14ac:dyDescent="0.15">
      <c r="A68" s="1"/>
      <c r="B68" s="1"/>
      <c r="C68" s="1"/>
      <c r="D68" s="1"/>
      <c r="E68" s="1"/>
      <c r="F68" s="1"/>
      <c r="G68" s="1" t="str">
        <f>IF(C68="","",IF(C68&lt;=D68,"حرج",IF(C68&lt;=E68,"إعادة طلب قريبًا","طبيعي")))</f>
        <v/>
      </c>
      <c r="H68" s="1" t="str">
        <f>IF(OR(C68="",F68=""),"",MAX(0,F68-C68))</f>
        <v/>
      </c>
      <c r="I68" s="1"/>
      <c r="J68" s="1" t="str">
        <f>IF(OR(C68="",I68="",I68=0),"",C68/I68)</f>
        <v/>
      </c>
      <c r="K68" s="1"/>
    </row>
    <row r="69" spans="1:11" x14ac:dyDescent="0.15">
      <c r="A69" s="1"/>
      <c r="B69" s="1"/>
      <c r="C69" s="1"/>
      <c r="D69" s="1"/>
      <c r="E69" s="1"/>
      <c r="F69" s="1"/>
      <c r="G69" s="1" t="str">
        <f>IF(C69="","",IF(C69&lt;=D69,"حرج",IF(C69&lt;=E69,"إعادة طلب قريبًا","طبيعي")))</f>
        <v/>
      </c>
      <c r="H69" s="1" t="str">
        <f>IF(OR(C69="",F69=""),"",MAX(0,F69-C69))</f>
        <v/>
      </c>
      <c r="I69" s="1"/>
      <c r="J69" s="1" t="str">
        <f>IF(OR(C69="",I69="",I69=0),"",C69/I69)</f>
        <v/>
      </c>
      <c r="K69" s="1"/>
    </row>
    <row r="70" spans="1:11" x14ac:dyDescent="0.15">
      <c r="A70" s="1"/>
      <c r="B70" s="1"/>
      <c r="C70" s="1"/>
      <c r="D70" s="1"/>
      <c r="E70" s="1"/>
      <c r="F70" s="1"/>
      <c r="G70" s="1" t="str">
        <f>IF(C70="","",IF(C70&lt;=D70,"حرج",IF(C70&lt;=E70,"إعادة طلب قريبًا","طبيعي")))</f>
        <v/>
      </c>
      <c r="H70" s="1" t="str">
        <f>IF(OR(C70="",F70=""),"",MAX(0,F70-C70))</f>
        <v/>
      </c>
      <c r="I70" s="1"/>
      <c r="J70" s="1" t="str">
        <f>IF(OR(C70="",I70="",I70=0),"",C70/I70)</f>
        <v/>
      </c>
      <c r="K70" s="1"/>
    </row>
    <row r="71" spans="1:11" x14ac:dyDescent="0.15">
      <c r="A71" s="1"/>
      <c r="B71" s="1"/>
      <c r="C71" s="1"/>
      <c r="D71" s="1"/>
      <c r="E71" s="1"/>
      <c r="F71" s="1"/>
      <c r="G71" s="1" t="str">
        <f>IF(C71="","",IF(C71&lt;=D71,"حرج",IF(C71&lt;=E71,"إعادة طلب قريبًا","طبيعي")))</f>
        <v/>
      </c>
      <c r="H71" s="1" t="str">
        <f>IF(OR(C71="",F71=""),"",MAX(0,F71-C71))</f>
        <v/>
      </c>
      <c r="I71" s="1"/>
      <c r="J71" s="1" t="str">
        <f>IF(OR(C71="",I71="",I71=0),"",C71/I71)</f>
        <v/>
      </c>
      <c r="K71" s="1"/>
    </row>
    <row r="72" spans="1:11" x14ac:dyDescent="0.15">
      <c r="A72" s="1"/>
      <c r="B72" s="1"/>
      <c r="C72" s="1"/>
      <c r="D72" s="1"/>
      <c r="E72" s="1"/>
      <c r="F72" s="1"/>
      <c r="G72" s="1" t="str">
        <f>IF(C72="","",IF(C72&lt;=D72,"حرج",IF(C72&lt;=E72,"إعادة طلب قريبًا","طبيعي")))</f>
        <v/>
      </c>
      <c r="H72" s="1" t="str">
        <f>IF(OR(C72="",F72=""),"",MAX(0,F72-C72))</f>
        <v/>
      </c>
      <c r="I72" s="1"/>
      <c r="J72" s="1" t="str">
        <f>IF(OR(C72="",I72="",I72=0),"",C72/I72)</f>
        <v/>
      </c>
      <c r="K72" s="1"/>
    </row>
    <row r="73" spans="1:11" x14ac:dyDescent="0.15">
      <c r="A73" s="1"/>
      <c r="B73" s="1"/>
      <c r="C73" s="1"/>
      <c r="D73" s="1"/>
      <c r="E73" s="1"/>
      <c r="F73" s="1"/>
      <c r="G73" s="1" t="str">
        <f>IF(C73="","",IF(C73&lt;=D73,"حرج",IF(C73&lt;=E73,"إعادة طلب قريبًا","طبيعي")))</f>
        <v/>
      </c>
      <c r="H73" s="1" t="str">
        <f>IF(OR(C73="",F73=""),"",MAX(0,F73-C73))</f>
        <v/>
      </c>
      <c r="I73" s="1"/>
      <c r="J73" s="1" t="str">
        <f>IF(OR(C73="",I73="",I73=0),"",C73/I73)</f>
        <v/>
      </c>
      <c r="K73" s="1"/>
    </row>
    <row r="74" spans="1:11" x14ac:dyDescent="0.15">
      <c r="A74" s="1"/>
      <c r="B74" s="1"/>
      <c r="C74" s="1"/>
      <c r="D74" s="1"/>
      <c r="E74" s="1"/>
      <c r="F74" s="1"/>
      <c r="G74" s="1" t="str">
        <f>IF(C74="","",IF(C74&lt;=D74,"حرج",IF(C74&lt;=E74,"إعادة طلب قريبًا","طبيعي")))</f>
        <v/>
      </c>
      <c r="H74" s="1" t="str">
        <f>IF(OR(C74="",F74=""),"",MAX(0,F74-C74))</f>
        <v/>
      </c>
      <c r="I74" s="1"/>
      <c r="J74" s="1" t="str">
        <f>IF(OR(C74="",I74="",I74=0),"",C74/I74)</f>
        <v/>
      </c>
      <c r="K74" s="1"/>
    </row>
    <row r="75" spans="1:11" x14ac:dyDescent="0.15">
      <c r="A75" s="1"/>
      <c r="B75" s="1"/>
      <c r="C75" s="1"/>
      <c r="D75" s="1"/>
      <c r="E75" s="1"/>
      <c r="F75" s="1"/>
      <c r="G75" s="1" t="str">
        <f>IF(C75="","",IF(C75&lt;=D75,"حرج",IF(C75&lt;=E75,"إعادة طلب قريبًا","طبيعي")))</f>
        <v/>
      </c>
      <c r="H75" s="1" t="str">
        <f>IF(OR(C75="",F75=""),"",MAX(0,F75-C75))</f>
        <v/>
      </c>
      <c r="I75" s="1"/>
      <c r="J75" s="1" t="str">
        <f>IF(OR(C75="",I75="",I75=0),"",C75/I75)</f>
        <v/>
      </c>
      <c r="K75" s="1"/>
    </row>
    <row r="76" spans="1:11" x14ac:dyDescent="0.15">
      <c r="A76" s="1"/>
      <c r="B76" s="1"/>
      <c r="C76" s="1"/>
      <c r="D76" s="1"/>
      <c r="E76" s="1"/>
      <c r="F76" s="1"/>
      <c r="G76" s="1" t="str">
        <f>IF(C76="","",IF(C76&lt;=D76,"حرج",IF(C76&lt;=E76,"إعادة طلب قريبًا","طبيعي")))</f>
        <v/>
      </c>
      <c r="H76" s="1" t="str">
        <f>IF(OR(C76="",F76=""),"",MAX(0,F76-C76))</f>
        <v/>
      </c>
      <c r="I76" s="1"/>
      <c r="J76" s="1" t="str">
        <f>IF(OR(C76="",I76="",I76=0),"",C76/I76)</f>
        <v/>
      </c>
      <c r="K76" s="1"/>
    </row>
    <row r="77" spans="1:11" x14ac:dyDescent="0.15">
      <c r="A77" s="1"/>
      <c r="B77" s="1"/>
      <c r="C77" s="1"/>
      <c r="D77" s="1"/>
      <c r="E77" s="1"/>
      <c r="F77" s="1"/>
      <c r="G77" s="1" t="str">
        <f>IF(C77="","",IF(C77&lt;=D77,"حرج",IF(C77&lt;=E77,"إعادة طلب قريبًا","طبيعي")))</f>
        <v/>
      </c>
      <c r="H77" s="1" t="str">
        <f>IF(OR(C77="",F77=""),"",MAX(0,F77-C77))</f>
        <v/>
      </c>
      <c r="I77" s="1"/>
      <c r="J77" s="1" t="str">
        <f>IF(OR(C77="",I77="",I77=0),"",C77/I77)</f>
        <v/>
      </c>
      <c r="K77" s="1"/>
    </row>
    <row r="78" spans="1:11" x14ac:dyDescent="0.15">
      <c r="A78" s="1"/>
      <c r="B78" s="1"/>
      <c r="C78" s="1"/>
      <c r="D78" s="1"/>
      <c r="E78" s="1"/>
      <c r="F78" s="1"/>
      <c r="G78" s="1" t="str">
        <f>IF(C78="","",IF(C78&lt;=D78,"حرج",IF(C78&lt;=E78,"إعادة طلب قريبًا","طبيعي")))</f>
        <v/>
      </c>
      <c r="H78" s="1" t="str">
        <f>IF(OR(C78="",F78=""),"",MAX(0,F78-C78))</f>
        <v/>
      </c>
      <c r="I78" s="1"/>
      <c r="J78" s="1" t="str">
        <f>IF(OR(C78="",I78="",I78=0),"",C78/I78)</f>
        <v/>
      </c>
      <c r="K78" s="1"/>
    </row>
    <row r="79" spans="1:11" x14ac:dyDescent="0.15">
      <c r="A79" s="1"/>
      <c r="B79" s="1"/>
      <c r="C79" s="1"/>
      <c r="D79" s="1"/>
      <c r="E79" s="1"/>
      <c r="F79" s="1"/>
      <c r="G79" s="1" t="str">
        <f>IF(C79="","",IF(C79&lt;=D79,"حرج",IF(C79&lt;=E79,"إعادة طلب قريبًا","طبيعي")))</f>
        <v/>
      </c>
      <c r="H79" s="1" t="str">
        <f>IF(OR(C79="",F79=""),"",MAX(0,F79-C79))</f>
        <v/>
      </c>
      <c r="I79" s="1"/>
      <c r="J79" s="1" t="str">
        <f>IF(OR(C79="",I79="",I79=0),"",C79/I79)</f>
        <v/>
      </c>
      <c r="K79" s="1"/>
    </row>
    <row r="80" spans="1:11" x14ac:dyDescent="0.15">
      <c r="A80" s="1"/>
      <c r="B80" s="1"/>
      <c r="C80" s="1"/>
      <c r="D80" s="1"/>
      <c r="E80" s="1"/>
      <c r="F80" s="1"/>
      <c r="G80" s="1" t="str">
        <f>IF(C80="","",IF(C80&lt;=D80,"حرج",IF(C80&lt;=E80,"إعادة طلب قريبًا","طبيعي")))</f>
        <v/>
      </c>
      <c r="H80" s="1" t="str">
        <f>IF(OR(C80="",F80=""),"",MAX(0,F80-C80))</f>
        <v/>
      </c>
      <c r="I80" s="1"/>
      <c r="J80" s="1" t="str">
        <f>IF(OR(C80="",I80="",I80=0),"",C80/I80)</f>
        <v/>
      </c>
      <c r="K80" s="1"/>
    </row>
    <row r="81" spans="1:11" x14ac:dyDescent="0.15">
      <c r="A81" s="1"/>
      <c r="B81" s="1"/>
      <c r="C81" s="1"/>
      <c r="D81" s="1"/>
      <c r="E81" s="1"/>
      <c r="F81" s="1"/>
      <c r="G81" s="1" t="str">
        <f>IF(C81="","",IF(C81&lt;=D81,"حرج",IF(C81&lt;=E81,"إعادة طلب قريبًا","طبيعي")))</f>
        <v/>
      </c>
      <c r="H81" s="1" t="str">
        <f>IF(OR(C81="",F81=""),"",MAX(0,F81-C81))</f>
        <v/>
      </c>
      <c r="I81" s="1"/>
      <c r="J81" s="1" t="str">
        <f>IF(OR(C81="",I81="",I81=0),"",C81/I81)</f>
        <v/>
      </c>
      <c r="K81" s="1"/>
    </row>
    <row r="82" spans="1:11" x14ac:dyDescent="0.15">
      <c r="A82" s="1"/>
      <c r="B82" s="1"/>
      <c r="C82" s="1"/>
      <c r="D82" s="1"/>
      <c r="E82" s="1"/>
      <c r="F82" s="1"/>
      <c r="G82" s="1" t="str">
        <f>IF(C82="","",IF(C82&lt;=D82,"حرج",IF(C82&lt;=E82,"إعادة طلب قريبًا","طبيعي")))</f>
        <v/>
      </c>
      <c r="H82" s="1" t="str">
        <f>IF(OR(C82="",F82=""),"",MAX(0,F82-C82))</f>
        <v/>
      </c>
      <c r="I82" s="1"/>
      <c r="J82" s="1" t="str">
        <f>IF(OR(C82="",I82="",I82=0),"",C82/I82)</f>
        <v/>
      </c>
      <c r="K82" s="1"/>
    </row>
    <row r="83" spans="1:11" x14ac:dyDescent="0.15">
      <c r="A83" s="1"/>
      <c r="B83" s="1"/>
      <c r="C83" s="1"/>
      <c r="D83" s="1"/>
      <c r="E83" s="1"/>
      <c r="F83" s="1"/>
      <c r="G83" s="1" t="str">
        <f>IF(C83="","",IF(C83&lt;=D83,"حرج",IF(C83&lt;=E83,"إعادة طلب قريبًا","طبيعي")))</f>
        <v/>
      </c>
      <c r="H83" s="1" t="str">
        <f>IF(OR(C83="",F83=""),"",MAX(0,F83-C83))</f>
        <v/>
      </c>
      <c r="I83" s="1"/>
      <c r="J83" s="1" t="str">
        <f>IF(OR(C83="",I83="",I83=0),"",C83/I83)</f>
        <v/>
      </c>
      <c r="K83" s="1"/>
    </row>
    <row r="84" spans="1:11" x14ac:dyDescent="0.15">
      <c r="A84" s="1"/>
      <c r="B84" s="1"/>
      <c r="C84" s="1"/>
      <c r="D84" s="1"/>
      <c r="E84" s="1"/>
      <c r="F84" s="1"/>
      <c r="G84" s="1" t="str">
        <f>IF(C84="","",IF(C84&lt;=D84,"حرج",IF(C84&lt;=E84,"إعادة طلب قريبًا","طبيعي")))</f>
        <v/>
      </c>
      <c r="H84" s="1" t="str">
        <f>IF(OR(C84="",F84=""),"",MAX(0,F84-C84))</f>
        <v/>
      </c>
      <c r="I84" s="1"/>
      <c r="J84" s="1" t="str">
        <f>IF(OR(C84="",I84="",I84=0),"",C84/I84)</f>
        <v/>
      </c>
      <c r="K84" s="1"/>
    </row>
    <row r="85" spans="1:11" x14ac:dyDescent="0.15">
      <c r="A85" s="1"/>
      <c r="B85" s="1"/>
      <c r="C85" s="1"/>
      <c r="D85" s="1"/>
      <c r="E85" s="1"/>
      <c r="F85" s="1"/>
      <c r="G85" s="1" t="str">
        <f>IF(C85="","",IF(C85&lt;=D85,"حرج",IF(C85&lt;=E85,"إعادة طلب قريبًا","طبيعي")))</f>
        <v/>
      </c>
      <c r="H85" s="1" t="str">
        <f>IF(OR(C85="",F85=""),"",MAX(0,F85-C85))</f>
        <v/>
      </c>
      <c r="I85" s="1"/>
      <c r="J85" s="1" t="str">
        <f>IF(OR(C85="",I85="",I85=0),"",C85/I85)</f>
        <v/>
      </c>
      <c r="K85" s="1"/>
    </row>
    <row r="86" spans="1:11" x14ac:dyDescent="0.15">
      <c r="A86" s="1"/>
      <c r="B86" s="1"/>
      <c r="C86" s="1"/>
      <c r="D86" s="1"/>
      <c r="E86" s="1"/>
      <c r="F86" s="1"/>
      <c r="G86" s="1" t="str">
        <f>IF(C86="","",IF(C86&lt;=D86,"حرج",IF(C86&lt;=E86,"إعادة طلب قريبًا","طبيعي")))</f>
        <v/>
      </c>
      <c r="H86" s="1" t="str">
        <f>IF(OR(C86="",F86=""),"",MAX(0,F86-C86))</f>
        <v/>
      </c>
      <c r="I86" s="1"/>
      <c r="J86" s="1" t="str">
        <f>IF(OR(C86="",I86="",I86=0),"",C86/I86)</f>
        <v/>
      </c>
      <c r="K86" s="1"/>
    </row>
    <row r="87" spans="1:11" x14ac:dyDescent="0.15">
      <c r="A87" s="1"/>
      <c r="B87" s="1"/>
      <c r="C87" s="1"/>
      <c r="D87" s="1"/>
      <c r="E87" s="1"/>
      <c r="F87" s="1"/>
      <c r="G87" s="1" t="str">
        <f>IF(C87="","",IF(C87&lt;=D87,"حرج",IF(C87&lt;=E87,"إعادة طلب قريبًا","طبيعي")))</f>
        <v/>
      </c>
      <c r="H87" s="1" t="str">
        <f>IF(OR(C87="",F87=""),"",MAX(0,F87-C87))</f>
        <v/>
      </c>
      <c r="I87" s="1"/>
      <c r="J87" s="1" t="str">
        <f>IF(OR(C87="",I87="",I87=0),"",C87/I87)</f>
        <v/>
      </c>
      <c r="K87" s="1"/>
    </row>
    <row r="88" spans="1:11" x14ac:dyDescent="0.15">
      <c r="A88" s="1"/>
      <c r="B88" s="1"/>
      <c r="C88" s="1"/>
      <c r="D88" s="1"/>
      <c r="E88" s="1"/>
      <c r="F88" s="1"/>
      <c r="G88" s="1" t="str">
        <f>IF(C88="","",IF(C88&lt;=D88,"حرج",IF(C88&lt;=E88,"إعادة طلب قريبًا","طبيعي")))</f>
        <v/>
      </c>
      <c r="H88" s="1" t="str">
        <f>IF(OR(C88="",F88=""),"",MAX(0,F88-C88))</f>
        <v/>
      </c>
      <c r="I88" s="1"/>
      <c r="J88" s="1" t="str">
        <f>IF(OR(C88="",I88="",I88=0),"",C88/I88)</f>
        <v/>
      </c>
      <c r="K88" s="1"/>
    </row>
    <row r="89" spans="1:11" x14ac:dyDescent="0.15">
      <c r="A89" s="1"/>
      <c r="B89" s="1"/>
      <c r="C89" s="1"/>
      <c r="D89" s="1"/>
      <c r="E89" s="1"/>
      <c r="F89" s="1"/>
      <c r="G89" s="1" t="str">
        <f>IF(C89="","",IF(C89&lt;=D89,"حرج",IF(C89&lt;=E89,"إعادة طلب قريبًا","طبيعي")))</f>
        <v/>
      </c>
      <c r="H89" s="1" t="str">
        <f>IF(OR(C89="",F89=""),"",MAX(0,F89-C89))</f>
        <v/>
      </c>
      <c r="I89" s="1"/>
      <c r="J89" s="1" t="str">
        <f>IF(OR(C89="",I89="",I89=0),"",C89/I89)</f>
        <v/>
      </c>
      <c r="K89" s="1"/>
    </row>
    <row r="90" spans="1:11" x14ac:dyDescent="0.15">
      <c r="A90" s="1"/>
      <c r="B90" s="1"/>
      <c r="C90" s="1"/>
      <c r="D90" s="1"/>
      <c r="E90" s="1"/>
      <c r="F90" s="1"/>
      <c r="G90" s="1" t="str">
        <f>IF(C90="","",IF(C90&lt;=D90,"حرج",IF(C90&lt;=E90,"إعادة طلب قريبًا","طبيعي")))</f>
        <v/>
      </c>
      <c r="H90" s="1" t="str">
        <f>IF(OR(C90="",F90=""),"",MAX(0,F90-C90))</f>
        <v/>
      </c>
      <c r="I90" s="1"/>
      <c r="J90" s="1" t="str">
        <f>IF(OR(C90="",I90="",I90=0),"",C90/I90)</f>
        <v/>
      </c>
      <c r="K90" s="1"/>
    </row>
    <row r="91" spans="1:11" x14ac:dyDescent="0.15">
      <c r="A91" s="1"/>
      <c r="B91" s="1"/>
      <c r="C91" s="1"/>
      <c r="D91" s="1"/>
      <c r="E91" s="1"/>
      <c r="F91" s="1"/>
      <c r="G91" s="1" t="str">
        <f>IF(C91="","",IF(C91&lt;=D91,"حرج",IF(C91&lt;=E91,"إعادة طلب قريبًا","طبيعي")))</f>
        <v/>
      </c>
      <c r="H91" s="1" t="str">
        <f>IF(OR(C91="",F91=""),"",MAX(0,F91-C91))</f>
        <v/>
      </c>
      <c r="I91" s="1"/>
      <c r="J91" s="1" t="str">
        <f>IF(OR(C91="",I91="",I91=0),"",C91/I91)</f>
        <v/>
      </c>
      <c r="K91" s="1"/>
    </row>
    <row r="92" spans="1:11" x14ac:dyDescent="0.15">
      <c r="A92" s="1"/>
      <c r="B92" s="1"/>
      <c r="C92" s="1"/>
      <c r="D92" s="1"/>
      <c r="E92" s="1"/>
      <c r="F92" s="1"/>
      <c r="G92" s="1" t="str">
        <f>IF(C92="","",IF(C92&lt;=D92,"حرج",IF(C92&lt;=E92,"إعادة طلب قريبًا","طبيعي")))</f>
        <v/>
      </c>
      <c r="H92" s="1" t="str">
        <f>IF(OR(C92="",F92=""),"",MAX(0,F92-C92))</f>
        <v/>
      </c>
      <c r="I92" s="1"/>
      <c r="J92" s="1" t="str">
        <f>IF(OR(C92="",I92="",I92=0),"",C92/I92)</f>
        <v/>
      </c>
      <c r="K92" s="1"/>
    </row>
    <row r="93" spans="1:11" x14ac:dyDescent="0.15">
      <c r="A93" s="1"/>
      <c r="B93" s="1"/>
      <c r="C93" s="1"/>
      <c r="D93" s="1"/>
      <c r="E93" s="1"/>
      <c r="F93" s="1"/>
      <c r="G93" s="1" t="str">
        <f>IF(C93="","",IF(C93&lt;=D93,"حرج",IF(C93&lt;=E93,"إعادة طلب قريبًا","طبيعي")))</f>
        <v/>
      </c>
      <c r="H93" s="1" t="str">
        <f>IF(OR(C93="",F93=""),"",MAX(0,F93-C93))</f>
        <v/>
      </c>
      <c r="I93" s="1"/>
      <c r="J93" s="1" t="str">
        <f>IF(OR(C93="",I93="",I93=0),"",C93/I93)</f>
        <v/>
      </c>
      <c r="K93" s="1"/>
    </row>
    <row r="94" spans="1:11" x14ac:dyDescent="0.15">
      <c r="A94" s="1"/>
      <c r="B94" s="1"/>
      <c r="C94" s="1"/>
      <c r="D94" s="1"/>
      <c r="E94" s="1"/>
      <c r="F94" s="1"/>
      <c r="G94" s="1" t="str">
        <f>IF(C94="","",IF(C94&lt;=D94,"حرج",IF(C94&lt;=E94,"إعادة طلب قريبًا","طبيعي")))</f>
        <v/>
      </c>
      <c r="H94" s="1" t="str">
        <f>IF(OR(C94="",F94=""),"",MAX(0,F94-C94))</f>
        <v/>
      </c>
      <c r="I94" s="1"/>
      <c r="J94" s="1" t="str">
        <f>IF(OR(C94="",I94="",I94=0),"",C94/I94)</f>
        <v/>
      </c>
      <c r="K94" s="1"/>
    </row>
    <row r="95" spans="1:11" x14ac:dyDescent="0.15">
      <c r="A95" s="1"/>
      <c r="B95" s="1"/>
      <c r="C95" s="1"/>
      <c r="D95" s="1"/>
      <c r="E95" s="1"/>
      <c r="F95" s="1"/>
      <c r="G95" s="1" t="str">
        <f>IF(C95="","",IF(C95&lt;=D95,"حرج",IF(C95&lt;=E95,"إعادة طلب قريبًا","طبيعي")))</f>
        <v/>
      </c>
      <c r="H95" s="1" t="str">
        <f>IF(OR(C95="",F95=""),"",MAX(0,F95-C95))</f>
        <v/>
      </c>
      <c r="I95" s="1"/>
      <c r="J95" s="1" t="str">
        <f>IF(OR(C95="",I95="",I95=0),"",C95/I95)</f>
        <v/>
      </c>
      <c r="K95" s="1"/>
    </row>
    <row r="96" spans="1:11" x14ac:dyDescent="0.15">
      <c r="A96" s="1"/>
      <c r="B96" s="1"/>
      <c r="C96" s="1"/>
      <c r="D96" s="1"/>
      <c r="E96" s="1"/>
      <c r="F96" s="1"/>
      <c r="G96" s="1" t="str">
        <f>IF(C96="","",IF(C96&lt;=D96,"حرج",IF(C96&lt;=E96,"إعادة طلب قريبًا","طبيعي")))</f>
        <v/>
      </c>
      <c r="H96" s="1" t="str">
        <f>IF(OR(C96="",F96=""),"",MAX(0,F96-C96))</f>
        <v/>
      </c>
      <c r="I96" s="1"/>
      <c r="J96" s="1" t="str">
        <f>IF(OR(C96="",I96="",I96=0),"",C96/I96)</f>
        <v/>
      </c>
      <c r="K96" s="1"/>
    </row>
    <row r="97" spans="1:11" x14ac:dyDescent="0.15">
      <c r="A97" s="1"/>
      <c r="B97" s="1"/>
      <c r="C97" s="1"/>
      <c r="D97" s="1"/>
      <c r="E97" s="1"/>
      <c r="F97" s="1"/>
      <c r="G97" s="1" t="str">
        <f>IF(C97="","",IF(C97&lt;=D97,"حرج",IF(C97&lt;=E97,"إعادة طلب قريبًا","طبيعي")))</f>
        <v/>
      </c>
      <c r="H97" s="1" t="str">
        <f>IF(OR(C97="",F97=""),"",MAX(0,F97-C97))</f>
        <v/>
      </c>
      <c r="I97" s="1"/>
      <c r="J97" s="1" t="str">
        <f>IF(OR(C97="",I97="",I97=0),"",C97/I97)</f>
        <v/>
      </c>
      <c r="K97" s="1"/>
    </row>
    <row r="98" spans="1:11" x14ac:dyDescent="0.15">
      <c r="A98" s="1"/>
      <c r="B98" s="1"/>
      <c r="C98" s="1"/>
      <c r="D98" s="1"/>
      <c r="E98" s="1"/>
      <c r="F98" s="1"/>
      <c r="G98" s="1" t="str">
        <f>IF(C98="","",IF(C98&lt;=D98,"حرج",IF(C98&lt;=E98,"إعادة طلب قريبًا","طبيعي")))</f>
        <v/>
      </c>
      <c r="H98" s="1" t="str">
        <f>IF(OR(C98="",F98=""),"",MAX(0,F98-C98))</f>
        <v/>
      </c>
      <c r="I98" s="1"/>
      <c r="J98" s="1" t="str">
        <f>IF(OR(C98="",I98="",I98=0),"",C98/I98)</f>
        <v/>
      </c>
      <c r="K98" s="1"/>
    </row>
    <row r="99" spans="1:11" x14ac:dyDescent="0.15">
      <c r="A99" s="1"/>
      <c r="B99" s="1"/>
      <c r="C99" s="1"/>
      <c r="D99" s="1"/>
      <c r="E99" s="1"/>
      <c r="F99" s="1"/>
      <c r="G99" s="1" t="str">
        <f>IF(C99="","",IF(C99&lt;=D99,"حرج",IF(C99&lt;=E99,"إعادة طلب قريبًا","طبيعي")))</f>
        <v/>
      </c>
      <c r="H99" s="1" t="str">
        <f>IF(OR(C99="",F99=""),"",MAX(0,F99-C99))</f>
        <v/>
      </c>
      <c r="I99" s="1"/>
      <c r="J99" s="1" t="str">
        <f>IF(OR(C99="",I99="",I99=0),"",C99/I99)</f>
        <v/>
      </c>
      <c r="K99" s="1"/>
    </row>
    <row r="100" spans="1:11" x14ac:dyDescent="0.15">
      <c r="A100" s="1"/>
      <c r="B100" s="1"/>
      <c r="C100" s="1"/>
      <c r="D100" s="1"/>
      <c r="E100" s="1"/>
      <c r="F100" s="1"/>
      <c r="G100" s="1" t="str">
        <f>IF(C100="","",IF(C100&lt;=D100,"حرج",IF(C100&lt;=E100,"إعادة طلب قريبًا","طبيعي")))</f>
        <v/>
      </c>
      <c r="H100" s="1" t="str">
        <f>IF(OR(C100="",F100=""),"",MAX(0,F100-C100))</f>
        <v/>
      </c>
      <c r="I100" s="1"/>
      <c r="J100" s="1" t="str">
        <f>IF(OR(C100="",I100="",I100=0),"",C100/I100)</f>
        <v/>
      </c>
      <c r="K100" s="1"/>
    </row>
    <row r="101" spans="1:11" x14ac:dyDescent="0.15">
      <c r="A101" s="1"/>
      <c r="B101" s="1"/>
      <c r="C101" s="1"/>
      <c r="D101" s="1"/>
      <c r="E101" s="1"/>
      <c r="F101" s="1"/>
      <c r="G101" s="1" t="str">
        <f>IF(C101="","",IF(C101&lt;=D101,"حرج",IF(C101&lt;=E101,"إعادة طلب قريبًا","طبيعي")))</f>
        <v/>
      </c>
      <c r="H101" s="1" t="str">
        <f>IF(OR(C101="",F101=""),"",MAX(0,F101-C101))</f>
        <v/>
      </c>
      <c r="I101" s="1"/>
      <c r="J101" s="1" t="str">
        <f>IF(OR(C101="",I101="",I101=0),"",C101/I101)</f>
        <v/>
      </c>
      <c r="K101" s="1"/>
    </row>
    <row r="102" spans="1:11" x14ac:dyDescent="0.15">
      <c r="A102" s="1"/>
      <c r="B102" s="1"/>
      <c r="C102" s="1"/>
      <c r="D102" s="1"/>
      <c r="E102" s="1"/>
      <c r="F102" s="1"/>
      <c r="G102" s="1" t="str">
        <f>IF(C102="","",IF(C102&lt;=D102,"حرج",IF(C102&lt;=E102,"إعادة طلب قريبًا","طبيعي")))</f>
        <v/>
      </c>
      <c r="H102" s="1" t="str">
        <f>IF(OR(C102="",F102=""),"",MAX(0,F102-C102))</f>
        <v/>
      </c>
      <c r="I102" s="1"/>
      <c r="J102" s="1" t="str">
        <f>IF(OR(C102="",I102="",I102=0),"",C102/I102)</f>
        <v/>
      </c>
      <c r="K102" s="1"/>
    </row>
    <row r="103" spans="1:11" x14ac:dyDescent="0.15">
      <c r="A103" s="1"/>
      <c r="B103" s="1"/>
      <c r="C103" s="1"/>
      <c r="D103" s="1"/>
      <c r="E103" s="1"/>
      <c r="F103" s="1"/>
      <c r="G103" s="1" t="str">
        <f>IF(C103="","",IF(C103&lt;=D103,"حرج",IF(C103&lt;=E103,"إعادة طلب قريبًا","طبيعي")))</f>
        <v/>
      </c>
      <c r="H103" s="1" t="str">
        <f>IF(OR(C103="",F103=""),"",MAX(0,F103-C103))</f>
        <v/>
      </c>
      <c r="I103" s="1"/>
      <c r="J103" s="1" t="str">
        <f>IF(OR(C103="",I103="",I103=0),"",C103/I103)</f>
        <v/>
      </c>
      <c r="K103" s="1"/>
    </row>
  </sheetData>
  <mergeCells count="1">
    <mergeCell ref="A1:K1"/>
  </mergeCells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09"/>
  <sheetViews>
    <sheetView showGridLines="0" workbookViewId="0">
      <pane ySplit="3" topLeftCell="A4" activePane="bottomLeft" state="frozen"/>
      <selection pane="bottomLeft"/>
    </sheetView>
  </sheetViews>
  <sheetFormatPr defaultRowHeight="13.5" x14ac:dyDescent="0.15"/>
  <cols>
    <col min="1" max="12" width="19" customWidth="1"/>
  </cols>
  <sheetData>
    <row r="1" spans="1:12" ht="22.5" x14ac:dyDescent="0.15">
      <c r="A1" s="14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15">
      <c r="A3" s="5" t="s">
        <v>45</v>
      </c>
      <c r="B3" s="2" t="s">
        <v>21</v>
      </c>
      <c r="C3" s="2" t="s">
        <v>79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81</v>
      </c>
      <c r="I3" s="2" t="s">
        <v>123</v>
      </c>
      <c r="J3" s="2" t="s">
        <v>124</v>
      </c>
      <c r="K3" s="2" t="s">
        <v>75</v>
      </c>
      <c r="L3" s="2" t="s">
        <v>11</v>
      </c>
    </row>
    <row r="4" spans="1:12" x14ac:dyDescent="0.15">
      <c r="A4" s="6" t="s">
        <v>68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15">
      <c r="A5" s="6" t="s">
        <v>125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15">
      <c r="A6" s="6" t="s">
        <v>126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15">
      <c r="A10" s="1"/>
      <c r="B10" s="1"/>
      <c r="C10" s="1"/>
      <c r="D10" s="1"/>
      <c r="E10" s="1"/>
      <c r="F10" s="1"/>
      <c r="G10" s="1" t="str">
        <f>IF(AND(D10="",E10="",F10=""),"",SUM($D$10:D10)-SUM($E$10:E10)+SUM($F$10:F10))</f>
        <v/>
      </c>
      <c r="H10" s="1"/>
      <c r="I10" s="1" t="str">
        <f>IF(OR(D10="",H10=""),"",D10*H10-IF(E10="",0,E10)*H10+IF(F10="",0,F10)*H10)</f>
        <v/>
      </c>
      <c r="J10" s="1" t="str">
        <f>IF(OR(G10="",H10=""),"",G10*H10)</f>
        <v/>
      </c>
      <c r="K10" s="1"/>
      <c r="L10" s="1"/>
    </row>
    <row r="11" spans="1:12" x14ac:dyDescent="0.15">
      <c r="A11" s="1"/>
      <c r="B11" s="1"/>
      <c r="C11" s="1"/>
      <c r="D11" s="1"/>
      <c r="E11" s="1"/>
      <c r="F11" s="1"/>
      <c r="G11" s="1" t="str">
        <f>IF(AND(D11="",E11="",F11=""),"",SUM($D$10:D11)-SUM($E$10:E11)+SUM($F$10:F11))</f>
        <v/>
      </c>
      <c r="H11" s="1"/>
      <c r="I11" s="1" t="str">
        <f>IF(OR(D11="",H11=""),"",D11*H11-IF(E11="",0,E11)*H11+IF(F11="",0,F11)*H11)</f>
        <v/>
      </c>
      <c r="J11" s="1" t="str">
        <f>IF(OR(G11="",H11=""),"",G11*H11)</f>
        <v/>
      </c>
      <c r="K11" s="1"/>
      <c r="L11" s="1"/>
    </row>
    <row r="12" spans="1:12" x14ac:dyDescent="0.15">
      <c r="A12" s="1"/>
      <c r="B12" s="1"/>
      <c r="C12" s="1"/>
      <c r="D12" s="1"/>
      <c r="E12" s="1"/>
      <c r="F12" s="1"/>
      <c r="G12" s="1" t="str">
        <f>IF(AND(D12="",E12="",F12=""),"",SUM($D$10:D12)-SUM($E$10:E12)+SUM($F$10:F12))</f>
        <v/>
      </c>
      <c r="H12" s="1"/>
      <c r="I12" s="1" t="str">
        <f>IF(OR(D12="",H12=""),"",D12*H12-IF(E12="",0,E12)*H12+IF(F12="",0,F12)*H12)</f>
        <v/>
      </c>
      <c r="J12" s="1" t="str">
        <f>IF(OR(G12="",H12=""),"",G12*H12)</f>
        <v/>
      </c>
      <c r="K12" s="1"/>
      <c r="L12" s="1"/>
    </row>
    <row r="13" spans="1:12" x14ac:dyDescent="0.15">
      <c r="A13" s="1"/>
      <c r="B13" s="1"/>
      <c r="C13" s="1"/>
      <c r="D13" s="1"/>
      <c r="E13" s="1"/>
      <c r="F13" s="1"/>
      <c r="G13" s="1" t="str">
        <f>IF(AND(D13="",E13="",F13=""),"",SUM($D$10:D13)-SUM($E$10:E13)+SUM($F$10:F13))</f>
        <v/>
      </c>
      <c r="H13" s="1"/>
      <c r="I13" s="1" t="str">
        <f>IF(OR(D13="",H13=""),"",D13*H13-IF(E13="",0,E13)*H13+IF(F13="",0,F13)*H13)</f>
        <v/>
      </c>
      <c r="J13" s="1" t="str">
        <f>IF(OR(G13="",H13=""),"",G13*H13)</f>
        <v/>
      </c>
      <c r="K13" s="1"/>
      <c r="L13" s="1"/>
    </row>
    <row r="14" spans="1:12" x14ac:dyDescent="0.15">
      <c r="A14" s="1"/>
      <c r="B14" s="1"/>
      <c r="C14" s="1"/>
      <c r="D14" s="1"/>
      <c r="E14" s="1"/>
      <c r="F14" s="1"/>
      <c r="G14" s="1" t="str">
        <f>IF(AND(D14="",E14="",F14=""),"",SUM($D$10:D14)-SUM($E$10:E14)+SUM($F$10:F14))</f>
        <v/>
      </c>
      <c r="H14" s="1"/>
      <c r="I14" s="1" t="str">
        <f>IF(OR(D14="",H14=""),"",D14*H14-IF(E14="",0,E14)*H14+IF(F14="",0,F14)*H14)</f>
        <v/>
      </c>
      <c r="J14" s="1" t="str">
        <f>IF(OR(G14="",H14=""),"",G14*H14)</f>
        <v/>
      </c>
      <c r="K14" s="1"/>
      <c r="L14" s="1"/>
    </row>
    <row r="15" spans="1:12" x14ac:dyDescent="0.15">
      <c r="A15" s="1"/>
      <c r="B15" s="1"/>
      <c r="C15" s="1"/>
      <c r="D15" s="1"/>
      <c r="E15" s="1"/>
      <c r="F15" s="1"/>
      <c r="G15" s="1" t="str">
        <f>IF(AND(D15="",E15="",F15=""),"",SUM($D$10:D15)-SUM($E$10:E15)+SUM($F$10:F15))</f>
        <v/>
      </c>
      <c r="H15" s="1"/>
      <c r="I15" s="1" t="str">
        <f>IF(OR(D15="",H15=""),"",D15*H15-IF(E15="",0,E15)*H15+IF(F15="",0,F15)*H15)</f>
        <v/>
      </c>
      <c r="J15" s="1" t="str">
        <f>IF(OR(G15="",H15=""),"",G15*H15)</f>
        <v/>
      </c>
      <c r="K15" s="1"/>
      <c r="L15" s="1"/>
    </row>
    <row r="16" spans="1:12" x14ac:dyDescent="0.15">
      <c r="A16" s="1"/>
      <c r="B16" s="1"/>
      <c r="C16" s="1"/>
      <c r="D16" s="1"/>
      <c r="E16" s="1"/>
      <c r="F16" s="1"/>
      <c r="G16" s="1" t="str">
        <f>IF(AND(D16="",E16="",F16=""),"",SUM($D$10:D16)-SUM($E$10:E16)+SUM($F$10:F16))</f>
        <v/>
      </c>
      <c r="H16" s="1"/>
      <c r="I16" s="1" t="str">
        <f>IF(OR(D16="",H16=""),"",D16*H16-IF(E16="",0,E16)*H16+IF(F16="",0,F16)*H16)</f>
        <v/>
      </c>
      <c r="J16" s="1" t="str">
        <f>IF(OR(G16="",H16=""),"",G16*H16)</f>
        <v/>
      </c>
      <c r="K16" s="1"/>
      <c r="L16" s="1"/>
    </row>
    <row r="17" spans="1:12" x14ac:dyDescent="0.15">
      <c r="A17" s="1"/>
      <c r="B17" s="1"/>
      <c r="C17" s="1"/>
      <c r="D17" s="1"/>
      <c r="E17" s="1"/>
      <c r="F17" s="1"/>
      <c r="G17" s="1" t="str">
        <f>IF(AND(D17="",E17="",F17=""),"",SUM($D$10:D17)-SUM($E$10:E17)+SUM($F$10:F17))</f>
        <v/>
      </c>
      <c r="H17" s="1"/>
      <c r="I17" s="1" t="str">
        <f>IF(OR(D17="",H17=""),"",D17*H17-IF(E17="",0,E17)*H17+IF(F17="",0,F17)*H17)</f>
        <v/>
      </c>
      <c r="J17" s="1" t="str">
        <f>IF(OR(G17="",H17=""),"",G17*H17)</f>
        <v/>
      </c>
      <c r="K17" s="1"/>
      <c r="L17" s="1"/>
    </row>
    <row r="18" spans="1:12" x14ac:dyDescent="0.15">
      <c r="A18" s="1"/>
      <c r="B18" s="1"/>
      <c r="C18" s="1"/>
      <c r="D18" s="1"/>
      <c r="E18" s="1"/>
      <c r="F18" s="1"/>
      <c r="G18" s="1" t="str">
        <f>IF(AND(D18="",E18="",F18=""),"",SUM($D$10:D18)-SUM($E$10:E18)+SUM($F$10:F18))</f>
        <v/>
      </c>
      <c r="H18" s="1"/>
      <c r="I18" s="1" t="str">
        <f>IF(OR(D18="",H18=""),"",D18*H18-IF(E18="",0,E18)*H18+IF(F18="",0,F18)*H18)</f>
        <v/>
      </c>
      <c r="J18" s="1" t="str">
        <f>IF(OR(G18="",H18=""),"",G18*H18)</f>
        <v/>
      </c>
      <c r="K18" s="1"/>
      <c r="L18" s="1"/>
    </row>
    <row r="19" spans="1:12" x14ac:dyDescent="0.15">
      <c r="A19" s="1"/>
      <c r="B19" s="1"/>
      <c r="C19" s="1"/>
      <c r="D19" s="1"/>
      <c r="E19" s="1"/>
      <c r="F19" s="1"/>
      <c r="G19" s="1" t="str">
        <f>IF(AND(D19="",E19="",F19=""),"",SUM($D$10:D19)-SUM($E$10:E19)+SUM($F$10:F19))</f>
        <v/>
      </c>
      <c r="H19" s="1"/>
      <c r="I19" s="1" t="str">
        <f>IF(OR(D19="",H19=""),"",D19*H19-IF(E19="",0,E19)*H19+IF(F19="",0,F19)*H19)</f>
        <v/>
      </c>
      <c r="J19" s="1" t="str">
        <f>IF(OR(G19="",H19=""),"",G19*H19)</f>
        <v/>
      </c>
      <c r="K19" s="1"/>
      <c r="L19" s="1"/>
    </row>
    <row r="20" spans="1:12" x14ac:dyDescent="0.15">
      <c r="A20" s="1"/>
      <c r="B20" s="1"/>
      <c r="C20" s="1"/>
      <c r="D20" s="1"/>
      <c r="E20" s="1"/>
      <c r="F20" s="1"/>
      <c r="G20" s="1" t="str">
        <f>IF(AND(D20="",E20="",F20=""),"",SUM($D$10:D20)-SUM($E$10:E20)+SUM($F$10:F20))</f>
        <v/>
      </c>
      <c r="H20" s="1"/>
      <c r="I20" s="1" t="str">
        <f>IF(OR(D20="",H20=""),"",D20*H20-IF(E20="",0,E20)*H20+IF(F20="",0,F20)*H20)</f>
        <v/>
      </c>
      <c r="J20" s="1" t="str">
        <f>IF(OR(G20="",H20=""),"",G20*H20)</f>
        <v/>
      </c>
      <c r="K20" s="1"/>
      <c r="L20" s="1"/>
    </row>
    <row r="21" spans="1:12" x14ac:dyDescent="0.15">
      <c r="A21" s="1"/>
      <c r="B21" s="1"/>
      <c r="C21" s="1"/>
      <c r="D21" s="1"/>
      <c r="E21" s="1"/>
      <c r="F21" s="1"/>
      <c r="G21" s="1" t="str">
        <f>IF(AND(D21="",E21="",F21=""),"",SUM($D$10:D21)-SUM($E$10:E21)+SUM($F$10:F21))</f>
        <v/>
      </c>
      <c r="H21" s="1"/>
      <c r="I21" s="1" t="str">
        <f>IF(OR(D21="",H21=""),"",D21*H21-IF(E21="",0,E21)*H21+IF(F21="",0,F21)*H21)</f>
        <v/>
      </c>
      <c r="J21" s="1" t="str">
        <f>IF(OR(G21="",H21=""),"",G21*H21)</f>
        <v/>
      </c>
      <c r="K21" s="1"/>
      <c r="L21" s="1"/>
    </row>
    <row r="22" spans="1:12" x14ac:dyDescent="0.15">
      <c r="A22" s="1"/>
      <c r="B22" s="1"/>
      <c r="C22" s="1"/>
      <c r="D22" s="1"/>
      <c r="E22" s="1"/>
      <c r="F22" s="1"/>
      <c r="G22" s="1" t="str">
        <f>IF(AND(D22="",E22="",F22=""),"",SUM($D$10:D22)-SUM($E$10:E22)+SUM($F$10:F22))</f>
        <v/>
      </c>
      <c r="H22" s="1"/>
      <c r="I22" s="1" t="str">
        <f>IF(OR(D22="",H22=""),"",D22*H22-IF(E22="",0,E22)*H22+IF(F22="",0,F22)*H22)</f>
        <v/>
      </c>
      <c r="J22" s="1" t="str">
        <f>IF(OR(G22="",H22=""),"",G22*H22)</f>
        <v/>
      </c>
      <c r="K22" s="1"/>
      <c r="L22" s="1"/>
    </row>
    <row r="23" spans="1:12" x14ac:dyDescent="0.15">
      <c r="A23" s="1"/>
      <c r="B23" s="1"/>
      <c r="C23" s="1"/>
      <c r="D23" s="1"/>
      <c r="E23" s="1"/>
      <c r="F23" s="1"/>
      <c r="G23" s="1" t="str">
        <f>IF(AND(D23="",E23="",F23=""),"",SUM($D$10:D23)-SUM($E$10:E23)+SUM($F$10:F23))</f>
        <v/>
      </c>
      <c r="H23" s="1"/>
      <c r="I23" s="1" t="str">
        <f>IF(OR(D23="",H23=""),"",D23*H23-IF(E23="",0,E23)*H23+IF(F23="",0,F23)*H23)</f>
        <v/>
      </c>
      <c r="J23" s="1" t="str">
        <f>IF(OR(G23="",H23=""),"",G23*H23)</f>
        <v/>
      </c>
      <c r="K23" s="1"/>
      <c r="L23" s="1"/>
    </row>
    <row r="24" spans="1:12" x14ac:dyDescent="0.15">
      <c r="A24" s="1"/>
      <c r="B24" s="1"/>
      <c r="C24" s="1"/>
      <c r="D24" s="1"/>
      <c r="E24" s="1"/>
      <c r="F24" s="1"/>
      <c r="G24" s="1" t="str">
        <f>IF(AND(D24="",E24="",F24=""),"",SUM($D$10:D24)-SUM($E$10:E24)+SUM($F$10:F24))</f>
        <v/>
      </c>
      <c r="H24" s="1"/>
      <c r="I24" s="1" t="str">
        <f>IF(OR(D24="",H24=""),"",D24*H24-IF(E24="",0,E24)*H24+IF(F24="",0,F24)*H24)</f>
        <v/>
      </c>
      <c r="J24" s="1" t="str">
        <f>IF(OR(G24="",H24=""),"",G24*H24)</f>
        <v/>
      </c>
      <c r="K24" s="1"/>
      <c r="L24" s="1"/>
    </row>
    <row r="25" spans="1:12" x14ac:dyDescent="0.15">
      <c r="A25" s="1"/>
      <c r="B25" s="1"/>
      <c r="C25" s="1"/>
      <c r="D25" s="1"/>
      <c r="E25" s="1"/>
      <c r="F25" s="1"/>
      <c r="G25" s="1" t="str">
        <f>IF(AND(D25="",E25="",F25=""),"",SUM($D$10:D25)-SUM($E$10:E25)+SUM($F$10:F25))</f>
        <v/>
      </c>
      <c r="H25" s="1"/>
      <c r="I25" s="1" t="str">
        <f>IF(OR(D25="",H25=""),"",D25*H25-IF(E25="",0,E25)*H25+IF(F25="",0,F25)*H25)</f>
        <v/>
      </c>
      <c r="J25" s="1" t="str">
        <f>IF(OR(G25="",H25=""),"",G25*H25)</f>
        <v/>
      </c>
      <c r="K25" s="1"/>
      <c r="L25" s="1"/>
    </row>
    <row r="26" spans="1:12" x14ac:dyDescent="0.15">
      <c r="A26" s="1"/>
      <c r="B26" s="1"/>
      <c r="C26" s="1"/>
      <c r="D26" s="1"/>
      <c r="E26" s="1"/>
      <c r="F26" s="1"/>
      <c r="G26" s="1" t="str">
        <f>IF(AND(D26="",E26="",F26=""),"",SUM($D$10:D26)-SUM($E$10:E26)+SUM($F$10:F26))</f>
        <v/>
      </c>
      <c r="H26" s="1"/>
      <c r="I26" s="1" t="str">
        <f>IF(OR(D26="",H26=""),"",D26*H26-IF(E26="",0,E26)*H26+IF(F26="",0,F26)*H26)</f>
        <v/>
      </c>
      <c r="J26" s="1" t="str">
        <f>IF(OR(G26="",H26=""),"",G26*H26)</f>
        <v/>
      </c>
      <c r="K26" s="1"/>
      <c r="L26" s="1"/>
    </row>
    <row r="27" spans="1:12" x14ac:dyDescent="0.15">
      <c r="A27" s="1"/>
      <c r="B27" s="1"/>
      <c r="C27" s="1"/>
      <c r="D27" s="1"/>
      <c r="E27" s="1"/>
      <c r="F27" s="1"/>
      <c r="G27" s="1" t="str">
        <f>IF(AND(D27="",E27="",F27=""),"",SUM($D$10:D27)-SUM($E$10:E27)+SUM($F$10:F27))</f>
        <v/>
      </c>
      <c r="H27" s="1"/>
      <c r="I27" s="1" t="str">
        <f>IF(OR(D27="",H27=""),"",D27*H27-IF(E27="",0,E27)*H27+IF(F27="",0,F27)*H27)</f>
        <v/>
      </c>
      <c r="J27" s="1" t="str">
        <f>IF(OR(G27="",H27=""),"",G27*H27)</f>
        <v/>
      </c>
      <c r="K27" s="1"/>
      <c r="L27" s="1"/>
    </row>
    <row r="28" spans="1:12" x14ac:dyDescent="0.15">
      <c r="A28" s="1"/>
      <c r="B28" s="1"/>
      <c r="C28" s="1"/>
      <c r="D28" s="1"/>
      <c r="E28" s="1"/>
      <c r="F28" s="1"/>
      <c r="G28" s="1" t="str">
        <f>IF(AND(D28="",E28="",F28=""),"",SUM($D$10:D28)-SUM($E$10:E28)+SUM($F$10:F28))</f>
        <v/>
      </c>
      <c r="H28" s="1"/>
      <c r="I28" s="1" t="str">
        <f>IF(OR(D28="",H28=""),"",D28*H28-IF(E28="",0,E28)*H28+IF(F28="",0,F28)*H28)</f>
        <v/>
      </c>
      <c r="J28" s="1" t="str">
        <f>IF(OR(G28="",H28=""),"",G28*H28)</f>
        <v/>
      </c>
      <c r="K28" s="1"/>
      <c r="L28" s="1"/>
    </row>
    <row r="29" spans="1:12" x14ac:dyDescent="0.15">
      <c r="A29" s="1"/>
      <c r="B29" s="1"/>
      <c r="C29" s="1"/>
      <c r="D29" s="1"/>
      <c r="E29" s="1"/>
      <c r="F29" s="1"/>
      <c r="G29" s="1" t="str">
        <f>IF(AND(D29="",E29="",F29=""),"",SUM($D$10:D29)-SUM($E$10:E29)+SUM($F$10:F29))</f>
        <v/>
      </c>
      <c r="H29" s="1"/>
      <c r="I29" s="1" t="str">
        <f>IF(OR(D29="",H29=""),"",D29*H29-IF(E29="",0,E29)*H29+IF(F29="",0,F29)*H29)</f>
        <v/>
      </c>
      <c r="J29" s="1" t="str">
        <f>IF(OR(G29="",H29=""),"",G29*H29)</f>
        <v/>
      </c>
      <c r="K29" s="1"/>
      <c r="L29" s="1"/>
    </row>
    <row r="30" spans="1:12" x14ac:dyDescent="0.15">
      <c r="A30" s="1"/>
      <c r="B30" s="1"/>
      <c r="C30" s="1"/>
      <c r="D30" s="1"/>
      <c r="E30" s="1"/>
      <c r="F30" s="1"/>
      <c r="G30" s="1" t="str">
        <f>IF(AND(D30="",E30="",F30=""),"",SUM($D$10:D30)-SUM($E$10:E30)+SUM($F$10:F30))</f>
        <v/>
      </c>
      <c r="H30" s="1"/>
      <c r="I30" s="1" t="str">
        <f>IF(OR(D30="",H30=""),"",D30*H30-IF(E30="",0,E30)*H30+IF(F30="",0,F30)*H30)</f>
        <v/>
      </c>
      <c r="J30" s="1" t="str">
        <f>IF(OR(G30="",H30=""),"",G30*H30)</f>
        <v/>
      </c>
      <c r="K30" s="1"/>
      <c r="L30" s="1"/>
    </row>
    <row r="31" spans="1:12" x14ac:dyDescent="0.15">
      <c r="A31" s="1"/>
      <c r="B31" s="1"/>
      <c r="C31" s="1"/>
      <c r="D31" s="1"/>
      <c r="E31" s="1"/>
      <c r="F31" s="1"/>
      <c r="G31" s="1" t="str">
        <f>IF(AND(D31="",E31="",F31=""),"",SUM($D$10:D31)-SUM($E$10:E31)+SUM($F$10:F31))</f>
        <v/>
      </c>
      <c r="H31" s="1"/>
      <c r="I31" s="1" t="str">
        <f>IF(OR(D31="",H31=""),"",D31*H31-IF(E31="",0,E31)*H31+IF(F31="",0,F31)*H31)</f>
        <v/>
      </c>
      <c r="J31" s="1" t="str">
        <f>IF(OR(G31="",H31=""),"",G31*H31)</f>
        <v/>
      </c>
      <c r="K31" s="1"/>
      <c r="L31" s="1"/>
    </row>
    <row r="32" spans="1:12" x14ac:dyDescent="0.15">
      <c r="A32" s="1"/>
      <c r="B32" s="1"/>
      <c r="C32" s="1"/>
      <c r="D32" s="1"/>
      <c r="E32" s="1"/>
      <c r="F32" s="1"/>
      <c r="G32" s="1" t="str">
        <f>IF(AND(D32="",E32="",F32=""),"",SUM($D$10:D32)-SUM($E$10:E32)+SUM($F$10:F32))</f>
        <v/>
      </c>
      <c r="H32" s="1"/>
      <c r="I32" s="1" t="str">
        <f>IF(OR(D32="",H32=""),"",D32*H32-IF(E32="",0,E32)*H32+IF(F32="",0,F32)*H32)</f>
        <v/>
      </c>
      <c r="J32" s="1" t="str">
        <f>IF(OR(G32="",H32=""),"",G32*H32)</f>
        <v/>
      </c>
      <c r="K32" s="1"/>
      <c r="L32" s="1"/>
    </row>
    <row r="33" spans="1:12" x14ac:dyDescent="0.15">
      <c r="A33" s="1"/>
      <c r="B33" s="1"/>
      <c r="C33" s="1"/>
      <c r="D33" s="1"/>
      <c r="E33" s="1"/>
      <c r="F33" s="1"/>
      <c r="G33" s="1" t="str">
        <f>IF(AND(D33="",E33="",F33=""),"",SUM($D$10:D33)-SUM($E$10:E33)+SUM($F$10:F33))</f>
        <v/>
      </c>
      <c r="H33" s="1"/>
      <c r="I33" s="1" t="str">
        <f>IF(OR(D33="",H33=""),"",D33*H33-IF(E33="",0,E33)*H33+IF(F33="",0,F33)*H33)</f>
        <v/>
      </c>
      <c r="J33" s="1" t="str">
        <f>IF(OR(G33="",H33=""),"",G33*H33)</f>
        <v/>
      </c>
      <c r="K33" s="1"/>
      <c r="L33" s="1"/>
    </row>
    <row r="34" spans="1:12" x14ac:dyDescent="0.15">
      <c r="A34" s="1"/>
      <c r="B34" s="1"/>
      <c r="C34" s="1"/>
      <c r="D34" s="1"/>
      <c r="E34" s="1"/>
      <c r="F34" s="1"/>
      <c r="G34" s="1" t="str">
        <f>IF(AND(D34="",E34="",F34=""),"",SUM($D$10:D34)-SUM($E$10:E34)+SUM($F$10:F34))</f>
        <v/>
      </c>
      <c r="H34" s="1"/>
      <c r="I34" s="1" t="str">
        <f>IF(OR(D34="",H34=""),"",D34*H34-IF(E34="",0,E34)*H34+IF(F34="",0,F34)*H34)</f>
        <v/>
      </c>
      <c r="J34" s="1" t="str">
        <f>IF(OR(G34="",H34=""),"",G34*H34)</f>
        <v/>
      </c>
      <c r="K34" s="1"/>
      <c r="L34" s="1"/>
    </row>
    <row r="35" spans="1:12" x14ac:dyDescent="0.15">
      <c r="A35" s="1"/>
      <c r="B35" s="1"/>
      <c r="C35" s="1"/>
      <c r="D35" s="1"/>
      <c r="E35" s="1"/>
      <c r="F35" s="1"/>
      <c r="G35" s="1" t="str">
        <f>IF(AND(D35="",E35="",F35=""),"",SUM($D$10:D35)-SUM($E$10:E35)+SUM($F$10:F35))</f>
        <v/>
      </c>
      <c r="H35" s="1"/>
      <c r="I35" s="1" t="str">
        <f>IF(OR(D35="",H35=""),"",D35*H35-IF(E35="",0,E35)*H35+IF(F35="",0,F35)*H35)</f>
        <v/>
      </c>
      <c r="J35" s="1" t="str">
        <f>IF(OR(G35="",H35=""),"",G35*H35)</f>
        <v/>
      </c>
      <c r="K35" s="1"/>
      <c r="L35" s="1"/>
    </row>
    <row r="36" spans="1:12" x14ac:dyDescent="0.15">
      <c r="A36" s="1"/>
      <c r="B36" s="1"/>
      <c r="C36" s="1"/>
      <c r="D36" s="1"/>
      <c r="E36" s="1"/>
      <c r="F36" s="1"/>
      <c r="G36" s="1" t="str">
        <f>IF(AND(D36="",E36="",F36=""),"",SUM($D$10:D36)-SUM($E$10:E36)+SUM($F$10:F36))</f>
        <v/>
      </c>
      <c r="H36" s="1"/>
      <c r="I36" s="1" t="str">
        <f>IF(OR(D36="",H36=""),"",D36*H36-IF(E36="",0,E36)*H36+IF(F36="",0,F36)*H36)</f>
        <v/>
      </c>
      <c r="J36" s="1" t="str">
        <f>IF(OR(G36="",H36=""),"",G36*H36)</f>
        <v/>
      </c>
      <c r="K36" s="1"/>
      <c r="L36" s="1"/>
    </row>
    <row r="37" spans="1:12" x14ac:dyDescent="0.15">
      <c r="A37" s="1"/>
      <c r="B37" s="1"/>
      <c r="C37" s="1"/>
      <c r="D37" s="1"/>
      <c r="E37" s="1"/>
      <c r="F37" s="1"/>
      <c r="G37" s="1" t="str">
        <f>IF(AND(D37="",E37="",F37=""),"",SUM($D$10:D37)-SUM($E$10:E37)+SUM($F$10:F37))</f>
        <v/>
      </c>
      <c r="H37" s="1"/>
      <c r="I37" s="1" t="str">
        <f>IF(OR(D37="",H37=""),"",D37*H37-IF(E37="",0,E37)*H37+IF(F37="",0,F37)*H37)</f>
        <v/>
      </c>
      <c r="J37" s="1" t="str">
        <f>IF(OR(G37="",H37=""),"",G37*H37)</f>
        <v/>
      </c>
      <c r="K37" s="1"/>
      <c r="L37" s="1"/>
    </row>
    <row r="38" spans="1:12" x14ac:dyDescent="0.15">
      <c r="A38" s="1"/>
      <c r="B38" s="1"/>
      <c r="C38" s="1"/>
      <c r="D38" s="1"/>
      <c r="E38" s="1"/>
      <c r="F38" s="1"/>
      <c r="G38" s="1" t="str">
        <f>IF(AND(D38="",E38="",F38=""),"",SUM($D$10:D38)-SUM($E$10:E38)+SUM($F$10:F38))</f>
        <v/>
      </c>
      <c r="H38" s="1"/>
      <c r="I38" s="1" t="str">
        <f>IF(OR(D38="",H38=""),"",D38*H38-IF(E38="",0,E38)*H38+IF(F38="",0,F38)*H38)</f>
        <v/>
      </c>
      <c r="J38" s="1" t="str">
        <f>IF(OR(G38="",H38=""),"",G38*H38)</f>
        <v/>
      </c>
      <c r="K38" s="1"/>
      <c r="L38" s="1"/>
    </row>
    <row r="39" spans="1:12" x14ac:dyDescent="0.15">
      <c r="A39" s="1"/>
      <c r="B39" s="1"/>
      <c r="C39" s="1"/>
      <c r="D39" s="1"/>
      <c r="E39" s="1"/>
      <c r="F39" s="1"/>
      <c r="G39" s="1" t="str">
        <f>IF(AND(D39="",E39="",F39=""),"",SUM($D$10:D39)-SUM($E$10:E39)+SUM($F$10:F39))</f>
        <v/>
      </c>
      <c r="H39" s="1"/>
      <c r="I39" s="1" t="str">
        <f>IF(OR(D39="",H39=""),"",D39*H39-IF(E39="",0,E39)*H39+IF(F39="",0,F39)*H39)</f>
        <v/>
      </c>
      <c r="J39" s="1" t="str">
        <f>IF(OR(G39="",H39=""),"",G39*H39)</f>
        <v/>
      </c>
      <c r="K39" s="1"/>
      <c r="L39" s="1"/>
    </row>
    <row r="40" spans="1:12" x14ac:dyDescent="0.15">
      <c r="A40" s="1"/>
      <c r="B40" s="1"/>
      <c r="C40" s="1"/>
      <c r="D40" s="1"/>
      <c r="E40" s="1"/>
      <c r="F40" s="1"/>
      <c r="G40" s="1" t="str">
        <f>IF(AND(D40="",E40="",F40=""),"",SUM($D$10:D40)-SUM($E$10:E40)+SUM($F$10:F40))</f>
        <v/>
      </c>
      <c r="H40" s="1"/>
      <c r="I40" s="1" t="str">
        <f>IF(OR(D40="",H40=""),"",D40*H40-IF(E40="",0,E40)*H40+IF(F40="",0,F40)*H40)</f>
        <v/>
      </c>
      <c r="J40" s="1" t="str">
        <f>IF(OR(G40="",H40=""),"",G40*H40)</f>
        <v/>
      </c>
      <c r="K40" s="1"/>
      <c r="L40" s="1"/>
    </row>
    <row r="41" spans="1:12" x14ac:dyDescent="0.15">
      <c r="A41" s="1"/>
      <c r="B41" s="1"/>
      <c r="C41" s="1"/>
      <c r="D41" s="1"/>
      <c r="E41" s="1"/>
      <c r="F41" s="1"/>
      <c r="G41" s="1" t="str">
        <f>IF(AND(D41="",E41="",F41=""),"",SUM($D$10:D41)-SUM($E$10:E41)+SUM($F$10:F41))</f>
        <v/>
      </c>
      <c r="H41" s="1"/>
      <c r="I41" s="1" t="str">
        <f>IF(OR(D41="",H41=""),"",D41*H41-IF(E41="",0,E41)*H41+IF(F41="",0,F41)*H41)</f>
        <v/>
      </c>
      <c r="J41" s="1" t="str">
        <f>IF(OR(G41="",H41=""),"",G41*H41)</f>
        <v/>
      </c>
      <c r="K41" s="1"/>
      <c r="L41" s="1"/>
    </row>
    <row r="42" spans="1:12" x14ac:dyDescent="0.15">
      <c r="A42" s="1"/>
      <c r="B42" s="1"/>
      <c r="C42" s="1"/>
      <c r="D42" s="1"/>
      <c r="E42" s="1"/>
      <c r="F42" s="1"/>
      <c r="G42" s="1" t="str">
        <f>IF(AND(D42="",E42="",F42=""),"",SUM($D$10:D42)-SUM($E$10:E42)+SUM($F$10:F42))</f>
        <v/>
      </c>
      <c r="H42" s="1"/>
      <c r="I42" s="1" t="str">
        <f>IF(OR(D42="",H42=""),"",D42*H42-IF(E42="",0,E42)*H42+IF(F42="",0,F42)*H42)</f>
        <v/>
      </c>
      <c r="J42" s="1" t="str">
        <f>IF(OR(G42="",H42=""),"",G42*H42)</f>
        <v/>
      </c>
      <c r="K42" s="1"/>
      <c r="L42" s="1"/>
    </row>
    <row r="43" spans="1:12" x14ac:dyDescent="0.15">
      <c r="A43" s="1"/>
      <c r="B43" s="1"/>
      <c r="C43" s="1"/>
      <c r="D43" s="1"/>
      <c r="E43" s="1"/>
      <c r="F43" s="1"/>
      <c r="G43" s="1" t="str">
        <f>IF(AND(D43="",E43="",F43=""),"",SUM($D$10:D43)-SUM($E$10:E43)+SUM($F$10:F43))</f>
        <v/>
      </c>
      <c r="H43" s="1"/>
      <c r="I43" s="1" t="str">
        <f>IF(OR(D43="",H43=""),"",D43*H43-IF(E43="",0,E43)*H43+IF(F43="",0,F43)*H43)</f>
        <v/>
      </c>
      <c r="J43" s="1" t="str">
        <f>IF(OR(G43="",H43=""),"",G43*H43)</f>
        <v/>
      </c>
      <c r="K43" s="1"/>
      <c r="L43" s="1"/>
    </row>
    <row r="44" spans="1:12" x14ac:dyDescent="0.15">
      <c r="A44" s="1"/>
      <c r="B44" s="1"/>
      <c r="C44" s="1"/>
      <c r="D44" s="1"/>
      <c r="E44" s="1"/>
      <c r="F44" s="1"/>
      <c r="G44" s="1" t="str">
        <f>IF(AND(D44="",E44="",F44=""),"",SUM($D$10:D44)-SUM($E$10:E44)+SUM($F$10:F44))</f>
        <v/>
      </c>
      <c r="H44" s="1"/>
      <c r="I44" s="1" t="str">
        <f>IF(OR(D44="",H44=""),"",D44*H44-IF(E44="",0,E44)*H44+IF(F44="",0,F44)*H44)</f>
        <v/>
      </c>
      <c r="J44" s="1" t="str">
        <f>IF(OR(G44="",H44=""),"",G44*H44)</f>
        <v/>
      </c>
      <c r="K44" s="1"/>
      <c r="L44" s="1"/>
    </row>
    <row r="45" spans="1:12" x14ac:dyDescent="0.15">
      <c r="A45" s="1"/>
      <c r="B45" s="1"/>
      <c r="C45" s="1"/>
      <c r="D45" s="1"/>
      <c r="E45" s="1"/>
      <c r="F45" s="1"/>
      <c r="G45" s="1" t="str">
        <f>IF(AND(D45="",E45="",F45=""),"",SUM($D$10:D45)-SUM($E$10:E45)+SUM($F$10:F45))</f>
        <v/>
      </c>
      <c r="H45" s="1"/>
      <c r="I45" s="1" t="str">
        <f>IF(OR(D45="",H45=""),"",D45*H45-IF(E45="",0,E45)*H45+IF(F45="",0,F45)*H45)</f>
        <v/>
      </c>
      <c r="J45" s="1" t="str">
        <f>IF(OR(G45="",H45=""),"",G45*H45)</f>
        <v/>
      </c>
      <c r="K45" s="1"/>
      <c r="L45" s="1"/>
    </row>
    <row r="46" spans="1:12" x14ac:dyDescent="0.15">
      <c r="A46" s="1"/>
      <c r="B46" s="1"/>
      <c r="C46" s="1"/>
      <c r="D46" s="1"/>
      <c r="E46" s="1"/>
      <c r="F46" s="1"/>
      <c r="G46" s="1" t="str">
        <f>IF(AND(D46="",E46="",F46=""),"",SUM($D$10:D46)-SUM($E$10:E46)+SUM($F$10:F46))</f>
        <v/>
      </c>
      <c r="H46" s="1"/>
      <c r="I46" s="1" t="str">
        <f>IF(OR(D46="",H46=""),"",D46*H46-IF(E46="",0,E46)*H46+IF(F46="",0,F46)*H46)</f>
        <v/>
      </c>
      <c r="J46" s="1" t="str">
        <f>IF(OR(G46="",H46=""),"",G46*H46)</f>
        <v/>
      </c>
      <c r="K46" s="1"/>
      <c r="L46" s="1"/>
    </row>
    <row r="47" spans="1:12" x14ac:dyDescent="0.15">
      <c r="A47" s="1"/>
      <c r="B47" s="1"/>
      <c r="C47" s="1"/>
      <c r="D47" s="1"/>
      <c r="E47" s="1"/>
      <c r="F47" s="1"/>
      <c r="G47" s="1" t="str">
        <f>IF(AND(D47="",E47="",F47=""),"",SUM($D$10:D47)-SUM($E$10:E47)+SUM($F$10:F47))</f>
        <v/>
      </c>
      <c r="H47" s="1"/>
      <c r="I47" s="1" t="str">
        <f>IF(OR(D47="",H47=""),"",D47*H47-IF(E47="",0,E47)*H47+IF(F47="",0,F47)*H47)</f>
        <v/>
      </c>
      <c r="J47" s="1" t="str">
        <f>IF(OR(G47="",H47=""),"",G47*H47)</f>
        <v/>
      </c>
      <c r="K47" s="1"/>
      <c r="L47" s="1"/>
    </row>
    <row r="48" spans="1:12" x14ac:dyDescent="0.15">
      <c r="A48" s="1"/>
      <c r="B48" s="1"/>
      <c r="C48" s="1"/>
      <c r="D48" s="1"/>
      <c r="E48" s="1"/>
      <c r="F48" s="1"/>
      <c r="G48" s="1" t="str">
        <f>IF(AND(D48="",E48="",F48=""),"",SUM($D$10:D48)-SUM($E$10:E48)+SUM($F$10:F48))</f>
        <v/>
      </c>
      <c r="H48" s="1"/>
      <c r="I48" s="1" t="str">
        <f>IF(OR(D48="",H48=""),"",D48*H48-IF(E48="",0,E48)*H48+IF(F48="",0,F48)*H48)</f>
        <v/>
      </c>
      <c r="J48" s="1" t="str">
        <f>IF(OR(G48="",H48=""),"",G48*H48)</f>
        <v/>
      </c>
      <c r="K48" s="1"/>
      <c r="L48" s="1"/>
    </row>
    <row r="49" spans="1:12" x14ac:dyDescent="0.15">
      <c r="A49" s="1"/>
      <c r="B49" s="1"/>
      <c r="C49" s="1"/>
      <c r="D49" s="1"/>
      <c r="E49" s="1"/>
      <c r="F49" s="1"/>
      <c r="G49" s="1" t="str">
        <f>IF(AND(D49="",E49="",F49=""),"",SUM($D$10:D49)-SUM($E$10:E49)+SUM($F$10:F49))</f>
        <v/>
      </c>
      <c r="H49" s="1"/>
      <c r="I49" s="1" t="str">
        <f>IF(OR(D49="",H49=""),"",D49*H49-IF(E49="",0,E49)*H49+IF(F49="",0,F49)*H49)</f>
        <v/>
      </c>
      <c r="J49" s="1" t="str">
        <f>IF(OR(G49="",H49=""),"",G49*H49)</f>
        <v/>
      </c>
      <c r="K49" s="1"/>
      <c r="L49" s="1"/>
    </row>
    <row r="50" spans="1:12" x14ac:dyDescent="0.15">
      <c r="A50" s="1"/>
      <c r="B50" s="1"/>
      <c r="C50" s="1"/>
      <c r="D50" s="1"/>
      <c r="E50" s="1"/>
      <c r="F50" s="1"/>
      <c r="G50" s="1" t="str">
        <f>IF(AND(D50="",E50="",F50=""),"",SUM($D$10:D50)-SUM($E$10:E50)+SUM($F$10:F50))</f>
        <v/>
      </c>
      <c r="H50" s="1"/>
      <c r="I50" s="1" t="str">
        <f>IF(OR(D50="",H50=""),"",D50*H50-IF(E50="",0,E50)*H50+IF(F50="",0,F50)*H50)</f>
        <v/>
      </c>
      <c r="J50" s="1" t="str">
        <f>IF(OR(G50="",H50=""),"",G50*H50)</f>
        <v/>
      </c>
      <c r="K50" s="1"/>
      <c r="L50" s="1"/>
    </row>
    <row r="51" spans="1:12" x14ac:dyDescent="0.15">
      <c r="A51" s="1"/>
      <c r="B51" s="1"/>
      <c r="C51" s="1"/>
      <c r="D51" s="1"/>
      <c r="E51" s="1"/>
      <c r="F51" s="1"/>
      <c r="G51" s="1" t="str">
        <f>IF(AND(D51="",E51="",F51=""),"",SUM($D$10:D51)-SUM($E$10:E51)+SUM($F$10:F51))</f>
        <v/>
      </c>
      <c r="H51" s="1"/>
      <c r="I51" s="1" t="str">
        <f>IF(OR(D51="",H51=""),"",D51*H51-IF(E51="",0,E51)*H51+IF(F51="",0,F51)*H51)</f>
        <v/>
      </c>
      <c r="J51" s="1" t="str">
        <f>IF(OR(G51="",H51=""),"",G51*H51)</f>
        <v/>
      </c>
      <c r="K51" s="1"/>
      <c r="L51" s="1"/>
    </row>
    <row r="52" spans="1:12" x14ac:dyDescent="0.15">
      <c r="A52" s="1"/>
      <c r="B52" s="1"/>
      <c r="C52" s="1"/>
      <c r="D52" s="1"/>
      <c r="E52" s="1"/>
      <c r="F52" s="1"/>
      <c r="G52" s="1" t="str">
        <f>IF(AND(D52="",E52="",F52=""),"",SUM($D$10:D52)-SUM($E$10:E52)+SUM($F$10:F52))</f>
        <v/>
      </c>
      <c r="H52" s="1"/>
      <c r="I52" s="1" t="str">
        <f>IF(OR(D52="",H52=""),"",D52*H52-IF(E52="",0,E52)*H52+IF(F52="",0,F52)*H52)</f>
        <v/>
      </c>
      <c r="J52" s="1" t="str">
        <f>IF(OR(G52="",H52=""),"",G52*H52)</f>
        <v/>
      </c>
      <c r="K52" s="1"/>
      <c r="L52" s="1"/>
    </row>
    <row r="53" spans="1:12" x14ac:dyDescent="0.15">
      <c r="A53" s="1"/>
      <c r="B53" s="1"/>
      <c r="C53" s="1"/>
      <c r="D53" s="1"/>
      <c r="E53" s="1"/>
      <c r="F53" s="1"/>
      <c r="G53" s="1" t="str">
        <f>IF(AND(D53="",E53="",F53=""),"",SUM($D$10:D53)-SUM($E$10:E53)+SUM($F$10:F53))</f>
        <v/>
      </c>
      <c r="H53" s="1"/>
      <c r="I53" s="1" t="str">
        <f>IF(OR(D53="",H53=""),"",D53*H53-IF(E53="",0,E53)*H53+IF(F53="",0,F53)*H53)</f>
        <v/>
      </c>
      <c r="J53" s="1" t="str">
        <f>IF(OR(G53="",H53=""),"",G53*H53)</f>
        <v/>
      </c>
      <c r="K53" s="1"/>
      <c r="L53" s="1"/>
    </row>
    <row r="54" spans="1:12" x14ac:dyDescent="0.15">
      <c r="A54" s="1"/>
      <c r="B54" s="1"/>
      <c r="C54" s="1"/>
      <c r="D54" s="1"/>
      <c r="E54" s="1"/>
      <c r="F54" s="1"/>
      <c r="G54" s="1" t="str">
        <f>IF(AND(D54="",E54="",F54=""),"",SUM($D$10:D54)-SUM($E$10:E54)+SUM($F$10:F54))</f>
        <v/>
      </c>
      <c r="H54" s="1"/>
      <c r="I54" s="1" t="str">
        <f>IF(OR(D54="",H54=""),"",D54*H54-IF(E54="",0,E54)*H54+IF(F54="",0,F54)*H54)</f>
        <v/>
      </c>
      <c r="J54" s="1" t="str">
        <f>IF(OR(G54="",H54=""),"",G54*H54)</f>
        <v/>
      </c>
      <c r="K54" s="1"/>
      <c r="L54" s="1"/>
    </row>
    <row r="55" spans="1:12" x14ac:dyDescent="0.15">
      <c r="A55" s="1"/>
      <c r="B55" s="1"/>
      <c r="C55" s="1"/>
      <c r="D55" s="1"/>
      <c r="E55" s="1"/>
      <c r="F55" s="1"/>
      <c r="G55" s="1" t="str">
        <f>IF(AND(D55="",E55="",F55=""),"",SUM($D$10:D55)-SUM($E$10:E55)+SUM($F$10:F55))</f>
        <v/>
      </c>
      <c r="H55" s="1"/>
      <c r="I55" s="1" t="str">
        <f>IF(OR(D55="",H55=""),"",D55*H55-IF(E55="",0,E55)*H55+IF(F55="",0,F55)*H55)</f>
        <v/>
      </c>
      <c r="J55" s="1" t="str">
        <f>IF(OR(G55="",H55=""),"",G55*H55)</f>
        <v/>
      </c>
      <c r="K55" s="1"/>
      <c r="L55" s="1"/>
    </row>
    <row r="56" spans="1:12" x14ac:dyDescent="0.15">
      <c r="A56" s="1"/>
      <c r="B56" s="1"/>
      <c r="C56" s="1"/>
      <c r="D56" s="1"/>
      <c r="E56" s="1"/>
      <c r="F56" s="1"/>
      <c r="G56" s="1" t="str">
        <f>IF(AND(D56="",E56="",F56=""),"",SUM($D$10:D56)-SUM($E$10:E56)+SUM($F$10:F56))</f>
        <v/>
      </c>
      <c r="H56" s="1"/>
      <c r="I56" s="1" t="str">
        <f>IF(OR(D56="",H56=""),"",D56*H56-IF(E56="",0,E56)*H56+IF(F56="",0,F56)*H56)</f>
        <v/>
      </c>
      <c r="J56" s="1" t="str">
        <f>IF(OR(G56="",H56=""),"",G56*H56)</f>
        <v/>
      </c>
      <c r="K56" s="1"/>
      <c r="L56" s="1"/>
    </row>
    <row r="57" spans="1:12" x14ac:dyDescent="0.15">
      <c r="A57" s="1"/>
      <c r="B57" s="1"/>
      <c r="C57" s="1"/>
      <c r="D57" s="1"/>
      <c r="E57" s="1"/>
      <c r="F57" s="1"/>
      <c r="G57" s="1" t="str">
        <f>IF(AND(D57="",E57="",F57=""),"",SUM($D$10:D57)-SUM($E$10:E57)+SUM($F$10:F57))</f>
        <v/>
      </c>
      <c r="H57" s="1"/>
      <c r="I57" s="1" t="str">
        <f>IF(OR(D57="",H57=""),"",D57*H57-IF(E57="",0,E57)*H57+IF(F57="",0,F57)*H57)</f>
        <v/>
      </c>
      <c r="J57" s="1" t="str">
        <f>IF(OR(G57="",H57=""),"",G57*H57)</f>
        <v/>
      </c>
      <c r="K57" s="1"/>
      <c r="L57" s="1"/>
    </row>
    <row r="58" spans="1:12" x14ac:dyDescent="0.15">
      <c r="A58" s="1"/>
      <c r="B58" s="1"/>
      <c r="C58" s="1"/>
      <c r="D58" s="1"/>
      <c r="E58" s="1"/>
      <c r="F58" s="1"/>
      <c r="G58" s="1" t="str">
        <f>IF(AND(D58="",E58="",F58=""),"",SUM($D$10:D58)-SUM($E$10:E58)+SUM($F$10:F58))</f>
        <v/>
      </c>
      <c r="H58" s="1"/>
      <c r="I58" s="1" t="str">
        <f>IF(OR(D58="",H58=""),"",D58*H58-IF(E58="",0,E58)*H58+IF(F58="",0,F58)*H58)</f>
        <v/>
      </c>
      <c r="J58" s="1" t="str">
        <f>IF(OR(G58="",H58=""),"",G58*H58)</f>
        <v/>
      </c>
      <c r="K58" s="1"/>
      <c r="L58" s="1"/>
    </row>
    <row r="59" spans="1:12" x14ac:dyDescent="0.15">
      <c r="A59" s="1"/>
      <c r="B59" s="1"/>
      <c r="C59" s="1"/>
      <c r="D59" s="1"/>
      <c r="E59" s="1"/>
      <c r="F59" s="1"/>
      <c r="G59" s="1" t="str">
        <f>IF(AND(D59="",E59="",F59=""),"",SUM($D$10:D59)-SUM($E$10:E59)+SUM($F$10:F59))</f>
        <v/>
      </c>
      <c r="H59" s="1"/>
      <c r="I59" s="1" t="str">
        <f>IF(OR(D59="",H59=""),"",D59*H59-IF(E59="",0,E59)*H59+IF(F59="",0,F59)*H59)</f>
        <v/>
      </c>
      <c r="J59" s="1" t="str">
        <f>IF(OR(G59="",H59=""),"",G59*H59)</f>
        <v/>
      </c>
      <c r="K59" s="1"/>
      <c r="L59" s="1"/>
    </row>
    <row r="60" spans="1:12" x14ac:dyDescent="0.15">
      <c r="A60" s="1"/>
      <c r="B60" s="1"/>
      <c r="C60" s="1"/>
      <c r="D60" s="1"/>
      <c r="E60" s="1"/>
      <c r="F60" s="1"/>
      <c r="G60" s="1" t="str">
        <f>IF(AND(D60="",E60="",F60=""),"",SUM($D$10:D60)-SUM($E$10:E60)+SUM($F$10:F60))</f>
        <v/>
      </c>
      <c r="H60" s="1"/>
      <c r="I60" s="1" t="str">
        <f>IF(OR(D60="",H60=""),"",D60*H60-IF(E60="",0,E60)*H60+IF(F60="",0,F60)*H60)</f>
        <v/>
      </c>
      <c r="J60" s="1" t="str">
        <f>IF(OR(G60="",H60=""),"",G60*H60)</f>
        <v/>
      </c>
      <c r="K60" s="1"/>
      <c r="L60" s="1"/>
    </row>
    <row r="61" spans="1:12" x14ac:dyDescent="0.15">
      <c r="A61" s="1"/>
      <c r="B61" s="1"/>
      <c r="C61" s="1"/>
      <c r="D61" s="1"/>
      <c r="E61" s="1"/>
      <c r="F61" s="1"/>
      <c r="G61" s="1" t="str">
        <f>IF(AND(D61="",E61="",F61=""),"",SUM($D$10:D61)-SUM($E$10:E61)+SUM($F$10:F61))</f>
        <v/>
      </c>
      <c r="H61" s="1"/>
      <c r="I61" s="1" t="str">
        <f>IF(OR(D61="",H61=""),"",D61*H61-IF(E61="",0,E61)*H61+IF(F61="",0,F61)*H61)</f>
        <v/>
      </c>
      <c r="J61" s="1" t="str">
        <f>IF(OR(G61="",H61=""),"",G61*H61)</f>
        <v/>
      </c>
      <c r="K61" s="1"/>
      <c r="L61" s="1"/>
    </row>
    <row r="62" spans="1:12" x14ac:dyDescent="0.15">
      <c r="A62" s="1"/>
      <c r="B62" s="1"/>
      <c r="C62" s="1"/>
      <c r="D62" s="1"/>
      <c r="E62" s="1"/>
      <c r="F62" s="1"/>
      <c r="G62" s="1" t="str">
        <f>IF(AND(D62="",E62="",F62=""),"",SUM($D$10:D62)-SUM($E$10:E62)+SUM($F$10:F62))</f>
        <v/>
      </c>
      <c r="H62" s="1"/>
      <c r="I62" s="1" t="str">
        <f>IF(OR(D62="",H62=""),"",D62*H62-IF(E62="",0,E62)*H62+IF(F62="",0,F62)*H62)</f>
        <v/>
      </c>
      <c r="J62" s="1" t="str">
        <f>IF(OR(G62="",H62=""),"",G62*H62)</f>
        <v/>
      </c>
      <c r="K62" s="1"/>
      <c r="L62" s="1"/>
    </row>
    <row r="63" spans="1:12" x14ac:dyDescent="0.15">
      <c r="A63" s="1"/>
      <c r="B63" s="1"/>
      <c r="C63" s="1"/>
      <c r="D63" s="1"/>
      <c r="E63" s="1"/>
      <c r="F63" s="1"/>
      <c r="G63" s="1" t="str">
        <f>IF(AND(D63="",E63="",F63=""),"",SUM($D$10:D63)-SUM($E$10:E63)+SUM($F$10:F63))</f>
        <v/>
      </c>
      <c r="H63" s="1"/>
      <c r="I63" s="1" t="str">
        <f>IF(OR(D63="",H63=""),"",D63*H63-IF(E63="",0,E63)*H63+IF(F63="",0,F63)*H63)</f>
        <v/>
      </c>
      <c r="J63" s="1" t="str">
        <f>IF(OR(G63="",H63=""),"",G63*H63)</f>
        <v/>
      </c>
      <c r="K63" s="1"/>
      <c r="L63" s="1"/>
    </row>
    <row r="64" spans="1:12" x14ac:dyDescent="0.15">
      <c r="A64" s="1"/>
      <c r="B64" s="1"/>
      <c r="C64" s="1"/>
      <c r="D64" s="1"/>
      <c r="E64" s="1"/>
      <c r="F64" s="1"/>
      <c r="G64" s="1" t="str">
        <f>IF(AND(D64="",E64="",F64=""),"",SUM($D$10:D64)-SUM($E$10:E64)+SUM($F$10:F64))</f>
        <v/>
      </c>
      <c r="H64" s="1"/>
      <c r="I64" s="1" t="str">
        <f>IF(OR(D64="",H64=""),"",D64*H64-IF(E64="",0,E64)*H64+IF(F64="",0,F64)*H64)</f>
        <v/>
      </c>
      <c r="J64" s="1" t="str">
        <f>IF(OR(G64="",H64=""),"",G64*H64)</f>
        <v/>
      </c>
      <c r="K64" s="1"/>
      <c r="L64" s="1"/>
    </row>
    <row r="65" spans="1:12" x14ac:dyDescent="0.15">
      <c r="A65" s="1"/>
      <c r="B65" s="1"/>
      <c r="C65" s="1"/>
      <c r="D65" s="1"/>
      <c r="E65" s="1"/>
      <c r="F65" s="1"/>
      <c r="G65" s="1" t="str">
        <f>IF(AND(D65="",E65="",F65=""),"",SUM($D$10:D65)-SUM($E$10:E65)+SUM($F$10:F65))</f>
        <v/>
      </c>
      <c r="H65" s="1"/>
      <c r="I65" s="1" t="str">
        <f>IF(OR(D65="",H65=""),"",D65*H65-IF(E65="",0,E65)*H65+IF(F65="",0,F65)*H65)</f>
        <v/>
      </c>
      <c r="J65" s="1" t="str">
        <f>IF(OR(G65="",H65=""),"",G65*H65)</f>
        <v/>
      </c>
      <c r="K65" s="1"/>
      <c r="L65" s="1"/>
    </row>
    <row r="66" spans="1:12" x14ac:dyDescent="0.15">
      <c r="A66" s="1"/>
      <c r="B66" s="1"/>
      <c r="C66" s="1"/>
      <c r="D66" s="1"/>
      <c r="E66" s="1"/>
      <c r="F66" s="1"/>
      <c r="G66" s="1" t="str">
        <f>IF(AND(D66="",E66="",F66=""),"",SUM($D$10:D66)-SUM($E$10:E66)+SUM($F$10:F66))</f>
        <v/>
      </c>
      <c r="H66" s="1"/>
      <c r="I66" s="1" t="str">
        <f>IF(OR(D66="",H66=""),"",D66*H66-IF(E66="",0,E66)*H66+IF(F66="",0,F66)*H66)</f>
        <v/>
      </c>
      <c r="J66" s="1" t="str">
        <f>IF(OR(G66="",H66=""),"",G66*H66)</f>
        <v/>
      </c>
      <c r="K66" s="1"/>
      <c r="L66" s="1"/>
    </row>
    <row r="67" spans="1:12" x14ac:dyDescent="0.15">
      <c r="A67" s="1"/>
      <c r="B67" s="1"/>
      <c r="C67" s="1"/>
      <c r="D67" s="1"/>
      <c r="E67" s="1"/>
      <c r="F67" s="1"/>
      <c r="G67" s="1" t="str">
        <f>IF(AND(D67="",E67="",F67=""),"",SUM($D$10:D67)-SUM($E$10:E67)+SUM($F$10:F67))</f>
        <v/>
      </c>
      <c r="H67" s="1"/>
      <c r="I67" s="1" t="str">
        <f>IF(OR(D67="",H67=""),"",D67*H67-IF(E67="",0,E67)*H67+IF(F67="",0,F67)*H67)</f>
        <v/>
      </c>
      <c r="J67" s="1" t="str">
        <f>IF(OR(G67="",H67=""),"",G67*H67)</f>
        <v/>
      </c>
      <c r="K67" s="1"/>
      <c r="L67" s="1"/>
    </row>
    <row r="68" spans="1:12" x14ac:dyDescent="0.15">
      <c r="A68" s="1"/>
      <c r="B68" s="1"/>
      <c r="C68" s="1"/>
      <c r="D68" s="1"/>
      <c r="E68" s="1"/>
      <c r="F68" s="1"/>
      <c r="G68" s="1" t="str">
        <f>IF(AND(D68="",E68="",F68=""),"",SUM($D$10:D68)-SUM($E$10:E68)+SUM($F$10:F68))</f>
        <v/>
      </c>
      <c r="H68" s="1"/>
      <c r="I68" s="1" t="str">
        <f>IF(OR(D68="",H68=""),"",D68*H68-IF(E68="",0,E68)*H68+IF(F68="",0,F68)*H68)</f>
        <v/>
      </c>
      <c r="J68" s="1" t="str">
        <f>IF(OR(G68="",H68=""),"",G68*H68)</f>
        <v/>
      </c>
      <c r="K68" s="1"/>
      <c r="L68" s="1"/>
    </row>
    <row r="69" spans="1:12" x14ac:dyDescent="0.15">
      <c r="A69" s="1"/>
      <c r="B69" s="1"/>
      <c r="C69" s="1"/>
      <c r="D69" s="1"/>
      <c r="E69" s="1"/>
      <c r="F69" s="1"/>
      <c r="G69" s="1" t="str">
        <f>IF(AND(D69="",E69="",F69=""),"",SUM($D$10:D69)-SUM($E$10:E69)+SUM($F$10:F69))</f>
        <v/>
      </c>
      <c r="H69" s="1"/>
      <c r="I69" s="1" t="str">
        <f>IF(OR(D69="",H69=""),"",D69*H69-IF(E69="",0,E69)*H69+IF(F69="",0,F69)*H69)</f>
        <v/>
      </c>
      <c r="J69" s="1" t="str">
        <f>IF(OR(G69="",H69=""),"",G69*H69)</f>
        <v/>
      </c>
      <c r="K69" s="1"/>
      <c r="L69" s="1"/>
    </row>
    <row r="70" spans="1:12" x14ac:dyDescent="0.15">
      <c r="A70" s="1"/>
      <c r="B70" s="1"/>
      <c r="C70" s="1"/>
      <c r="D70" s="1"/>
      <c r="E70" s="1"/>
      <c r="F70" s="1"/>
      <c r="G70" s="1" t="str">
        <f>IF(AND(D70="",E70="",F70=""),"",SUM($D$10:D70)-SUM($E$10:E70)+SUM($F$10:F70))</f>
        <v/>
      </c>
      <c r="H70" s="1"/>
      <c r="I70" s="1" t="str">
        <f>IF(OR(D70="",H70=""),"",D70*H70-IF(E70="",0,E70)*H70+IF(F70="",0,F70)*H70)</f>
        <v/>
      </c>
      <c r="J70" s="1" t="str">
        <f>IF(OR(G70="",H70=""),"",G70*H70)</f>
        <v/>
      </c>
      <c r="K70" s="1"/>
      <c r="L70" s="1"/>
    </row>
    <row r="71" spans="1:12" x14ac:dyDescent="0.15">
      <c r="A71" s="1"/>
      <c r="B71" s="1"/>
      <c r="C71" s="1"/>
      <c r="D71" s="1"/>
      <c r="E71" s="1"/>
      <c r="F71" s="1"/>
      <c r="G71" s="1" t="str">
        <f>IF(AND(D71="",E71="",F71=""),"",SUM($D$10:D71)-SUM($E$10:E71)+SUM($F$10:F71))</f>
        <v/>
      </c>
      <c r="H71" s="1"/>
      <c r="I71" s="1" t="str">
        <f>IF(OR(D71="",H71=""),"",D71*H71-IF(E71="",0,E71)*H71+IF(F71="",0,F71)*H71)</f>
        <v/>
      </c>
      <c r="J71" s="1" t="str">
        <f>IF(OR(G71="",H71=""),"",G71*H71)</f>
        <v/>
      </c>
      <c r="K71" s="1"/>
      <c r="L71" s="1"/>
    </row>
    <row r="72" spans="1:12" x14ac:dyDescent="0.15">
      <c r="A72" s="1"/>
      <c r="B72" s="1"/>
      <c r="C72" s="1"/>
      <c r="D72" s="1"/>
      <c r="E72" s="1"/>
      <c r="F72" s="1"/>
      <c r="G72" s="1" t="str">
        <f>IF(AND(D72="",E72="",F72=""),"",SUM($D$10:D72)-SUM($E$10:E72)+SUM($F$10:F72))</f>
        <v/>
      </c>
      <c r="H72" s="1"/>
      <c r="I72" s="1" t="str">
        <f>IF(OR(D72="",H72=""),"",D72*H72-IF(E72="",0,E72)*H72+IF(F72="",0,F72)*H72)</f>
        <v/>
      </c>
      <c r="J72" s="1" t="str">
        <f>IF(OR(G72="",H72=""),"",G72*H72)</f>
        <v/>
      </c>
      <c r="K72" s="1"/>
      <c r="L72" s="1"/>
    </row>
    <row r="73" spans="1:12" x14ac:dyDescent="0.15">
      <c r="A73" s="1"/>
      <c r="B73" s="1"/>
      <c r="C73" s="1"/>
      <c r="D73" s="1"/>
      <c r="E73" s="1"/>
      <c r="F73" s="1"/>
      <c r="G73" s="1" t="str">
        <f>IF(AND(D73="",E73="",F73=""),"",SUM($D$10:D73)-SUM($E$10:E73)+SUM($F$10:F73))</f>
        <v/>
      </c>
      <c r="H73" s="1"/>
      <c r="I73" s="1" t="str">
        <f>IF(OR(D73="",H73=""),"",D73*H73-IF(E73="",0,E73)*H73+IF(F73="",0,F73)*H73)</f>
        <v/>
      </c>
      <c r="J73" s="1" t="str">
        <f>IF(OR(G73="",H73=""),"",G73*H73)</f>
        <v/>
      </c>
      <c r="K73" s="1"/>
      <c r="L73" s="1"/>
    </row>
    <row r="74" spans="1:12" x14ac:dyDescent="0.15">
      <c r="A74" s="1"/>
      <c r="B74" s="1"/>
      <c r="C74" s="1"/>
      <c r="D74" s="1"/>
      <c r="E74" s="1"/>
      <c r="F74" s="1"/>
      <c r="G74" s="1" t="str">
        <f>IF(AND(D74="",E74="",F74=""),"",SUM($D$10:D74)-SUM($E$10:E74)+SUM($F$10:F74))</f>
        <v/>
      </c>
      <c r="H74" s="1"/>
      <c r="I74" s="1" t="str">
        <f>IF(OR(D74="",H74=""),"",D74*H74-IF(E74="",0,E74)*H74+IF(F74="",0,F74)*H74)</f>
        <v/>
      </c>
      <c r="J74" s="1" t="str">
        <f>IF(OR(G74="",H74=""),"",G74*H74)</f>
        <v/>
      </c>
      <c r="K74" s="1"/>
      <c r="L74" s="1"/>
    </row>
    <row r="75" spans="1:12" x14ac:dyDescent="0.15">
      <c r="A75" s="1"/>
      <c r="B75" s="1"/>
      <c r="C75" s="1"/>
      <c r="D75" s="1"/>
      <c r="E75" s="1"/>
      <c r="F75" s="1"/>
      <c r="G75" s="1" t="str">
        <f>IF(AND(D75="",E75="",F75=""),"",SUM($D$10:D75)-SUM($E$10:E75)+SUM($F$10:F75))</f>
        <v/>
      </c>
      <c r="H75" s="1"/>
      <c r="I75" s="1" t="str">
        <f>IF(OR(D75="",H75=""),"",D75*H75-IF(E75="",0,E75)*H75+IF(F75="",0,F75)*H75)</f>
        <v/>
      </c>
      <c r="J75" s="1" t="str">
        <f>IF(OR(G75="",H75=""),"",G75*H75)</f>
        <v/>
      </c>
      <c r="K75" s="1"/>
      <c r="L75" s="1"/>
    </row>
    <row r="76" spans="1:12" x14ac:dyDescent="0.15">
      <c r="A76" s="1"/>
      <c r="B76" s="1"/>
      <c r="C76" s="1"/>
      <c r="D76" s="1"/>
      <c r="E76" s="1"/>
      <c r="F76" s="1"/>
      <c r="G76" s="1" t="str">
        <f>IF(AND(D76="",E76="",F76=""),"",SUM($D$10:D76)-SUM($E$10:E76)+SUM($F$10:F76))</f>
        <v/>
      </c>
      <c r="H76" s="1"/>
      <c r="I76" s="1" t="str">
        <f>IF(OR(D76="",H76=""),"",D76*H76-IF(E76="",0,E76)*H76+IF(F76="",0,F76)*H76)</f>
        <v/>
      </c>
      <c r="J76" s="1" t="str">
        <f>IF(OR(G76="",H76=""),"",G76*H76)</f>
        <v/>
      </c>
      <c r="K76" s="1"/>
      <c r="L76" s="1"/>
    </row>
    <row r="77" spans="1:12" x14ac:dyDescent="0.15">
      <c r="A77" s="1"/>
      <c r="B77" s="1"/>
      <c r="C77" s="1"/>
      <c r="D77" s="1"/>
      <c r="E77" s="1"/>
      <c r="F77" s="1"/>
      <c r="G77" s="1" t="str">
        <f>IF(AND(D77="",E77="",F77=""),"",SUM($D$10:D77)-SUM($E$10:E77)+SUM($F$10:F77))</f>
        <v/>
      </c>
      <c r="H77" s="1"/>
      <c r="I77" s="1" t="str">
        <f>IF(OR(D77="",H77=""),"",D77*H77-IF(E77="",0,E77)*H77+IF(F77="",0,F77)*H77)</f>
        <v/>
      </c>
      <c r="J77" s="1" t="str">
        <f>IF(OR(G77="",H77=""),"",G77*H77)</f>
        <v/>
      </c>
      <c r="K77" s="1"/>
      <c r="L77" s="1"/>
    </row>
    <row r="78" spans="1:12" x14ac:dyDescent="0.15">
      <c r="A78" s="1"/>
      <c r="B78" s="1"/>
      <c r="C78" s="1"/>
      <c r="D78" s="1"/>
      <c r="E78" s="1"/>
      <c r="F78" s="1"/>
      <c r="G78" s="1" t="str">
        <f>IF(AND(D78="",E78="",F78=""),"",SUM($D$10:D78)-SUM($E$10:E78)+SUM($F$10:F78))</f>
        <v/>
      </c>
      <c r="H78" s="1"/>
      <c r="I78" s="1" t="str">
        <f>IF(OR(D78="",H78=""),"",D78*H78-IF(E78="",0,E78)*H78+IF(F78="",0,F78)*H78)</f>
        <v/>
      </c>
      <c r="J78" s="1" t="str">
        <f>IF(OR(G78="",H78=""),"",G78*H78)</f>
        <v/>
      </c>
      <c r="K78" s="1"/>
      <c r="L78" s="1"/>
    </row>
    <row r="79" spans="1:12" x14ac:dyDescent="0.15">
      <c r="A79" s="1"/>
      <c r="B79" s="1"/>
      <c r="C79" s="1"/>
      <c r="D79" s="1"/>
      <c r="E79" s="1"/>
      <c r="F79" s="1"/>
      <c r="G79" s="1" t="str">
        <f>IF(AND(D79="",E79="",F79=""),"",SUM($D$10:D79)-SUM($E$10:E79)+SUM($F$10:F79))</f>
        <v/>
      </c>
      <c r="H79" s="1"/>
      <c r="I79" s="1" t="str">
        <f>IF(OR(D79="",H79=""),"",D79*H79-IF(E79="",0,E79)*H79+IF(F79="",0,F79)*H79)</f>
        <v/>
      </c>
      <c r="J79" s="1" t="str">
        <f>IF(OR(G79="",H79=""),"",G79*H79)</f>
        <v/>
      </c>
      <c r="K79" s="1"/>
      <c r="L79" s="1"/>
    </row>
    <row r="80" spans="1:12" x14ac:dyDescent="0.15">
      <c r="A80" s="1"/>
      <c r="B80" s="1"/>
      <c r="C80" s="1"/>
      <c r="D80" s="1"/>
      <c r="E80" s="1"/>
      <c r="F80" s="1"/>
      <c r="G80" s="1" t="str">
        <f>IF(AND(D80="",E80="",F80=""),"",SUM($D$10:D80)-SUM($E$10:E80)+SUM($F$10:F80))</f>
        <v/>
      </c>
      <c r="H80" s="1"/>
      <c r="I80" s="1" t="str">
        <f>IF(OR(D80="",H80=""),"",D80*H80-IF(E80="",0,E80)*H80+IF(F80="",0,F80)*H80)</f>
        <v/>
      </c>
      <c r="J80" s="1" t="str">
        <f>IF(OR(G80="",H80=""),"",G80*H80)</f>
        <v/>
      </c>
      <c r="K80" s="1"/>
      <c r="L80" s="1"/>
    </row>
    <row r="81" spans="1:12" x14ac:dyDescent="0.15">
      <c r="A81" s="1"/>
      <c r="B81" s="1"/>
      <c r="C81" s="1"/>
      <c r="D81" s="1"/>
      <c r="E81" s="1"/>
      <c r="F81" s="1"/>
      <c r="G81" s="1" t="str">
        <f>IF(AND(D81="",E81="",F81=""),"",SUM($D$10:D81)-SUM($E$10:E81)+SUM($F$10:F81))</f>
        <v/>
      </c>
      <c r="H81" s="1"/>
      <c r="I81" s="1" t="str">
        <f>IF(OR(D81="",H81=""),"",D81*H81-IF(E81="",0,E81)*H81+IF(F81="",0,F81)*H81)</f>
        <v/>
      </c>
      <c r="J81" s="1" t="str">
        <f>IF(OR(G81="",H81=""),"",G81*H81)</f>
        <v/>
      </c>
      <c r="K81" s="1"/>
      <c r="L81" s="1"/>
    </row>
    <row r="82" spans="1:12" x14ac:dyDescent="0.15">
      <c r="A82" s="1"/>
      <c r="B82" s="1"/>
      <c r="C82" s="1"/>
      <c r="D82" s="1"/>
      <c r="E82" s="1"/>
      <c r="F82" s="1"/>
      <c r="G82" s="1" t="str">
        <f>IF(AND(D82="",E82="",F82=""),"",SUM($D$10:D82)-SUM($E$10:E82)+SUM($F$10:F82))</f>
        <v/>
      </c>
      <c r="H82" s="1"/>
      <c r="I82" s="1" t="str">
        <f>IF(OR(D82="",H82=""),"",D82*H82-IF(E82="",0,E82)*H82+IF(F82="",0,F82)*H82)</f>
        <v/>
      </c>
      <c r="J82" s="1" t="str">
        <f>IF(OR(G82="",H82=""),"",G82*H82)</f>
        <v/>
      </c>
      <c r="K82" s="1"/>
      <c r="L82" s="1"/>
    </row>
    <row r="83" spans="1:12" x14ac:dyDescent="0.15">
      <c r="A83" s="1"/>
      <c r="B83" s="1"/>
      <c r="C83" s="1"/>
      <c r="D83" s="1"/>
      <c r="E83" s="1"/>
      <c r="F83" s="1"/>
      <c r="G83" s="1" t="str">
        <f>IF(AND(D83="",E83="",F83=""),"",SUM($D$10:D83)-SUM($E$10:E83)+SUM($F$10:F83))</f>
        <v/>
      </c>
      <c r="H83" s="1"/>
      <c r="I83" s="1" t="str">
        <f>IF(OR(D83="",H83=""),"",D83*H83-IF(E83="",0,E83)*H83+IF(F83="",0,F83)*H83)</f>
        <v/>
      </c>
      <c r="J83" s="1" t="str">
        <f>IF(OR(G83="",H83=""),"",G83*H83)</f>
        <v/>
      </c>
      <c r="K83" s="1"/>
      <c r="L83" s="1"/>
    </row>
    <row r="84" spans="1:12" x14ac:dyDescent="0.15">
      <c r="A84" s="1"/>
      <c r="B84" s="1"/>
      <c r="C84" s="1"/>
      <c r="D84" s="1"/>
      <c r="E84" s="1"/>
      <c r="F84" s="1"/>
      <c r="G84" s="1" t="str">
        <f>IF(AND(D84="",E84="",F84=""),"",SUM($D$10:D84)-SUM($E$10:E84)+SUM($F$10:F84))</f>
        <v/>
      </c>
      <c r="H84" s="1"/>
      <c r="I84" s="1" t="str">
        <f>IF(OR(D84="",H84=""),"",D84*H84-IF(E84="",0,E84)*H84+IF(F84="",0,F84)*H84)</f>
        <v/>
      </c>
      <c r="J84" s="1" t="str">
        <f>IF(OR(G84="",H84=""),"",G84*H84)</f>
        <v/>
      </c>
      <c r="K84" s="1"/>
      <c r="L84" s="1"/>
    </row>
    <row r="85" spans="1:12" x14ac:dyDescent="0.15">
      <c r="A85" s="1"/>
      <c r="B85" s="1"/>
      <c r="C85" s="1"/>
      <c r="D85" s="1"/>
      <c r="E85" s="1"/>
      <c r="F85" s="1"/>
      <c r="G85" s="1" t="str">
        <f>IF(AND(D85="",E85="",F85=""),"",SUM($D$10:D85)-SUM($E$10:E85)+SUM($F$10:F85))</f>
        <v/>
      </c>
      <c r="H85" s="1"/>
      <c r="I85" s="1" t="str">
        <f>IF(OR(D85="",H85=""),"",D85*H85-IF(E85="",0,E85)*H85+IF(F85="",0,F85)*H85)</f>
        <v/>
      </c>
      <c r="J85" s="1" t="str">
        <f>IF(OR(G85="",H85=""),"",G85*H85)</f>
        <v/>
      </c>
      <c r="K85" s="1"/>
      <c r="L85" s="1"/>
    </row>
    <row r="86" spans="1:12" x14ac:dyDescent="0.15">
      <c r="A86" s="1"/>
      <c r="B86" s="1"/>
      <c r="C86" s="1"/>
      <c r="D86" s="1"/>
      <c r="E86" s="1"/>
      <c r="F86" s="1"/>
      <c r="G86" s="1" t="str">
        <f>IF(AND(D86="",E86="",F86=""),"",SUM($D$10:D86)-SUM($E$10:E86)+SUM($F$10:F86))</f>
        <v/>
      </c>
      <c r="H86" s="1"/>
      <c r="I86" s="1" t="str">
        <f>IF(OR(D86="",H86=""),"",D86*H86-IF(E86="",0,E86)*H86+IF(F86="",0,F86)*H86)</f>
        <v/>
      </c>
      <c r="J86" s="1" t="str">
        <f>IF(OR(G86="",H86=""),"",G86*H86)</f>
        <v/>
      </c>
      <c r="K86" s="1"/>
      <c r="L86" s="1"/>
    </row>
    <row r="87" spans="1:12" x14ac:dyDescent="0.15">
      <c r="A87" s="1"/>
      <c r="B87" s="1"/>
      <c r="C87" s="1"/>
      <c r="D87" s="1"/>
      <c r="E87" s="1"/>
      <c r="F87" s="1"/>
      <c r="G87" s="1" t="str">
        <f>IF(AND(D87="",E87="",F87=""),"",SUM($D$10:D87)-SUM($E$10:E87)+SUM($F$10:F87))</f>
        <v/>
      </c>
      <c r="H87" s="1"/>
      <c r="I87" s="1" t="str">
        <f>IF(OR(D87="",H87=""),"",D87*H87-IF(E87="",0,E87)*H87+IF(F87="",0,F87)*H87)</f>
        <v/>
      </c>
      <c r="J87" s="1" t="str">
        <f>IF(OR(G87="",H87=""),"",G87*H87)</f>
        <v/>
      </c>
      <c r="K87" s="1"/>
      <c r="L87" s="1"/>
    </row>
    <row r="88" spans="1:12" x14ac:dyDescent="0.15">
      <c r="A88" s="1"/>
      <c r="B88" s="1"/>
      <c r="C88" s="1"/>
      <c r="D88" s="1"/>
      <c r="E88" s="1"/>
      <c r="F88" s="1"/>
      <c r="G88" s="1" t="str">
        <f>IF(AND(D88="",E88="",F88=""),"",SUM($D$10:D88)-SUM($E$10:E88)+SUM($F$10:F88))</f>
        <v/>
      </c>
      <c r="H88" s="1"/>
      <c r="I88" s="1" t="str">
        <f>IF(OR(D88="",H88=""),"",D88*H88-IF(E88="",0,E88)*H88+IF(F88="",0,F88)*H88)</f>
        <v/>
      </c>
      <c r="J88" s="1" t="str">
        <f>IF(OR(G88="",H88=""),"",G88*H88)</f>
        <v/>
      </c>
      <c r="K88" s="1"/>
      <c r="L88" s="1"/>
    </row>
    <row r="89" spans="1:12" x14ac:dyDescent="0.15">
      <c r="A89" s="1"/>
      <c r="B89" s="1"/>
      <c r="C89" s="1"/>
      <c r="D89" s="1"/>
      <c r="E89" s="1"/>
      <c r="F89" s="1"/>
      <c r="G89" s="1" t="str">
        <f>IF(AND(D89="",E89="",F89=""),"",SUM($D$10:D89)-SUM($E$10:E89)+SUM($F$10:F89))</f>
        <v/>
      </c>
      <c r="H89" s="1"/>
      <c r="I89" s="1" t="str">
        <f>IF(OR(D89="",H89=""),"",D89*H89-IF(E89="",0,E89)*H89+IF(F89="",0,F89)*H89)</f>
        <v/>
      </c>
      <c r="J89" s="1" t="str">
        <f>IF(OR(G89="",H89=""),"",G89*H89)</f>
        <v/>
      </c>
      <c r="K89" s="1"/>
      <c r="L89" s="1"/>
    </row>
    <row r="90" spans="1:12" x14ac:dyDescent="0.15">
      <c r="A90" s="1"/>
      <c r="B90" s="1"/>
      <c r="C90" s="1"/>
      <c r="D90" s="1"/>
      <c r="E90" s="1"/>
      <c r="F90" s="1"/>
      <c r="G90" s="1" t="str">
        <f>IF(AND(D90="",E90="",F90=""),"",SUM($D$10:D90)-SUM($E$10:E90)+SUM($F$10:F90))</f>
        <v/>
      </c>
      <c r="H90" s="1"/>
      <c r="I90" s="1" t="str">
        <f>IF(OR(D90="",H90=""),"",D90*H90-IF(E90="",0,E90)*H90+IF(F90="",0,F90)*H90)</f>
        <v/>
      </c>
      <c r="J90" s="1" t="str">
        <f>IF(OR(G90="",H90=""),"",G90*H90)</f>
        <v/>
      </c>
      <c r="K90" s="1"/>
      <c r="L90" s="1"/>
    </row>
    <row r="91" spans="1:12" x14ac:dyDescent="0.15">
      <c r="A91" s="1"/>
      <c r="B91" s="1"/>
      <c r="C91" s="1"/>
      <c r="D91" s="1"/>
      <c r="E91" s="1"/>
      <c r="F91" s="1"/>
      <c r="G91" s="1" t="str">
        <f>IF(AND(D91="",E91="",F91=""),"",SUM($D$10:D91)-SUM($E$10:E91)+SUM($F$10:F91))</f>
        <v/>
      </c>
      <c r="H91" s="1"/>
      <c r="I91" s="1" t="str">
        <f>IF(OR(D91="",H91=""),"",D91*H91-IF(E91="",0,E91)*H91+IF(F91="",0,F91)*H91)</f>
        <v/>
      </c>
      <c r="J91" s="1" t="str">
        <f>IF(OR(G91="",H91=""),"",G91*H91)</f>
        <v/>
      </c>
      <c r="K91" s="1"/>
      <c r="L91" s="1"/>
    </row>
    <row r="92" spans="1:12" x14ac:dyDescent="0.15">
      <c r="A92" s="1"/>
      <c r="B92" s="1"/>
      <c r="C92" s="1"/>
      <c r="D92" s="1"/>
      <c r="E92" s="1"/>
      <c r="F92" s="1"/>
      <c r="G92" s="1" t="str">
        <f>IF(AND(D92="",E92="",F92=""),"",SUM($D$10:D92)-SUM($E$10:E92)+SUM($F$10:F92))</f>
        <v/>
      </c>
      <c r="H92" s="1"/>
      <c r="I92" s="1" t="str">
        <f>IF(OR(D92="",H92=""),"",D92*H92-IF(E92="",0,E92)*H92+IF(F92="",0,F92)*H92)</f>
        <v/>
      </c>
      <c r="J92" s="1" t="str">
        <f>IF(OR(G92="",H92=""),"",G92*H92)</f>
        <v/>
      </c>
      <c r="K92" s="1"/>
      <c r="L92" s="1"/>
    </row>
    <row r="93" spans="1:12" x14ac:dyDescent="0.15">
      <c r="A93" s="1"/>
      <c r="B93" s="1"/>
      <c r="C93" s="1"/>
      <c r="D93" s="1"/>
      <c r="E93" s="1"/>
      <c r="F93" s="1"/>
      <c r="G93" s="1" t="str">
        <f>IF(AND(D93="",E93="",F93=""),"",SUM($D$10:D93)-SUM($E$10:E93)+SUM($F$10:F93))</f>
        <v/>
      </c>
      <c r="H93" s="1"/>
      <c r="I93" s="1" t="str">
        <f>IF(OR(D93="",H93=""),"",D93*H93-IF(E93="",0,E93)*H93+IF(F93="",0,F93)*H93)</f>
        <v/>
      </c>
      <c r="J93" s="1" t="str">
        <f>IF(OR(G93="",H93=""),"",G93*H93)</f>
        <v/>
      </c>
      <c r="K93" s="1"/>
      <c r="L93" s="1"/>
    </row>
    <row r="94" spans="1:12" x14ac:dyDescent="0.15">
      <c r="A94" s="1"/>
      <c r="B94" s="1"/>
      <c r="C94" s="1"/>
      <c r="D94" s="1"/>
      <c r="E94" s="1"/>
      <c r="F94" s="1"/>
      <c r="G94" s="1" t="str">
        <f>IF(AND(D94="",E94="",F94=""),"",SUM($D$10:D94)-SUM($E$10:E94)+SUM($F$10:F94))</f>
        <v/>
      </c>
      <c r="H94" s="1"/>
      <c r="I94" s="1" t="str">
        <f>IF(OR(D94="",H94=""),"",D94*H94-IF(E94="",0,E94)*H94+IF(F94="",0,F94)*H94)</f>
        <v/>
      </c>
      <c r="J94" s="1" t="str">
        <f>IF(OR(G94="",H94=""),"",G94*H94)</f>
        <v/>
      </c>
      <c r="K94" s="1"/>
      <c r="L94" s="1"/>
    </row>
    <row r="95" spans="1:12" x14ac:dyDescent="0.15">
      <c r="A95" s="1"/>
      <c r="B95" s="1"/>
      <c r="C95" s="1"/>
      <c r="D95" s="1"/>
      <c r="E95" s="1"/>
      <c r="F95" s="1"/>
      <c r="G95" s="1" t="str">
        <f>IF(AND(D95="",E95="",F95=""),"",SUM($D$10:D95)-SUM($E$10:E95)+SUM($F$10:F95))</f>
        <v/>
      </c>
      <c r="H95" s="1"/>
      <c r="I95" s="1" t="str">
        <f>IF(OR(D95="",H95=""),"",D95*H95-IF(E95="",0,E95)*H95+IF(F95="",0,F95)*H95)</f>
        <v/>
      </c>
      <c r="J95" s="1" t="str">
        <f>IF(OR(G95="",H95=""),"",G95*H95)</f>
        <v/>
      </c>
      <c r="K95" s="1"/>
      <c r="L95" s="1"/>
    </row>
    <row r="96" spans="1:12" x14ac:dyDescent="0.15">
      <c r="A96" s="1"/>
      <c r="B96" s="1"/>
      <c r="C96" s="1"/>
      <c r="D96" s="1"/>
      <c r="E96" s="1"/>
      <c r="F96" s="1"/>
      <c r="G96" s="1" t="str">
        <f>IF(AND(D96="",E96="",F96=""),"",SUM($D$10:D96)-SUM($E$10:E96)+SUM($F$10:F96))</f>
        <v/>
      </c>
      <c r="H96" s="1"/>
      <c r="I96" s="1" t="str">
        <f>IF(OR(D96="",H96=""),"",D96*H96-IF(E96="",0,E96)*H96+IF(F96="",0,F96)*H96)</f>
        <v/>
      </c>
      <c r="J96" s="1" t="str">
        <f>IF(OR(G96="",H96=""),"",G96*H96)</f>
        <v/>
      </c>
      <c r="K96" s="1"/>
      <c r="L96" s="1"/>
    </row>
    <row r="97" spans="1:12" x14ac:dyDescent="0.15">
      <c r="A97" s="1"/>
      <c r="B97" s="1"/>
      <c r="C97" s="1"/>
      <c r="D97" s="1"/>
      <c r="E97" s="1"/>
      <c r="F97" s="1"/>
      <c r="G97" s="1" t="str">
        <f>IF(AND(D97="",E97="",F97=""),"",SUM($D$10:D97)-SUM($E$10:E97)+SUM($F$10:F97))</f>
        <v/>
      </c>
      <c r="H97" s="1"/>
      <c r="I97" s="1" t="str">
        <f>IF(OR(D97="",H97=""),"",D97*H97-IF(E97="",0,E97)*H97+IF(F97="",0,F97)*H97)</f>
        <v/>
      </c>
      <c r="J97" s="1" t="str">
        <f>IF(OR(G97="",H97=""),"",G97*H97)</f>
        <v/>
      </c>
      <c r="K97" s="1"/>
      <c r="L97" s="1"/>
    </row>
    <row r="98" spans="1:12" x14ac:dyDescent="0.15">
      <c r="A98" s="1"/>
      <c r="B98" s="1"/>
      <c r="C98" s="1"/>
      <c r="D98" s="1"/>
      <c r="E98" s="1"/>
      <c r="F98" s="1"/>
      <c r="G98" s="1" t="str">
        <f>IF(AND(D98="",E98="",F98=""),"",SUM($D$10:D98)-SUM($E$10:E98)+SUM($F$10:F98))</f>
        <v/>
      </c>
      <c r="H98" s="1"/>
      <c r="I98" s="1" t="str">
        <f>IF(OR(D98="",H98=""),"",D98*H98-IF(E98="",0,E98)*H98+IF(F98="",0,F98)*H98)</f>
        <v/>
      </c>
      <c r="J98" s="1" t="str">
        <f>IF(OR(G98="",H98=""),"",G98*H98)</f>
        <v/>
      </c>
      <c r="K98" s="1"/>
      <c r="L98" s="1"/>
    </row>
    <row r="99" spans="1:12" x14ac:dyDescent="0.15">
      <c r="A99" s="1"/>
      <c r="B99" s="1"/>
      <c r="C99" s="1"/>
      <c r="D99" s="1"/>
      <c r="E99" s="1"/>
      <c r="F99" s="1"/>
      <c r="G99" s="1" t="str">
        <f>IF(AND(D99="",E99="",F99=""),"",SUM($D$10:D99)-SUM($E$10:E99)+SUM($F$10:F99))</f>
        <v/>
      </c>
      <c r="H99" s="1"/>
      <c r="I99" s="1" t="str">
        <f>IF(OR(D99="",H99=""),"",D99*H99-IF(E99="",0,E99)*H99+IF(F99="",0,F99)*H99)</f>
        <v/>
      </c>
      <c r="J99" s="1" t="str">
        <f>IF(OR(G99="",H99=""),"",G99*H99)</f>
        <v/>
      </c>
      <c r="K99" s="1"/>
      <c r="L99" s="1"/>
    </row>
    <row r="100" spans="1:12" x14ac:dyDescent="0.15">
      <c r="A100" s="1"/>
      <c r="B100" s="1"/>
      <c r="C100" s="1"/>
      <c r="D100" s="1"/>
      <c r="E100" s="1"/>
      <c r="F100" s="1"/>
      <c r="G100" s="1" t="str">
        <f>IF(AND(D100="",E100="",F100=""),"",SUM($D$10:D100)-SUM($E$10:E100)+SUM($F$10:F100))</f>
        <v/>
      </c>
      <c r="H100" s="1"/>
      <c r="I100" s="1" t="str">
        <f>IF(OR(D100="",H100=""),"",D100*H100-IF(E100="",0,E100)*H100+IF(F100="",0,F100)*H100)</f>
        <v/>
      </c>
      <c r="J100" s="1" t="str">
        <f>IF(OR(G100="",H100=""),"",G100*H100)</f>
        <v/>
      </c>
      <c r="K100" s="1"/>
      <c r="L100" s="1"/>
    </row>
    <row r="101" spans="1:12" x14ac:dyDescent="0.15">
      <c r="A101" s="1"/>
      <c r="B101" s="1"/>
      <c r="C101" s="1"/>
      <c r="D101" s="1"/>
      <c r="E101" s="1"/>
      <c r="F101" s="1"/>
      <c r="G101" s="1" t="str">
        <f>IF(AND(D101="",E101="",F101=""),"",SUM($D$10:D101)-SUM($E$10:E101)+SUM($F$10:F101))</f>
        <v/>
      </c>
      <c r="H101" s="1"/>
      <c r="I101" s="1" t="str">
        <f>IF(OR(D101="",H101=""),"",D101*H101-IF(E101="",0,E101)*H101+IF(F101="",0,F101)*H101)</f>
        <v/>
      </c>
      <c r="J101" s="1" t="str">
        <f>IF(OR(G101="",H101=""),"",G101*H101)</f>
        <v/>
      </c>
      <c r="K101" s="1"/>
      <c r="L101" s="1"/>
    </row>
    <row r="102" spans="1:12" x14ac:dyDescent="0.15">
      <c r="A102" s="1"/>
      <c r="B102" s="1"/>
      <c r="C102" s="1"/>
      <c r="D102" s="1"/>
      <c r="E102" s="1"/>
      <c r="F102" s="1"/>
      <c r="G102" s="1" t="str">
        <f>IF(AND(D102="",E102="",F102=""),"",SUM($D$10:D102)-SUM($E$10:E102)+SUM($F$10:F102))</f>
        <v/>
      </c>
      <c r="H102" s="1"/>
      <c r="I102" s="1" t="str">
        <f>IF(OR(D102="",H102=""),"",D102*H102-IF(E102="",0,E102)*H102+IF(F102="",0,F102)*H102)</f>
        <v/>
      </c>
      <c r="J102" s="1" t="str">
        <f>IF(OR(G102="",H102=""),"",G102*H102)</f>
        <v/>
      </c>
      <c r="K102" s="1"/>
      <c r="L102" s="1"/>
    </row>
    <row r="103" spans="1:12" x14ac:dyDescent="0.15">
      <c r="A103" s="1"/>
      <c r="B103" s="1"/>
      <c r="C103" s="1"/>
      <c r="D103" s="1"/>
      <c r="E103" s="1"/>
      <c r="F103" s="1"/>
      <c r="G103" s="1" t="str">
        <f>IF(AND(D103="",E103="",F103=""),"",SUM($D$10:D103)-SUM($E$10:E103)+SUM($F$10:F103))</f>
        <v/>
      </c>
      <c r="H103" s="1"/>
      <c r="I103" s="1" t="str">
        <f>IF(OR(D103="",H103=""),"",D103*H103-IF(E103="",0,E103)*H103+IF(F103="",0,F103)*H103)</f>
        <v/>
      </c>
      <c r="J103" s="1" t="str">
        <f>IF(OR(G103="",H103=""),"",G103*H103)</f>
        <v/>
      </c>
      <c r="K103" s="1"/>
      <c r="L103" s="1"/>
    </row>
    <row r="104" spans="1:12" x14ac:dyDescent="0.15">
      <c r="A104" s="1"/>
      <c r="B104" s="1"/>
      <c r="C104" s="1"/>
      <c r="D104" s="1"/>
      <c r="E104" s="1"/>
      <c r="F104" s="1"/>
      <c r="G104" s="1" t="str">
        <f>IF(AND(D104="",E104="",F104=""),"",SUM($D$10:D104)-SUM($E$10:E104)+SUM($F$10:F104))</f>
        <v/>
      </c>
      <c r="H104" s="1"/>
      <c r="I104" s="1" t="str">
        <f>IF(OR(D104="",H104=""),"",D104*H104-IF(E104="",0,E104)*H104+IF(F104="",0,F104)*H104)</f>
        <v/>
      </c>
      <c r="J104" s="1" t="str">
        <f>IF(OR(G104="",H104=""),"",G104*H104)</f>
        <v/>
      </c>
      <c r="K104" s="1"/>
      <c r="L104" s="1"/>
    </row>
    <row r="105" spans="1:12" x14ac:dyDescent="0.15">
      <c r="A105" s="1"/>
      <c r="B105" s="1"/>
      <c r="C105" s="1"/>
      <c r="D105" s="1"/>
      <c r="E105" s="1"/>
      <c r="F105" s="1"/>
      <c r="G105" s="1" t="str">
        <f>IF(AND(D105="",E105="",F105=""),"",SUM($D$10:D105)-SUM($E$10:E105)+SUM($F$10:F105))</f>
        <v/>
      </c>
      <c r="H105" s="1"/>
      <c r="I105" s="1" t="str">
        <f>IF(OR(D105="",H105=""),"",D105*H105-IF(E105="",0,E105)*H105+IF(F105="",0,F105)*H105)</f>
        <v/>
      </c>
      <c r="J105" s="1" t="str">
        <f>IF(OR(G105="",H105=""),"",G105*H105)</f>
        <v/>
      </c>
      <c r="K105" s="1"/>
      <c r="L105" s="1"/>
    </row>
    <row r="106" spans="1:12" x14ac:dyDescent="0.15">
      <c r="A106" s="1"/>
      <c r="B106" s="1"/>
      <c r="C106" s="1"/>
      <c r="D106" s="1"/>
      <c r="E106" s="1"/>
      <c r="F106" s="1"/>
      <c r="G106" s="1" t="str">
        <f>IF(AND(D106="",E106="",F106=""),"",SUM($D$10:D106)-SUM($E$10:E106)+SUM($F$10:F106))</f>
        <v/>
      </c>
      <c r="H106" s="1"/>
      <c r="I106" s="1" t="str">
        <f>IF(OR(D106="",H106=""),"",D106*H106-IF(E106="",0,E106)*H106+IF(F106="",0,F106)*H106)</f>
        <v/>
      </c>
      <c r="J106" s="1" t="str">
        <f>IF(OR(G106="",H106=""),"",G106*H106)</f>
        <v/>
      </c>
      <c r="K106" s="1"/>
      <c r="L106" s="1"/>
    </row>
    <row r="107" spans="1:12" x14ac:dyDescent="0.15">
      <c r="A107" s="1"/>
      <c r="B107" s="1"/>
      <c r="C107" s="1"/>
      <c r="D107" s="1"/>
      <c r="E107" s="1"/>
      <c r="F107" s="1"/>
      <c r="G107" s="1" t="str">
        <f>IF(AND(D107="",E107="",F107=""),"",SUM($D$10:D107)-SUM($E$10:E107)+SUM($F$10:F107))</f>
        <v/>
      </c>
      <c r="H107" s="1"/>
      <c r="I107" s="1" t="str">
        <f>IF(OR(D107="",H107=""),"",D107*H107-IF(E107="",0,E107)*H107+IF(F107="",0,F107)*H107)</f>
        <v/>
      </c>
      <c r="J107" s="1" t="str">
        <f>IF(OR(G107="",H107=""),"",G107*H107)</f>
        <v/>
      </c>
      <c r="K107" s="1"/>
      <c r="L107" s="1"/>
    </row>
    <row r="108" spans="1:12" x14ac:dyDescent="0.15">
      <c r="A108" s="1"/>
      <c r="B108" s="1"/>
      <c r="C108" s="1"/>
      <c r="D108" s="1"/>
      <c r="E108" s="1"/>
      <c r="F108" s="1"/>
      <c r="G108" s="1" t="str">
        <f>IF(AND(D108="",E108="",F108=""),"",SUM($D$10:D108)-SUM($E$10:E108)+SUM($F$10:F108))</f>
        <v/>
      </c>
      <c r="H108" s="1"/>
      <c r="I108" s="1" t="str">
        <f>IF(OR(D108="",H108=""),"",D108*H108-IF(E108="",0,E108)*H108+IF(F108="",0,F108)*H108)</f>
        <v/>
      </c>
      <c r="J108" s="1" t="str">
        <f>IF(OR(G108="",H108=""),"",G108*H108)</f>
        <v/>
      </c>
      <c r="K108" s="1"/>
      <c r="L108" s="1"/>
    </row>
    <row r="109" spans="1:12" x14ac:dyDescent="0.15">
      <c r="A109" s="1"/>
      <c r="B109" s="1"/>
      <c r="C109" s="1"/>
      <c r="D109" s="1"/>
      <c r="E109" s="1"/>
      <c r="F109" s="1"/>
      <c r="G109" s="1" t="str">
        <f>IF(AND(D109="",E109="",F109=""),"",SUM($D$10:D109)-SUM($E$10:E109)+SUM($F$10:F109))</f>
        <v/>
      </c>
      <c r="H109" s="1"/>
      <c r="I109" s="1" t="str">
        <f>IF(OR(D109="",H109=""),"",D109*H109-IF(E109="",0,E109)*H109+IF(F109="",0,F109)*H109)</f>
        <v/>
      </c>
      <c r="J109" s="1" t="str">
        <f>IF(OR(G109="",H109=""),"",G109*H109)</f>
        <v/>
      </c>
      <c r="K109" s="1"/>
      <c r="L109" s="1"/>
    </row>
  </sheetData>
  <mergeCells count="1">
    <mergeCell ref="A1:L1"/>
  </mergeCell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8"/>
  <sheetViews>
    <sheetView showGridLines="0" workbookViewId="0">
      <pane ySplit="3" topLeftCell="A4" activePane="bottomLeft" state="frozen"/>
      <selection pane="bottomLeft"/>
    </sheetView>
  </sheetViews>
  <sheetFormatPr defaultRowHeight="13.5" x14ac:dyDescent="0.15"/>
  <cols>
    <col min="1" max="2" width="19" customWidth="1"/>
  </cols>
  <sheetData>
    <row r="1" spans="1:2" ht="22.5" x14ac:dyDescent="0.15">
      <c r="A1" s="14" t="s">
        <v>127</v>
      </c>
      <c r="B1" s="8"/>
    </row>
    <row r="2" spans="1:2" x14ac:dyDescent="0.15">
      <c r="A2" s="1"/>
      <c r="B2" s="1"/>
    </row>
    <row r="3" spans="1:2" x14ac:dyDescent="0.15">
      <c r="A3" s="2" t="s">
        <v>128</v>
      </c>
      <c r="B3" s="2" t="s">
        <v>129</v>
      </c>
    </row>
    <row r="4" spans="1:2" x14ac:dyDescent="0.15">
      <c r="A4" s="7" t="s">
        <v>1</v>
      </c>
      <c r="B4" s="1">
        <f>SUM(Purchases!M4:M203)</f>
        <v>0</v>
      </c>
    </row>
    <row r="5" spans="1:2" x14ac:dyDescent="0.15">
      <c r="A5" s="7" t="s">
        <v>2</v>
      </c>
      <c r="B5" s="1">
        <f>SUM(Issues!K4:K203)</f>
        <v>0</v>
      </c>
    </row>
    <row r="6" spans="1:2" x14ac:dyDescent="0.15">
      <c r="A6" s="7" t="s">
        <v>130</v>
      </c>
      <c r="B6" s="1">
        <f>SUM('Stock Count'!J4:J103)</f>
        <v>0</v>
      </c>
    </row>
    <row r="7" spans="1:2" x14ac:dyDescent="0.15">
      <c r="A7" s="7" t="s">
        <v>131</v>
      </c>
      <c r="B7" s="1">
        <f>SUM(Valuation!L4:L103)</f>
        <v>0</v>
      </c>
    </row>
    <row r="8" spans="1:2" x14ac:dyDescent="0.15">
      <c r="A8" s="7" t="s">
        <v>132</v>
      </c>
      <c r="B8" s="1">
        <f>SUM(Valuation!K4:K103)</f>
        <v>0</v>
      </c>
    </row>
  </sheetData>
  <mergeCells count="1">
    <mergeCell ref="A1:B1"/>
  </mergeCells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2"/>
  <sheetViews>
    <sheetView showGridLines="0" topLeftCell="B1" workbookViewId="0"/>
  </sheetViews>
  <sheetFormatPr defaultRowHeight="13.5" x14ac:dyDescent="0.15"/>
  <cols>
    <col min="1" max="1" width="24.02734375" customWidth="1"/>
    <col min="2" max="2" width="109.96484375" customWidth="1"/>
  </cols>
  <sheetData>
    <row r="1" spans="1:2" x14ac:dyDescent="0.15">
      <c r="A1" s="14" t="s">
        <v>133</v>
      </c>
      <c r="B1" s="8"/>
    </row>
    <row r="2" spans="1:2" x14ac:dyDescent="0.15">
      <c r="A2" s="1"/>
      <c r="B2" s="1"/>
    </row>
    <row r="3" spans="1:2" x14ac:dyDescent="0.15">
      <c r="A3" s="6" t="s">
        <v>134</v>
      </c>
      <c r="B3" s="1" t="s">
        <v>135</v>
      </c>
    </row>
    <row r="4" spans="1:2" x14ac:dyDescent="0.15">
      <c r="A4" s="6" t="s">
        <v>136</v>
      </c>
      <c r="B4" s="1" t="s">
        <v>137</v>
      </c>
    </row>
    <row r="5" spans="1:2" x14ac:dyDescent="0.15">
      <c r="A5" s="6" t="s">
        <v>138</v>
      </c>
      <c r="B5" s="1" t="s">
        <v>139</v>
      </c>
    </row>
    <row r="6" spans="1:2" x14ac:dyDescent="0.15">
      <c r="A6" s="6" t="s">
        <v>140</v>
      </c>
      <c r="B6" s="1" t="s">
        <v>141</v>
      </c>
    </row>
    <row r="7" spans="1:2" x14ac:dyDescent="0.15">
      <c r="A7" s="6" t="s">
        <v>142</v>
      </c>
      <c r="B7" s="1" t="s">
        <v>143</v>
      </c>
    </row>
    <row r="8" spans="1:2" x14ac:dyDescent="0.15">
      <c r="A8" s="6" t="s">
        <v>144</v>
      </c>
      <c r="B8" s="1" t="s">
        <v>145</v>
      </c>
    </row>
    <row r="9" spans="1:2" x14ac:dyDescent="0.15">
      <c r="A9" s="6" t="s">
        <v>146</v>
      </c>
      <c r="B9" s="1" t="s">
        <v>147</v>
      </c>
    </row>
    <row r="10" spans="1:2" x14ac:dyDescent="0.15">
      <c r="A10" s="6" t="s">
        <v>148</v>
      </c>
      <c r="B10" s="1" t="s">
        <v>149</v>
      </c>
    </row>
    <row r="11" spans="1:2" x14ac:dyDescent="0.15">
      <c r="A11" s="6" t="s">
        <v>150</v>
      </c>
      <c r="B11" s="1" t="s">
        <v>151</v>
      </c>
    </row>
    <row r="12" spans="1:2" x14ac:dyDescent="0.15">
      <c r="A12" s="6" t="s">
        <v>152</v>
      </c>
      <c r="B12" s="1" t="s">
        <v>153</v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8"/>
  <sheetViews>
    <sheetView showGridLines="0" workbookViewId="0"/>
  </sheetViews>
  <sheetFormatPr defaultRowHeight="13.5" x14ac:dyDescent="0.15"/>
  <cols>
    <col min="1" max="1" width="24.02734375" customWidth="1"/>
    <col min="2" max="2" width="109.96484375" customWidth="1"/>
  </cols>
  <sheetData>
    <row r="1" spans="1:2" x14ac:dyDescent="0.15">
      <c r="A1" s="14" t="s">
        <v>154</v>
      </c>
      <c r="B1" s="8"/>
    </row>
    <row r="2" spans="1:2" x14ac:dyDescent="0.15">
      <c r="A2" s="1"/>
      <c r="B2" s="1"/>
    </row>
    <row r="3" spans="1:2" x14ac:dyDescent="0.15">
      <c r="A3" s="6" t="s">
        <v>155</v>
      </c>
      <c r="B3" s="1" t="s">
        <v>156</v>
      </c>
    </row>
    <row r="4" spans="1:2" x14ac:dyDescent="0.15">
      <c r="A4" s="6" t="s">
        <v>138</v>
      </c>
      <c r="B4" s="1" t="s">
        <v>139</v>
      </c>
    </row>
    <row r="5" spans="1:2" x14ac:dyDescent="0.15">
      <c r="A5" s="6" t="s">
        <v>140</v>
      </c>
      <c r="B5" s="1" t="s">
        <v>157</v>
      </c>
    </row>
    <row r="6" spans="1:2" x14ac:dyDescent="0.15">
      <c r="A6" s="6" t="s">
        <v>142</v>
      </c>
      <c r="B6" s="1" t="s">
        <v>143</v>
      </c>
    </row>
    <row r="7" spans="1:2" x14ac:dyDescent="0.15">
      <c r="A7" s="6" t="s">
        <v>158</v>
      </c>
      <c r="B7" s="1" t="s">
        <v>159</v>
      </c>
    </row>
    <row r="8" spans="1:2" x14ac:dyDescent="0.15">
      <c r="A8" s="6" t="s">
        <v>160</v>
      </c>
      <c r="B8" s="1" t="s">
        <v>161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15</vt:i4>
      </vt:variant>
    </vt:vector>
  </HeadingPairs>
  <TitlesOfParts>
    <vt:vector size="15" baseType="lpstr">
      <vt:lpstr>Dashboard</vt:lpstr>
      <vt:lpstr>Lists</vt:lpstr>
      <vt:lpstr>Item Master</vt:lpstr>
      <vt:lpstr>Warehouses</vt:lpstr>
      <vt:lpstr>Purchases</vt:lpstr>
      <vt:lpstr>Issues</vt:lpstr>
      <vt:lpstr>Adjustments</vt:lpstr>
      <vt:lpstr>Valuation</vt:lpstr>
      <vt:lpstr>Stock Count</vt:lpstr>
      <vt:lpstr>Aging</vt:lpstr>
      <vt:lpstr>Reorder</vt:lpstr>
      <vt:lpstr>Stock Card</vt:lpstr>
      <vt:lpstr>Reports</vt:lpstr>
      <vt:lpstr>Guide</vt:lpstr>
      <vt:lpstr>IAS2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2026-09-01T09:19:28Z</dcterms:created>
  <dcterms:modified xsi:type="dcterms:W3CDTF">2026-09-01T09:19:28Z</dcterms:modified>
</cp:coreProperties>
</file>