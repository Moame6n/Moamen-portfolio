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metadata/core-properties" Target="docProps/core0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xr:revisionPtr revIDLastSave="0" documentId="8_{1AFE17BF-B985-C341-B913-BD800C0F0258}" xr6:coauthVersionLast="47" xr6:coauthVersionMax="47" xr10:uidLastSave="{00000000-0000-0000-0000-000000000000}"/>
  <bookViews>
    <workbookView xWindow="0" yWindow="0" windowWidth="16384" windowHeight="8192" activeTab="6" xr2:uid="{00000000-000D-0000-FFFF-FFFF00000000}"/>
  </bookViews>
  <sheets>
    <sheet name="دليل الاستخدام" sheetId="1" r:id="rId1"/>
    <sheet name="سجل الأصول" sheetId="2" r:id="rId2"/>
    <sheet name="جدول الإهلاك" sheetId="3" r:id="rId3"/>
    <sheet name="الملخص والتقارير" sheetId="4" r:id="rId4"/>
    <sheet name="سجل التعديلات" sheetId="5" r:id="rId5"/>
    <sheet name="القيمة الدفترية عبر الزمن" sheetId="6" r:id="rId6"/>
    <sheet name="إعدادات الإهلاك" sheetId="7" r:id="rId7"/>
  </sheets>
  <calcPr calcId="191028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3" i="6" l="1"/>
  <c r="D23" i="6"/>
  <c r="E23" i="6"/>
  <c r="F23" i="6"/>
  <c r="G23" i="6"/>
  <c r="H23" i="6"/>
  <c r="C22" i="6"/>
  <c r="D22" i="6"/>
  <c r="E22" i="6"/>
  <c r="F22" i="6"/>
  <c r="G22" i="6"/>
  <c r="H22" i="6"/>
  <c r="C21" i="6"/>
  <c r="D21" i="6"/>
  <c r="E21" i="6"/>
  <c r="F21" i="6"/>
  <c r="G21" i="6"/>
  <c r="H21" i="6"/>
  <c r="C20" i="6"/>
  <c r="D20" i="6"/>
  <c r="E20" i="6"/>
  <c r="F20" i="6"/>
  <c r="G20" i="6"/>
  <c r="H20" i="6"/>
  <c r="C19" i="6"/>
  <c r="D19" i="6"/>
  <c r="E19" i="6"/>
  <c r="F19" i="6"/>
  <c r="G19" i="6"/>
  <c r="H19" i="6"/>
  <c r="C18" i="6"/>
  <c r="D18" i="6"/>
  <c r="E18" i="6"/>
  <c r="F18" i="6"/>
  <c r="G18" i="6"/>
  <c r="H18" i="6"/>
  <c r="G17" i="2"/>
  <c r="C17" i="6"/>
  <c r="D17" i="6"/>
  <c r="E17" i="6"/>
  <c r="F17" i="6"/>
  <c r="G17" i="6"/>
  <c r="H17" i="6"/>
  <c r="G16" i="2"/>
  <c r="C16" i="6"/>
  <c r="D16" i="6"/>
  <c r="E16" i="6"/>
  <c r="F16" i="6"/>
  <c r="G16" i="6"/>
  <c r="H16" i="6"/>
  <c r="G15" i="2"/>
  <c r="L15" i="2"/>
  <c r="C15" i="6"/>
  <c r="D15" i="6"/>
  <c r="E15" i="6"/>
  <c r="F15" i="6"/>
  <c r="G15" i="6"/>
  <c r="H15" i="6"/>
  <c r="G14" i="2"/>
  <c r="C14" i="6"/>
  <c r="D14" i="6"/>
  <c r="E14" i="6"/>
  <c r="F14" i="6"/>
  <c r="G14" i="6"/>
  <c r="H14" i="6"/>
  <c r="G13" i="2"/>
  <c r="C13" i="6"/>
  <c r="D13" i="6"/>
  <c r="E13" i="6"/>
  <c r="F13" i="6"/>
  <c r="G13" i="6"/>
  <c r="H13" i="6"/>
  <c r="G12" i="2"/>
  <c r="C12" i="6"/>
  <c r="D12" i="6"/>
  <c r="E12" i="6"/>
  <c r="F12" i="6"/>
  <c r="G12" i="6"/>
  <c r="H12" i="6"/>
  <c r="L11" i="2"/>
  <c r="C11" i="6"/>
  <c r="D11" i="6"/>
  <c r="E11" i="6"/>
  <c r="F11" i="6"/>
  <c r="G11" i="6"/>
  <c r="H11" i="6"/>
  <c r="L10" i="2"/>
  <c r="C10" i="6"/>
  <c r="D10" i="6"/>
  <c r="E10" i="6"/>
  <c r="F10" i="6"/>
  <c r="G10" i="6"/>
  <c r="H10" i="6"/>
  <c r="G9" i="2"/>
  <c r="C9" i="6"/>
  <c r="D9" i="6"/>
  <c r="E9" i="6"/>
  <c r="F9" i="6"/>
  <c r="G9" i="6"/>
  <c r="H9" i="6"/>
  <c r="G8" i="2"/>
  <c r="C8" i="6"/>
  <c r="D8" i="6"/>
  <c r="E8" i="6"/>
  <c r="F8" i="6"/>
  <c r="G8" i="6"/>
  <c r="H8" i="6"/>
  <c r="G7" i="2"/>
  <c r="C7" i="6"/>
  <c r="D7" i="6"/>
  <c r="E7" i="6"/>
  <c r="F7" i="6"/>
  <c r="G7" i="6"/>
  <c r="H7" i="6"/>
  <c r="C6" i="6"/>
  <c r="D6" i="6"/>
  <c r="E6" i="6"/>
  <c r="F6" i="6"/>
  <c r="G6" i="6"/>
  <c r="H6" i="6"/>
  <c r="F56" i="5"/>
  <c r="E56" i="5"/>
  <c r="D56" i="5"/>
  <c r="C56" i="5"/>
  <c r="B56" i="5"/>
  <c r="C6" i="3"/>
  <c r="D6" i="3"/>
  <c r="G6" i="2"/>
  <c r="M6" i="2"/>
  <c r="M6" i="3"/>
  <c r="L6" i="3"/>
  <c r="C7" i="3"/>
  <c r="D7" i="3"/>
  <c r="M7" i="2"/>
  <c r="M7" i="3"/>
  <c r="L7" i="3"/>
  <c r="C8" i="3"/>
  <c r="D8" i="3"/>
  <c r="M8" i="2"/>
  <c r="M8" i="3"/>
  <c r="L8" i="3"/>
  <c r="C9" i="3"/>
  <c r="D9" i="3"/>
  <c r="M9" i="2"/>
  <c r="M9" i="3"/>
  <c r="L9" i="3"/>
  <c r="C10" i="3"/>
  <c r="D10" i="3"/>
  <c r="M10" i="2"/>
  <c r="M10" i="3"/>
  <c r="L10" i="3"/>
  <c r="C11" i="3"/>
  <c r="D11" i="3"/>
  <c r="M11" i="2"/>
  <c r="M11" i="3"/>
  <c r="L11" i="3"/>
  <c r="C12" i="3"/>
  <c r="D12" i="3"/>
  <c r="M12" i="2"/>
  <c r="M12" i="3"/>
  <c r="L12" i="3"/>
  <c r="C13" i="3"/>
  <c r="D13" i="3"/>
  <c r="M13" i="2"/>
  <c r="M13" i="3"/>
  <c r="L13" i="3"/>
  <c r="C14" i="3"/>
  <c r="D14" i="3"/>
  <c r="M14" i="2"/>
  <c r="M14" i="3"/>
  <c r="L14" i="3"/>
  <c r="C15" i="3"/>
  <c r="D15" i="3"/>
  <c r="M15" i="2"/>
  <c r="M15" i="3"/>
  <c r="L15" i="3"/>
  <c r="C16" i="3"/>
  <c r="D16" i="3"/>
  <c r="M16" i="2"/>
  <c r="M16" i="3"/>
  <c r="L16" i="3"/>
  <c r="C17" i="3"/>
  <c r="D17" i="3"/>
  <c r="M17" i="2"/>
  <c r="M17" i="3"/>
  <c r="L17" i="3"/>
  <c r="C18" i="3"/>
  <c r="L18" i="3"/>
  <c r="C19" i="3"/>
  <c r="L19" i="3"/>
  <c r="C20" i="3"/>
  <c r="L20" i="3"/>
  <c r="C21" i="3"/>
  <c r="L21" i="3"/>
  <c r="C22" i="3"/>
  <c r="L22" i="3"/>
  <c r="C23" i="3"/>
  <c r="L23" i="3"/>
  <c r="C24" i="3"/>
  <c r="L24" i="3"/>
  <c r="C25" i="3"/>
  <c r="L25" i="3"/>
  <c r="C26" i="3"/>
  <c r="L26" i="3"/>
  <c r="C27" i="3"/>
  <c r="L27" i="3"/>
  <c r="C28" i="3"/>
  <c r="L28" i="3"/>
  <c r="C29" i="3"/>
  <c r="L29" i="3"/>
  <c r="C30" i="3"/>
  <c r="L30" i="3"/>
  <c r="C31" i="3"/>
  <c r="L31" i="3"/>
  <c r="C32" i="3"/>
  <c r="L32" i="3"/>
  <c r="C33" i="3"/>
  <c r="L33" i="3"/>
  <c r="C34" i="3"/>
  <c r="L34" i="3"/>
  <c r="C35" i="3"/>
  <c r="L35" i="3"/>
  <c r="C36" i="3"/>
  <c r="L36" i="3"/>
  <c r="C37" i="3"/>
  <c r="L37" i="3"/>
  <c r="C38" i="3"/>
  <c r="L38" i="3"/>
  <c r="C39" i="3"/>
  <c r="L39" i="3"/>
  <c r="C40" i="3"/>
  <c r="L40" i="3"/>
  <c r="C41" i="3"/>
  <c r="L41" i="3"/>
  <c r="C42" i="3"/>
  <c r="L42" i="3"/>
  <c r="C43" i="3"/>
  <c r="L43" i="3"/>
  <c r="C44" i="3"/>
  <c r="L44" i="3"/>
  <c r="C45" i="3"/>
  <c r="L45" i="3"/>
  <c r="C46" i="3"/>
  <c r="L46" i="3"/>
  <c r="C47" i="3"/>
  <c r="L47" i="3"/>
  <c r="C48" i="3"/>
  <c r="L48" i="3"/>
  <c r="C49" i="3"/>
  <c r="L49" i="3"/>
  <c r="C50" i="3"/>
  <c r="L50" i="3"/>
  <c r="C51" i="3"/>
  <c r="L51" i="3"/>
  <c r="C52" i="3"/>
  <c r="L52" i="3"/>
  <c r="C53" i="3"/>
  <c r="L53" i="3"/>
  <c r="C54" i="3"/>
  <c r="L54" i="3"/>
  <c r="C55" i="3"/>
  <c r="L55" i="3"/>
  <c r="C56" i="3"/>
  <c r="L56" i="3"/>
  <c r="C57" i="3"/>
  <c r="L57" i="3"/>
  <c r="C58" i="3"/>
  <c r="L58" i="3"/>
  <c r="C59" i="3"/>
  <c r="L59" i="3"/>
  <c r="C60" i="3"/>
  <c r="L60" i="3"/>
  <c r="C61" i="3"/>
  <c r="L61" i="3"/>
  <c r="C62" i="3"/>
  <c r="L62" i="3"/>
  <c r="C63" i="3"/>
  <c r="L63" i="3"/>
  <c r="C64" i="3"/>
  <c r="L64" i="3"/>
  <c r="C65" i="3"/>
  <c r="L65" i="3"/>
  <c r="C66" i="3"/>
  <c r="L66" i="3"/>
  <c r="C67" i="3"/>
  <c r="L67" i="3"/>
  <c r="C68" i="3"/>
  <c r="L68" i="3"/>
  <c r="C69" i="3"/>
  <c r="L69" i="3"/>
  <c r="C70" i="3"/>
  <c r="L70" i="3"/>
  <c r="C71" i="3"/>
  <c r="L71" i="3"/>
  <c r="C72" i="3"/>
  <c r="L72" i="3"/>
  <c r="C73" i="3"/>
  <c r="L73" i="3"/>
  <c r="C74" i="3"/>
  <c r="L74" i="3"/>
  <c r="C75" i="3"/>
  <c r="L75" i="3"/>
  <c r="C76" i="3"/>
  <c r="L76" i="3"/>
  <c r="C77" i="3"/>
  <c r="L77" i="3"/>
  <c r="C78" i="3"/>
  <c r="L78" i="3"/>
  <c r="C79" i="3"/>
  <c r="L79" i="3"/>
  <c r="C80" i="3"/>
  <c r="L80" i="3"/>
  <c r="C81" i="3"/>
  <c r="L81" i="3"/>
  <c r="C82" i="3"/>
  <c r="L82" i="3"/>
  <c r="C83" i="3"/>
  <c r="L83" i="3"/>
  <c r="C84" i="3"/>
  <c r="L84" i="3"/>
  <c r="C85" i="3"/>
  <c r="L85" i="3"/>
  <c r="C86" i="3"/>
  <c r="L86" i="3"/>
  <c r="C87" i="3"/>
  <c r="L87" i="3"/>
  <c r="C88" i="3"/>
  <c r="L88" i="3"/>
  <c r="C89" i="3"/>
  <c r="L89" i="3"/>
  <c r="C90" i="3"/>
  <c r="L90" i="3"/>
  <c r="C91" i="3"/>
  <c r="L91" i="3"/>
  <c r="C92" i="3"/>
  <c r="L92" i="3"/>
  <c r="C93" i="3"/>
  <c r="L93" i="3"/>
  <c r="C94" i="3"/>
  <c r="L94" i="3"/>
  <c r="C95" i="3"/>
  <c r="L95" i="3"/>
  <c r="C96" i="3"/>
  <c r="L96" i="3"/>
  <c r="C97" i="3"/>
  <c r="L97" i="3"/>
  <c r="C98" i="3"/>
  <c r="L98" i="3"/>
  <c r="C99" i="3"/>
  <c r="L99" i="3"/>
  <c r="C100" i="3"/>
  <c r="L100" i="3"/>
  <c r="E15" i="4"/>
  <c r="D15" i="4"/>
  <c r="G15" i="4"/>
  <c r="E16" i="4"/>
  <c r="D16" i="4"/>
  <c r="G16" i="4"/>
  <c r="E17" i="4"/>
  <c r="D17" i="4"/>
  <c r="G17" i="4"/>
  <c r="E18" i="4"/>
  <c r="D18" i="4"/>
  <c r="G18" i="4"/>
  <c r="E19" i="4"/>
  <c r="D19" i="4"/>
  <c r="G19" i="4"/>
  <c r="G20" i="4"/>
  <c r="F15" i="4"/>
  <c r="F16" i="4"/>
  <c r="F17" i="4"/>
  <c r="F18" i="4"/>
  <c r="F19" i="4"/>
  <c r="F20" i="4"/>
  <c r="E20" i="4"/>
  <c r="D20" i="4"/>
  <c r="C15" i="4"/>
  <c r="C16" i="4"/>
  <c r="C17" i="4"/>
  <c r="C18" i="4"/>
  <c r="C19" i="4"/>
  <c r="C20" i="4"/>
  <c r="F11" i="4"/>
  <c r="G6" i="3"/>
  <c r="H6" i="3"/>
  <c r="F6" i="3"/>
  <c r="J6" i="3"/>
  <c r="K6" i="3"/>
  <c r="G7" i="3"/>
  <c r="H7" i="3"/>
  <c r="F7" i="3"/>
  <c r="J7" i="3"/>
  <c r="K7" i="3"/>
  <c r="G8" i="3"/>
  <c r="H8" i="3"/>
  <c r="F8" i="3"/>
  <c r="J8" i="3"/>
  <c r="K8" i="3"/>
  <c r="G9" i="3"/>
  <c r="H9" i="3"/>
  <c r="F9" i="3"/>
  <c r="J9" i="3"/>
  <c r="K9" i="3"/>
  <c r="G10" i="3"/>
  <c r="H10" i="3"/>
  <c r="I10" i="3"/>
  <c r="J10" i="3"/>
  <c r="K10" i="3"/>
  <c r="G11" i="3"/>
  <c r="H11" i="3"/>
  <c r="I11" i="3"/>
  <c r="J11" i="3"/>
  <c r="K11" i="3"/>
  <c r="G12" i="3"/>
  <c r="H12" i="3"/>
  <c r="F12" i="3"/>
  <c r="J12" i="3"/>
  <c r="K12" i="3"/>
  <c r="G13" i="3"/>
  <c r="H13" i="3"/>
  <c r="F13" i="3"/>
  <c r="J13" i="3"/>
  <c r="K13" i="3"/>
  <c r="G14" i="3"/>
  <c r="H14" i="3"/>
  <c r="F14" i="3"/>
  <c r="J14" i="3"/>
  <c r="K14" i="3"/>
  <c r="G15" i="3"/>
  <c r="H15" i="3"/>
  <c r="F15" i="3"/>
  <c r="I15" i="3"/>
  <c r="J15" i="3"/>
  <c r="K15" i="3"/>
  <c r="G16" i="3"/>
  <c r="H16" i="3"/>
  <c r="F16" i="3"/>
  <c r="J16" i="3"/>
  <c r="K16" i="3"/>
  <c r="G17" i="3"/>
  <c r="H17" i="3"/>
  <c r="F17" i="3"/>
  <c r="J17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D11" i="4"/>
  <c r="G18" i="3"/>
  <c r="J18" i="3"/>
  <c r="G19" i="3"/>
  <c r="J19" i="3"/>
  <c r="G20" i="3"/>
  <c r="J20" i="3"/>
  <c r="G21" i="3"/>
  <c r="J21" i="3"/>
  <c r="G22" i="3"/>
  <c r="J22" i="3"/>
  <c r="G23" i="3"/>
  <c r="J23" i="3"/>
  <c r="G24" i="3"/>
  <c r="J24" i="3"/>
  <c r="G25" i="3"/>
  <c r="J25" i="3"/>
  <c r="G26" i="3"/>
  <c r="J26" i="3"/>
  <c r="G27" i="3"/>
  <c r="J27" i="3"/>
  <c r="G28" i="3"/>
  <c r="J28" i="3"/>
  <c r="G29" i="3"/>
  <c r="J29" i="3"/>
  <c r="G30" i="3"/>
  <c r="J30" i="3"/>
  <c r="G31" i="3"/>
  <c r="J31" i="3"/>
  <c r="G32" i="3"/>
  <c r="J32" i="3"/>
  <c r="G33" i="3"/>
  <c r="J33" i="3"/>
  <c r="G34" i="3"/>
  <c r="J34" i="3"/>
  <c r="G35" i="3"/>
  <c r="J35" i="3"/>
  <c r="G36" i="3"/>
  <c r="J36" i="3"/>
  <c r="G37" i="3"/>
  <c r="J37" i="3"/>
  <c r="G38" i="3"/>
  <c r="J38" i="3"/>
  <c r="G39" i="3"/>
  <c r="J39" i="3"/>
  <c r="G40" i="3"/>
  <c r="J40" i="3"/>
  <c r="G41" i="3"/>
  <c r="J41" i="3"/>
  <c r="G42" i="3"/>
  <c r="J42" i="3"/>
  <c r="G43" i="3"/>
  <c r="J43" i="3"/>
  <c r="G44" i="3"/>
  <c r="J44" i="3"/>
  <c r="G45" i="3"/>
  <c r="J45" i="3"/>
  <c r="G46" i="3"/>
  <c r="J46" i="3"/>
  <c r="G47" i="3"/>
  <c r="J47" i="3"/>
  <c r="G48" i="3"/>
  <c r="J48" i="3"/>
  <c r="G49" i="3"/>
  <c r="J49" i="3"/>
  <c r="G50" i="3"/>
  <c r="J50" i="3"/>
  <c r="G51" i="3"/>
  <c r="J51" i="3"/>
  <c r="G52" i="3"/>
  <c r="J52" i="3"/>
  <c r="G53" i="3"/>
  <c r="J53" i="3"/>
  <c r="G54" i="3"/>
  <c r="J54" i="3"/>
  <c r="G55" i="3"/>
  <c r="J55" i="3"/>
  <c r="G56" i="3"/>
  <c r="J56" i="3"/>
  <c r="G57" i="3"/>
  <c r="J57" i="3"/>
  <c r="G58" i="3"/>
  <c r="J58" i="3"/>
  <c r="G59" i="3"/>
  <c r="J59" i="3"/>
  <c r="G60" i="3"/>
  <c r="J60" i="3"/>
  <c r="G61" i="3"/>
  <c r="J61" i="3"/>
  <c r="G62" i="3"/>
  <c r="J62" i="3"/>
  <c r="G63" i="3"/>
  <c r="J63" i="3"/>
  <c r="G64" i="3"/>
  <c r="J64" i="3"/>
  <c r="G65" i="3"/>
  <c r="J65" i="3"/>
  <c r="G66" i="3"/>
  <c r="J66" i="3"/>
  <c r="G67" i="3"/>
  <c r="J67" i="3"/>
  <c r="G68" i="3"/>
  <c r="J68" i="3"/>
  <c r="G69" i="3"/>
  <c r="J69" i="3"/>
  <c r="G70" i="3"/>
  <c r="J70" i="3"/>
  <c r="G71" i="3"/>
  <c r="J71" i="3"/>
  <c r="G72" i="3"/>
  <c r="J72" i="3"/>
  <c r="G73" i="3"/>
  <c r="J73" i="3"/>
  <c r="G74" i="3"/>
  <c r="J74" i="3"/>
  <c r="G75" i="3"/>
  <c r="J75" i="3"/>
  <c r="G76" i="3"/>
  <c r="J76" i="3"/>
  <c r="G77" i="3"/>
  <c r="J77" i="3"/>
  <c r="G78" i="3"/>
  <c r="J78" i="3"/>
  <c r="G79" i="3"/>
  <c r="J79" i="3"/>
  <c r="G80" i="3"/>
  <c r="J80" i="3"/>
  <c r="G81" i="3"/>
  <c r="J81" i="3"/>
  <c r="G82" i="3"/>
  <c r="J82" i="3"/>
  <c r="G83" i="3"/>
  <c r="J83" i="3"/>
  <c r="G84" i="3"/>
  <c r="J84" i="3"/>
  <c r="G85" i="3"/>
  <c r="J85" i="3"/>
  <c r="G86" i="3"/>
  <c r="J86" i="3"/>
  <c r="G87" i="3"/>
  <c r="J87" i="3"/>
  <c r="G88" i="3"/>
  <c r="J88" i="3"/>
  <c r="G89" i="3"/>
  <c r="J89" i="3"/>
  <c r="G90" i="3"/>
  <c r="J90" i="3"/>
  <c r="G91" i="3"/>
  <c r="J91" i="3"/>
  <c r="G92" i="3"/>
  <c r="J92" i="3"/>
  <c r="G93" i="3"/>
  <c r="J93" i="3"/>
  <c r="G94" i="3"/>
  <c r="J94" i="3"/>
  <c r="G95" i="3"/>
  <c r="J95" i="3"/>
  <c r="G96" i="3"/>
  <c r="J96" i="3"/>
  <c r="G97" i="3"/>
  <c r="J97" i="3"/>
  <c r="G98" i="3"/>
  <c r="J98" i="3"/>
  <c r="G99" i="3"/>
  <c r="J99" i="3"/>
  <c r="G100" i="3"/>
  <c r="J100" i="3"/>
  <c r="B11" i="4"/>
  <c r="B8" i="4"/>
  <c r="D8" i="4"/>
  <c r="F8" i="4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L101" i="3"/>
  <c r="K101" i="3"/>
  <c r="J101" i="3"/>
  <c r="L6" i="2"/>
  <c r="I6" i="3"/>
  <c r="L7" i="2"/>
  <c r="I7" i="3"/>
  <c r="L8" i="2"/>
  <c r="I8" i="3"/>
  <c r="L9" i="2"/>
  <c r="I9" i="3"/>
  <c r="L12" i="2"/>
  <c r="I12" i="3"/>
  <c r="L13" i="2"/>
  <c r="I13" i="3"/>
  <c r="L14" i="2"/>
  <c r="I14" i="3"/>
  <c r="L16" i="2"/>
  <c r="I16" i="3"/>
  <c r="L17" i="2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G101" i="3"/>
  <c r="G10" i="2"/>
  <c r="F10" i="3"/>
  <c r="G11" i="2"/>
  <c r="F11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H100" i="3"/>
  <c r="B100" i="3"/>
  <c r="H99" i="3"/>
  <c r="B99" i="3"/>
  <c r="H98" i="3"/>
  <c r="B98" i="3"/>
  <c r="H97" i="3"/>
  <c r="B97" i="3"/>
  <c r="H96" i="3"/>
  <c r="B96" i="3"/>
  <c r="H95" i="3"/>
  <c r="B95" i="3"/>
  <c r="H94" i="3"/>
  <c r="B94" i="3"/>
  <c r="H93" i="3"/>
  <c r="B93" i="3"/>
  <c r="H92" i="3"/>
  <c r="B92" i="3"/>
  <c r="H91" i="3"/>
  <c r="B91" i="3"/>
  <c r="H90" i="3"/>
  <c r="B90" i="3"/>
  <c r="H89" i="3"/>
  <c r="B89" i="3"/>
  <c r="H88" i="3"/>
  <c r="B88" i="3"/>
  <c r="H87" i="3"/>
  <c r="B87" i="3"/>
  <c r="H86" i="3"/>
  <c r="B86" i="3"/>
  <c r="H85" i="3"/>
  <c r="B85" i="3"/>
  <c r="H84" i="3"/>
  <c r="B84" i="3"/>
  <c r="H83" i="3"/>
  <c r="B83" i="3"/>
  <c r="H82" i="3"/>
  <c r="B82" i="3"/>
  <c r="H81" i="3"/>
  <c r="B81" i="3"/>
  <c r="H80" i="3"/>
  <c r="B80" i="3"/>
  <c r="H79" i="3"/>
  <c r="B79" i="3"/>
  <c r="H78" i="3"/>
  <c r="B78" i="3"/>
  <c r="H77" i="3"/>
  <c r="B77" i="3"/>
  <c r="H76" i="3"/>
  <c r="B76" i="3"/>
  <c r="H75" i="3"/>
  <c r="B75" i="3"/>
  <c r="H74" i="3"/>
  <c r="B74" i="3"/>
  <c r="H73" i="3"/>
  <c r="B73" i="3"/>
  <c r="H72" i="3"/>
  <c r="B72" i="3"/>
  <c r="H71" i="3"/>
  <c r="B71" i="3"/>
  <c r="H70" i="3"/>
  <c r="B70" i="3"/>
  <c r="H69" i="3"/>
  <c r="B69" i="3"/>
  <c r="H68" i="3"/>
  <c r="B68" i="3"/>
  <c r="H67" i="3"/>
  <c r="B67" i="3"/>
  <c r="H66" i="3"/>
  <c r="B66" i="3"/>
  <c r="H65" i="3"/>
  <c r="B65" i="3"/>
  <c r="H64" i="3"/>
  <c r="B64" i="3"/>
  <c r="H63" i="3"/>
  <c r="B63" i="3"/>
  <c r="H62" i="3"/>
  <c r="B62" i="3"/>
  <c r="H61" i="3"/>
  <c r="B61" i="3"/>
  <c r="H60" i="3"/>
  <c r="B60" i="3"/>
  <c r="H59" i="3"/>
  <c r="B59" i="3"/>
  <c r="H58" i="3"/>
  <c r="B58" i="3"/>
  <c r="H57" i="3"/>
  <c r="B57" i="3"/>
  <c r="H56" i="3"/>
  <c r="B56" i="3"/>
  <c r="H55" i="3"/>
  <c r="B55" i="3"/>
  <c r="H54" i="3"/>
  <c r="B54" i="3"/>
  <c r="H53" i="3"/>
  <c r="B53" i="3"/>
  <c r="H52" i="3"/>
  <c r="B52" i="3"/>
  <c r="H51" i="3"/>
  <c r="B51" i="3"/>
  <c r="H50" i="3"/>
  <c r="B50" i="3"/>
  <c r="H49" i="3"/>
  <c r="B49" i="3"/>
  <c r="H48" i="3"/>
  <c r="B48" i="3"/>
  <c r="H47" i="3"/>
  <c r="B47" i="3"/>
  <c r="H46" i="3"/>
  <c r="B46" i="3"/>
  <c r="H45" i="3"/>
  <c r="B45" i="3"/>
  <c r="H44" i="3"/>
  <c r="B44" i="3"/>
  <c r="H43" i="3"/>
  <c r="B43" i="3"/>
  <c r="H42" i="3"/>
  <c r="B42" i="3"/>
  <c r="H41" i="3"/>
  <c r="B41" i="3"/>
  <c r="H40" i="3"/>
  <c r="B40" i="3"/>
  <c r="H39" i="3"/>
  <c r="B39" i="3"/>
  <c r="H38" i="3"/>
  <c r="B38" i="3"/>
  <c r="H37" i="3"/>
  <c r="B37" i="3"/>
  <c r="H36" i="3"/>
  <c r="B36" i="3"/>
  <c r="H35" i="3"/>
  <c r="B35" i="3"/>
  <c r="H34" i="3"/>
  <c r="B34" i="3"/>
  <c r="H33" i="3"/>
  <c r="B33" i="3"/>
  <c r="H32" i="3"/>
  <c r="B32" i="3"/>
  <c r="H31" i="3"/>
  <c r="B31" i="3"/>
  <c r="H30" i="3"/>
  <c r="B30" i="3"/>
  <c r="H29" i="3"/>
  <c r="B29" i="3"/>
  <c r="H28" i="3"/>
  <c r="B28" i="3"/>
  <c r="H27" i="3"/>
  <c r="B27" i="3"/>
  <c r="H26" i="3"/>
  <c r="B26" i="3"/>
  <c r="H25" i="3"/>
  <c r="B25" i="3"/>
  <c r="H24" i="3"/>
  <c r="B24" i="3"/>
  <c r="H23" i="3"/>
  <c r="B23" i="3"/>
  <c r="H22" i="3"/>
  <c r="B22" i="3"/>
  <c r="H21" i="3"/>
  <c r="B21" i="3"/>
  <c r="H20" i="3"/>
  <c r="B20" i="3"/>
  <c r="H19" i="3"/>
  <c r="B19" i="3"/>
  <c r="H18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F101" i="2"/>
  <c r="E101" i="2"/>
  <c r="L100" i="2"/>
  <c r="L99" i="2"/>
  <c r="L98" i="2"/>
  <c r="L97" i="2"/>
  <c r="L96" i="2"/>
  <c r="L95" i="2"/>
  <c r="L94" i="2"/>
  <c r="L93" i="2"/>
  <c r="L92" i="2"/>
  <c r="L91" i="2"/>
  <c r="L90" i="2"/>
  <c r="L89" i="2"/>
  <c r="L88" i="2"/>
  <c r="L87" i="2"/>
  <c r="L86" i="2"/>
  <c r="L85" i="2"/>
  <c r="L84" i="2"/>
  <c r="L83" i="2"/>
  <c r="L82" i="2"/>
  <c r="L81" i="2"/>
  <c r="L80" i="2"/>
  <c r="L79" i="2"/>
  <c r="L78" i="2"/>
  <c r="L77" i="2"/>
  <c r="L76" i="2"/>
  <c r="L75" i="2"/>
  <c r="L74" i="2"/>
  <c r="L73" i="2"/>
  <c r="L72" i="2"/>
  <c r="L71" i="2"/>
  <c r="L70" i="2"/>
  <c r="L69" i="2"/>
  <c r="L68" i="2"/>
  <c r="L67" i="2"/>
  <c r="L66" i="2"/>
  <c r="L65" i="2"/>
  <c r="L64" i="2"/>
  <c r="L63" i="2"/>
  <c r="L62" i="2"/>
  <c r="L61" i="2"/>
  <c r="L60" i="2"/>
  <c r="L59" i="2"/>
  <c r="L58" i="2"/>
  <c r="L57" i="2"/>
  <c r="L56" i="2"/>
  <c r="L55" i="2"/>
  <c r="L54" i="2"/>
  <c r="L53" i="2"/>
  <c r="L52" i="2"/>
  <c r="L51" i="2"/>
  <c r="L50" i="2"/>
  <c r="L49" i="2"/>
  <c r="L48" i="2"/>
  <c r="L47" i="2"/>
  <c r="L46" i="2"/>
  <c r="L45" i="2"/>
  <c r="L44" i="2"/>
  <c r="L43" i="2"/>
  <c r="L42" i="2"/>
  <c r="L41" i="2"/>
  <c r="L40" i="2"/>
  <c r="L39" i="2"/>
  <c r="L38" i="2"/>
  <c r="L37" i="2"/>
  <c r="L36" i="2"/>
  <c r="L3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29" authorId="0" shapeId="0" xr:uid="{00000000-0006-0000-0600-000001000000}">
      <text>
        <r>
          <rPr>
            <sz val="10"/>
            <rFont val="Lohit Devanagari"/>
            <family val="2"/>
          </rPr>
          <t>إدخال المستخدم: اختر عملة العرض للمصنف. لا يغير القيم الرقمية أو منهج الإهلاك</t>
        </r>
        <r>
          <rPr>
            <sz val="10"/>
            <rFont val="Arial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<sst xmlns="http://schemas.openxmlformats.org/spreadsheetml/2006/main" count="309" uniqueCount="221">
  <si>
    <t>📘 دليل استخدام شيت إهلاك الأصول - المطاعم (مترابط بالكامل)</t>
  </si>
  <si>
    <t>📝 نظرة عامة</t>
  </si>
  <si>
    <t>🔗 آلية الربط بين الأوراق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</si>
  <si>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Lohit Devanagari"/>
        <family val="2"/>
      </rPr>
      <t>سجل الأصول</t>
    </r>
  </si>
  <si>
    <r>
      <rPr>
        <sz val="11"/>
        <color theme="1"/>
        <rFont val="Lohit Devanagari"/>
        <family val="2"/>
      </rPr>
      <t>← المصدر الوحيد للبيانات — أضف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Lohit Devanagari"/>
        <family val="2"/>
      </rPr>
      <t>عدّل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Lohit Devanagari"/>
        <family val="2"/>
      </rPr>
      <t>احذف الأصول هنا فقط</t>
    </r>
  </si>
  <si>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Lohit Devanagari"/>
        <family val="2"/>
      </rPr>
      <t>جدول الإهلاك</t>
    </r>
  </si>
  <si>
    <r>
      <rPr>
        <sz val="11"/>
        <color theme="1"/>
        <rFont val="Lohit Devanagari"/>
        <family val="2"/>
      </rPr>
      <t xml:space="preserve">← يقرأ تلقائياً من 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Lohit Devanagari"/>
        <family val="2"/>
      </rPr>
      <t>سجل الأصول</t>
    </r>
    <r>
      <rPr>
        <sz val="11"/>
        <color theme="1"/>
        <rFont val="Calibri"/>
        <family val="2"/>
        <charset val="1"/>
      </rPr>
      <t xml:space="preserve">' — </t>
    </r>
    <r>
      <rPr>
        <sz val="11"/>
        <color theme="1"/>
        <rFont val="Lohit Devanagari"/>
        <family val="2"/>
      </rPr>
      <t>لا تعدل يدوياً</t>
    </r>
  </si>
  <si>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Lohit Devanagari"/>
        <family val="2"/>
      </rPr>
      <t>الملخص والتقارير</t>
    </r>
  </si>
  <si>
    <r>
      <rPr>
        <sz val="11"/>
        <color theme="1"/>
        <rFont val="Lohit Devanagari"/>
        <family val="2"/>
      </rPr>
      <t xml:space="preserve">← يقرأ من 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Lohit Devanagari"/>
        <family val="2"/>
      </rPr>
      <t>سجل الأصول</t>
    </r>
    <r>
      <rPr>
        <sz val="11"/>
        <color theme="1"/>
        <rFont val="Calibri"/>
        <family val="2"/>
        <charset val="1"/>
      </rPr>
      <t xml:space="preserve">' </t>
    </r>
    <r>
      <rPr>
        <sz val="11"/>
        <color theme="1"/>
        <rFont val="Lohit Devanagari"/>
        <family val="2"/>
      </rPr>
      <t>و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Lohit Devanagari"/>
        <family val="2"/>
      </rPr>
      <t>جدول الإهلاك</t>
    </r>
    <r>
      <rPr>
        <sz val="11"/>
        <color theme="1"/>
        <rFont val="Calibri"/>
        <family val="2"/>
        <charset val="1"/>
      </rPr>
      <t xml:space="preserve">' — </t>
    </r>
    <r>
      <rPr>
        <sz val="11"/>
        <color theme="1"/>
        <rFont val="Lohit Devanagari"/>
        <family val="2"/>
      </rPr>
      <t>لا تعدل يدوياً</t>
    </r>
  </si>
  <si>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Lohit Devanagari"/>
        <family val="2"/>
      </rPr>
      <t>سجل التعديلات</t>
    </r>
  </si>
  <si>
    <r>
      <rPr>
        <sz val="11"/>
        <color theme="1"/>
        <rFont val="Lohit Devanagari"/>
        <family val="2"/>
      </rPr>
      <t xml:space="preserve">← سجل يدوي لتتبع التغييرات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Lohit Devanagari"/>
        <family val="2"/>
      </rPr>
      <t>للمراجعة الداخلية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</si>
  <si>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Calibri"/>
        <family val="2"/>
        <charset val="1"/>
      </rPr>
      <t xml:space="preserve">5. </t>
    </r>
    <r>
      <rPr>
        <sz val="11"/>
        <color theme="1"/>
        <rFont val="Lohit Devanagari"/>
        <family val="2"/>
      </rPr>
      <t>القيمة الدفترية عبر الزمن</t>
    </r>
  </si>
  <si>
    <t>← يحسب تلقائياً تطور القيمة الدفترية شهرياً</t>
  </si>
  <si>
    <t>⚠️ تعليمات مهمة</t>
  </si>
  <si>
    <t>•</t>
  </si>
  <si>
    <r>
      <rPr>
        <sz val="11"/>
        <color theme="1"/>
        <rFont val="Lohit Devanagari"/>
        <family val="2"/>
      </rPr>
      <t xml:space="preserve">لا تعدل أي صيغ في 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Lohit Devanagari"/>
        <family val="2"/>
      </rPr>
      <t>جدول الإهلاك</t>
    </r>
    <r>
      <rPr>
        <sz val="11"/>
        <color theme="1"/>
        <rFont val="Calibri"/>
        <family val="2"/>
        <charset val="1"/>
      </rPr>
      <t xml:space="preserve">' </t>
    </r>
    <r>
      <rPr>
        <sz val="11"/>
        <color theme="1"/>
        <rFont val="Lohit Devanagari"/>
        <family val="2"/>
      </rPr>
      <t xml:space="preserve">أو 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Lohit Devanagari"/>
        <family val="2"/>
      </rPr>
      <t>الملخص</t>
    </r>
    <r>
      <rPr>
        <sz val="11"/>
        <color theme="1"/>
        <rFont val="Calibri"/>
        <family val="2"/>
        <charset val="1"/>
      </rPr>
      <t xml:space="preserve">' — </t>
    </r>
    <r>
      <rPr>
        <sz val="11"/>
        <color theme="1"/>
        <rFont val="Lohit Devanagari"/>
        <family val="2"/>
      </rPr>
      <t>هي مترابطة تلقائياً</t>
    </r>
  </si>
  <si>
    <r>
      <rPr>
        <sz val="11"/>
        <color theme="1"/>
        <rFont val="Lohit Devanagari"/>
        <family val="2"/>
      </rPr>
      <t xml:space="preserve">أضف الأصول في 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Lohit Devanagari"/>
        <family val="2"/>
      </rPr>
      <t>سجل الأصول</t>
    </r>
    <r>
      <rPr>
        <sz val="11"/>
        <color theme="1"/>
        <rFont val="Calibri"/>
        <family val="2"/>
        <charset val="1"/>
      </rPr>
      <t xml:space="preserve">' </t>
    </r>
    <r>
      <rPr>
        <sz val="11"/>
        <color theme="1"/>
        <rFont val="Lohit Devanagari"/>
        <family val="2"/>
      </rPr>
      <t>فقط، وسيتم حساب الإهلاك تلقائياً</t>
    </r>
  </si>
  <si>
    <r>
      <rPr>
        <sz val="11"/>
        <color theme="1"/>
        <rFont val="Lohit Devanagari"/>
        <family val="2"/>
      </rPr>
      <t>لحذف أصل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Lohit Devanagari"/>
        <family val="2"/>
      </rPr>
      <t xml:space="preserve">امسح الصف في 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Lohit Devanagari"/>
        <family val="2"/>
      </rPr>
      <t>سجل الأصول</t>
    </r>
    <r>
      <rPr>
        <sz val="11"/>
        <color theme="1"/>
        <rFont val="Calibri"/>
        <family val="2"/>
        <charset val="1"/>
      </rPr>
      <t xml:space="preserve">' </t>
    </r>
    <r>
      <rPr>
        <sz val="11"/>
        <color theme="1"/>
        <rFont val="Lohit Devanagari"/>
        <family val="2"/>
      </rPr>
      <t xml:space="preserve">أو غيّر الحالة إلى 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Lohit Devanagari"/>
        <family val="2"/>
      </rPr>
      <t>مهلك</t>
    </r>
    <r>
      <rPr>
        <sz val="11"/>
        <color theme="1"/>
        <rFont val="Calibri"/>
        <family val="2"/>
        <charset val="1"/>
      </rPr>
      <t>'</t>
    </r>
  </si>
  <si>
    <r>
      <rPr>
        <sz val="11"/>
        <color theme="1"/>
        <rFont val="Lohit Devanagari"/>
        <family val="2"/>
      </rPr>
      <t xml:space="preserve">سجل أي تعديل في </t>
    </r>
    <r>
      <rPr>
        <sz val="11"/>
        <color theme="1"/>
        <rFont val="Calibri"/>
        <family val="2"/>
        <charset val="1"/>
      </rPr>
      <t>'</t>
    </r>
    <r>
      <rPr>
        <sz val="11"/>
        <color theme="1"/>
        <rFont val="Lohit Devanagari"/>
        <family val="2"/>
      </rPr>
      <t>سجل التعديلات</t>
    </r>
    <r>
      <rPr>
        <sz val="11"/>
        <color theme="1"/>
        <rFont val="Calibri"/>
        <family val="2"/>
        <charset val="1"/>
      </rPr>
      <t xml:space="preserve">' </t>
    </r>
    <r>
      <rPr>
        <sz val="11"/>
        <color theme="1"/>
        <rFont val="Lohit Devanagari"/>
        <family val="2"/>
      </rPr>
      <t>للحفاظ على أثر المراجعة</t>
    </r>
  </si>
  <si>
    <t>القيمة الدفترية تُحسب ديناميكياً بناءً على تاريخ الاستخدام</t>
  </si>
  <si>
    <t>📱 التوافق</t>
  </si>
  <si>
    <t>📋 سجل أصول المطعم — المصدر الرئيسي (Master Data)</t>
  </si>
  <si>
    <t>⚠️ أضف/عدّل الأصول هنا فقط — جميع الأوراق الأخرى مترابطة مع هذا الجدول</t>
  </si>
  <si>
    <t>#</t>
  </si>
  <si>
    <t>اسم الأصل</t>
  </si>
  <si>
    <t>الفئة</t>
  </si>
  <si>
    <t>التكلفة
(العملة المحددة)</t>
  </si>
  <si>
    <t>القيمة
المتبقية</t>
  </si>
  <si>
    <t>المبلغ القابل
للإهلاك</t>
  </si>
  <si>
    <t>تاريخ
الشراء</t>
  </si>
  <si>
    <t>تاريخ
الاستخدام</t>
  </si>
  <si>
    <t>العمر
الإنتاجي</t>
  </si>
  <si>
    <t>طريقة
الإهلاك</t>
  </si>
  <si>
    <t>معدل
الإهلاك %</t>
  </si>
  <si>
    <t>القيمة
الدفترية</t>
  </si>
  <si>
    <t>الحالة</t>
  </si>
  <si>
    <t>فرن بيتزا صناعي</t>
  </si>
  <si>
    <t>معدات المطبخ</t>
  </si>
  <si>
    <t>القسط الثابت</t>
  </si>
  <si>
    <t>نشط</t>
  </si>
  <si>
    <t>ثلاجة عرض مشروبات</t>
  </si>
  <si>
    <t>غسالة صحون صناعية</t>
  </si>
  <si>
    <t>شواية غاز مفتوحة</t>
  </si>
  <si>
    <r>
      <rPr>
        <sz val="11"/>
        <color theme="1"/>
        <rFont val="Lohit Devanagari"/>
        <family val="2"/>
      </rPr>
      <t xml:space="preserve">جهاز </t>
    </r>
    <r>
      <rPr>
        <sz val="11"/>
        <color theme="1"/>
        <rFont val="Calibri"/>
        <family val="2"/>
        <charset val="1"/>
      </rPr>
      <t>POS (</t>
    </r>
    <r>
      <rPr>
        <sz val="11"/>
        <color theme="1"/>
        <rFont val="Lohit Devanagari"/>
        <family val="2"/>
      </rPr>
      <t>نقاط البيع</t>
    </r>
    <r>
      <rPr>
        <sz val="11"/>
        <color theme="1"/>
        <rFont val="Calibri"/>
        <family val="2"/>
        <charset val="1"/>
      </rPr>
      <t>)</t>
    </r>
  </si>
  <si>
    <t>أنظمة تقنية</t>
  </si>
  <si>
    <t>القسط المتناقص</t>
  </si>
  <si>
    <t>نظام كاميرات مراقبة</t>
  </si>
  <si>
    <t>أثاث صالة الطعام</t>
  </si>
  <si>
    <t>أثاث وديكور</t>
  </si>
  <si>
    <t>إضاءة ديكور داخلي</t>
  </si>
  <si>
    <r>
      <rPr>
        <sz val="11"/>
        <color theme="1"/>
        <rFont val="Lohit Devanagari"/>
        <family val="2"/>
      </rPr>
      <t xml:space="preserve">مكيفات مركزية </t>
    </r>
    <r>
      <rPr>
        <sz val="11"/>
        <color theme="1"/>
        <rFont val="Calibri"/>
        <family val="2"/>
        <charset val="1"/>
      </rPr>
      <t>HVAC</t>
    </r>
  </si>
  <si>
    <t>تجهيزات</t>
  </si>
  <si>
    <t>سيارة توصيل طلبات</t>
  </si>
  <si>
    <t>مركبات</t>
  </si>
  <si>
    <t>وحدات الإنتاج</t>
  </si>
  <si>
    <t>ماكينة قهوة احترافية</t>
  </si>
  <si>
    <t>طاولات وكراسي خارجية</t>
  </si>
  <si>
    <t>الإجمالي</t>
  </si>
  <si>
    <t>📊 جدول الإهلاك — مترابط تلقائياً مع 'سجل الأصول'</t>
  </si>
  <si>
    <t>⚠️ لا تعدل هذا الجدول يدوياً — جميع البيانات تُقرأ من 'سجل الأصول'</t>
  </si>
  <si>
    <t>المبلغ
القابل للإهلاك</t>
  </si>
  <si>
    <t>العمر
(سنوات)</t>
  </si>
  <si>
    <t>الإهلاك
الشهري</t>
  </si>
  <si>
    <t>الإهلاك
السنوي</t>
  </si>
  <si>
    <t>الإهلاك
التراكمي</t>
  </si>
  <si>
    <t>📈 لوحة تحكم إهلاك الأصول — مترابطة تلقائياً</t>
  </si>
  <si>
    <t>⚠️ لا تعدل هذا الجدول — جميع البيانات تُقرأ من 'سجل الأصول' و'جدول الإهلاك'</t>
  </si>
  <si>
    <r>
      <rPr>
        <sz val="11"/>
        <color theme="1"/>
        <rFont val="Lohit Devanagari"/>
        <family val="2"/>
      </rPr>
      <t>العملة</t>
    </r>
    <r>
      <rPr>
        <sz val="11"/>
        <color theme="1"/>
        <rFont val="Calibri"/>
        <family val="2"/>
        <charset val="1"/>
      </rPr>
      <t>: ='</t>
    </r>
    <r>
      <rPr>
        <sz val="11"/>
        <color theme="1"/>
        <rFont val="Lohit Devanagari"/>
        <family val="2"/>
      </rPr>
      <t>إعدادات الإهلاك</t>
    </r>
    <r>
      <rPr>
        <sz val="11"/>
        <color theme="1"/>
        <rFont val="Calibri"/>
        <family val="2"/>
        <charset val="1"/>
      </rPr>
      <t xml:space="preserve">'!C29 | </t>
    </r>
    <r>
      <rPr>
        <sz val="11"/>
        <color theme="1"/>
        <rFont val="Lohit Devanagari"/>
        <family val="2"/>
      </rPr>
      <t>غيّرها من ورقة إعدادات الإهلاك</t>
    </r>
  </si>
  <si>
    <t>📊 مؤشرات الأداء الرئيسية (KPIs)</t>
  </si>
  <si>
    <t>💰 إجمالي تكلفة الأصول</t>
  </si>
  <si>
    <t>📉 الإهلاك التراكمي</t>
  </si>
  <si>
    <t>📈 القيمة الدفترية الصافية</t>
  </si>
  <si>
    <t>📅 الإهلاك الشهري</t>
  </si>
  <si>
    <t>📆 الإهلاك السنوي</t>
  </si>
  <si>
    <t>🔢 عدد الأصول النشطة</t>
  </si>
  <si>
    <t>📋 ملخص الأصول حسب الفئة — مترابط مع 'سجل الأصول'</t>
  </si>
  <si>
    <t>عدد الأصول</t>
  </si>
  <si>
    <t>التكلفة الإجمالية</t>
  </si>
  <si>
    <t>الإهلاك التراكمي</t>
  </si>
  <si>
    <t>القيمة الدفترية</t>
  </si>
  <si>
    <t>نسبة الإهلاك</t>
  </si>
  <si>
    <t>✅ قائمة التحقق من الامتثال لـ IAS 16</t>
  </si>
  <si>
    <t>متطلب IAS 16</t>
  </si>
  <si>
    <t>الملاحظات</t>
  </si>
  <si>
    <t>الأصول مسجلة بالتكلفة (Cost Model)</t>
  </si>
  <si>
    <t>✓ متوافق</t>
  </si>
  <si>
    <t>جميع الأصول مسجلة بالتكلفة الأصلية</t>
  </si>
  <si>
    <t>الإهلاك يبدأ عند توفر الأصل للاستخدام</t>
  </si>
  <si>
    <t>تاريخ الاستخدام منفصل عن تاريخ الشراء</t>
  </si>
  <si>
    <t>طريقة الإهلاك تعكس نمط الاستهلاك</t>
  </si>
  <si>
    <t>القسط الثابت للاستخدام المتساوي، المتناقص للتقنية</t>
  </si>
  <si>
    <t>القيمة المتبقية محددة لكل أصل</t>
  </si>
  <si>
    <t>تم تقدير القيمة المتبقية بناءً على السوق</t>
  </si>
  <si>
    <t>العمر الإنتاجي محدد لكل فئة</t>
  </si>
  <si>
    <t>العمر يعكس التجربة الصناعية</t>
  </si>
  <si>
    <t>لا يوجد إهلاك قائم على الإيرادات</t>
  </si>
  <si>
    <t>ممنوع طبقاً للتعديل 2014</t>
  </si>
  <si>
    <t>المكونات المهمة تُهملك منفصلة</t>
  </si>
  <si>
    <t>HVAC، المحركات، الأجزاء الرئيسية</t>
  </si>
  <si>
    <t>📝 سجل التعديلات — Audit Trail</t>
  </si>
  <si>
    <t>سجل يدوي لتتبع جميع التعديلات على أصول المطعم (للمراجعة الداخلية والخارجية)</t>
  </si>
  <si>
    <t>⚠️ أضف صفاً جديداً في هذا الجدول عند كل تعديل في 'سجل الأصول' — هذا إلزامي للامتثال لـ IAS 16</t>
  </si>
  <si>
    <t>التاريخ</t>
  </si>
  <si>
    <t>نوع التعديل</t>
  </si>
  <si>
    <t>الحقل المعدل</t>
  </si>
  <si>
    <t>القيمة القديمة</t>
  </si>
  <si>
    <t>القيمة الجديدة</t>
  </si>
  <si>
    <t>الموظف / المراجع</t>
  </si>
  <si>
    <t>2024-01-15</t>
  </si>
  <si>
    <t>إضافة أصل جديد</t>
  </si>
  <si>
    <t>—</t>
  </si>
  <si>
    <t>تكلفة: 45,000 ريال</t>
  </si>
  <si>
    <t>أحمد المحاسب</t>
  </si>
  <si>
    <t>2024-03-01</t>
  </si>
  <si>
    <t>تعديل تاريخ الاستخدام</t>
  </si>
  <si>
    <t>تاريخ الاستخدام</t>
  </si>
  <si>
    <t>2024-02-20</t>
  </si>
  <si>
    <t>2024-06-15</t>
  </si>
  <si>
    <t>جهاز POS</t>
  </si>
  <si>
    <t>تعديل طريقة الإهلاك</t>
  </si>
  <si>
    <t>طريقة الإهلاك</t>
  </si>
  <si>
    <t>المراجع الخارجي</t>
  </si>
  <si>
    <t>2024-08-01</t>
  </si>
  <si>
    <t>تعديل القيمة المتبقية</t>
  </si>
  <si>
    <t>القيمة المتبقية</t>
  </si>
  <si>
    <t>10,000</t>
  </si>
  <si>
    <t>15,000</t>
  </si>
  <si>
    <t>📊 إحصائيات سجل التعديلات</t>
  </si>
  <si>
    <t>إجمالي التعديلات</t>
  </si>
  <si>
    <t>إضافات</t>
  </si>
  <si>
    <t>تعديلات</t>
  </si>
  <si>
    <t>حذف/مهلك</t>
  </si>
  <si>
    <t>آخر تعديل</t>
  </si>
  <si>
    <t>📈 القيمة الدفترية عبر الزمن — Book Value Over Time</t>
  </si>
  <si>
    <t>⚠️ هذا الجدول يُحسب تلقائياً — لا تعدل يدوياً — البيانات من 'سجل الأصول'</t>
  </si>
  <si>
    <t>الشهر / الفئة</t>
  </si>
  <si>
    <t>يناير 2024</t>
  </si>
  <si>
    <t>فبراير 2024</t>
  </si>
  <si>
    <t>مارس 2024</t>
  </si>
  <si>
    <t>أبريل 2024</t>
  </si>
  <si>
    <t>مايو 2024</t>
  </si>
  <si>
    <t>يونيو 2024</t>
  </si>
  <si>
    <t>يوليو 2024</t>
  </si>
  <si>
    <t>أغسطس 2024</t>
  </si>
  <si>
    <t>سبتمبر 2024</t>
  </si>
  <si>
    <t>أكتوبر 2024</t>
  </si>
  <si>
    <t>نوفمبر 2024</t>
  </si>
  <si>
    <t>ديسمبر 2024</t>
  </si>
  <si>
    <t>يناير 2025</t>
  </si>
  <si>
    <t>فبراير 2025</t>
  </si>
  <si>
    <t>مارس 2025</t>
  </si>
  <si>
    <t>أبريل 2025</t>
  </si>
  <si>
    <t>مايو 2025</t>
  </si>
  <si>
    <t>يونيو 2025</t>
  </si>
  <si>
    <t>⚙️ إعدادات الإهلاك — Reference Guide</t>
  </si>
  <si>
    <t>مرجع لتعريف الفئات وطرق الإهلاك وفقاً للمعايير الدولية</t>
  </si>
  <si>
    <t>📂 فئات أصول المطاعم وعمرها الإنتاجي</t>
  </si>
  <si>
    <t>فئة الأصل</t>
  </si>
  <si>
    <t>العمر الإنتاجي (سنوات)</t>
  </si>
  <si>
    <t>طريقة الإهلاك الموصى بها</t>
  </si>
  <si>
    <t>معدل الإهلاك السنوي %</t>
  </si>
  <si>
    <t>الأساس القانوني (IAS 16)</t>
  </si>
  <si>
    <t>5-10</t>
  </si>
  <si>
    <t>10-20</t>
  </si>
  <si>
    <t>المكونات ذات العمر المختلف تُهملك منفصلة</t>
  </si>
  <si>
    <t>3-5</t>
  </si>
  <si>
    <t>20-33</t>
  </si>
  <si>
    <r>
      <rPr>
        <sz val="11"/>
        <color theme="1"/>
        <rFont val="Lohit Devanagari"/>
        <family val="2"/>
      </rPr>
      <t xml:space="preserve">التقنية تتطور بسرعة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Lohit Devanagari"/>
        <family val="2"/>
      </rPr>
      <t>القسط المتناقص ينعكس</t>
    </r>
  </si>
  <si>
    <t>7-10</t>
  </si>
  <si>
    <t>10-14</t>
  </si>
  <si>
    <t>الاستخدام المتساوي على مدى العمر</t>
  </si>
  <si>
    <t>تجهيزات المبنى</t>
  </si>
  <si>
    <t>15-20</t>
  </si>
  <si>
    <t>5-7</t>
  </si>
  <si>
    <r>
      <rPr>
        <sz val="11"/>
        <color theme="1"/>
        <rFont val="Calibri"/>
        <family val="2"/>
        <charset val="1"/>
      </rPr>
      <t>HVAC</t>
    </r>
    <r>
      <rPr>
        <sz val="11"/>
        <color theme="1"/>
        <rFont val="Lohit Devanagari"/>
        <family val="2"/>
      </rPr>
      <t>، أنظمة كهرباء، سباكة</t>
    </r>
  </si>
  <si>
    <t>مركبات التوصيل</t>
  </si>
  <si>
    <t>4-5</t>
  </si>
  <si>
    <t>20-25</t>
  </si>
  <si>
    <r>
      <rPr>
        <sz val="11"/>
        <color theme="1"/>
        <rFont val="Lohit Devanagari"/>
        <family val="2"/>
      </rPr>
      <t>يعتمد على عدد الكيلومترات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Lohit Devanagari"/>
        <family val="2"/>
      </rPr>
      <t>الطلبات</t>
    </r>
  </si>
  <si>
    <t>أرض ومبنى</t>
  </si>
  <si>
    <t>20-50</t>
  </si>
  <si>
    <t>2-5</t>
  </si>
  <si>
    <t>الأرض لا تُهملك، المبنى فقط</t>
  </si>
  <si>
    <t>📐 شرح طرق الإهلاك المعتمدة دولياً</t>
  </si>
  <si>
    <t>الصيغة</t>
  </si>
  <si>
    <t>متى تُستخدم</t>
  </si>
  <si>
    <t>الاستخدام في المطاعم</t>
  </si>
  <si>
    <t>ملاحظات IFRS</t>
  </si>
  <si>
    <t>القسط الثابت
(Straight-Line)</t>
  </si>
  <si>
    <t>(التكلفة - القيمة المتبقية) / العمر الإنتاجي</t>
  </si>
  <si>
    <t>الاستخدام المتساوي</t>
  </si>
  <si>
    <t>أثاث، تجهيزات، معدات المطبخ</t>
  </si>
  <si>
    <t>الطريقة الأكثر شيوعاً وقبولاً</t>
  </si>
  <si>
    <t>القسط المتناقص
(Reducing Balance)</t>
  </si>
  <si>
    <t>القيمة الدفترية × معدل ثابت</t>
  </si>
  <si>
    <t>الأصول التي تفقد قيمتها بسرعة في البداية</t>
  </si>
  <si>
    <t>أنظمة تقنية، POS، كاميرات</t>
  </si>
  <si>
    <t>يجب أن تعكس نمط استهلاك المنفعة</t>
  </si>
  <si>
    <t>وحدات الإنتاج
(Units of Production)</t>
  </si>
  <si>
    <t>(التكلفة - القيمة المتبقية) × (الوحدات الفعلية/إجمالي الوحدات)</t>
  </si>
  <si>
    <t>الاستخدام غير المتساوي</t>
  </si>
  <si>
    <t>مركبات التوصيل (KM أو عدد الطلبات)</t>
  </si>
  <si>
    <t>تتطلب تقدير دقيق للوحدات</t>
  </si>
  <si>
    <t>⚖️ متطلبات IAS 16 الإلزامية</t>
  </si>
  <si>
    <t>✓</t>
  </si>
  <si>
    <t>يبدأ الإهلاك عندما يكون الأصل متاحاً للاستخدام وليس عند الشراء</t>
  </si>
  <si>
    <r>
      <rPr>
        <b/>
        <sz val="9"/>
        <color rgb="FF2E75B6"/>
        <rFont val="Lohit Devanagari"/>
        <family val="2"/>
      </rPr>
      <t xml:space="preserve">مادة </t>
    </r>
    <r>
      <rPr>
        <b/>
        <sz val="9"/>
        <color rgb="FF2E75B6"/>
        <rFont val="Cambria"/>
        <charset val="1"/>
      </rPr>
      <t>55</t>
    </r>
  </si>
  <si>
    <t>يُمنع استخدام طريقة الإهلاك القائمة على الإيرادات</t>
  </si>
  <si>
    <r>
      <rPr>
        <b/>
        <sz val="9"/>
        <color rgb="FF2E75B6"/>
        <rFont val="Lohit Devanagari"/>
        <family val="2"/>
      </rPr>
      <t xml:space="preserve">مادة </t>
    </r>
    <r>
      <rPr>
        <b/>
        <sz val="9"/>
        <color rgb="FF2E75B6"/>
        <rFont val="Cambria"/>
        <charset val="1"/>
      </rPr>
      <t>62A</t>
    </r>
  </si>
  <si>
    <t>يجب مراجعة العمر الإنتاجي والقيمة المتبقية والطريقة سنوياً</t>
  </si>
  <si>
    <r>
      <rPr>
        <b/>
        <sz val="9"/>
        <color rgb="FF2E75B6"/>
        <rFont val="Lohit Devanagari"/>
        <family val="2"/>
      </rPr>
      <t xml:space="preserve">مادة </t>
    </r>
    <r>
      <rPr>
        <b/>
        <sz val="9"/>
        <color rgb="FF2E75B6"/>
        <rFont val="Cambria"/>
        <charset val="1"/>
      </rPr>
      <t>51</t>
    </r>
  </si>
  <si>
    <t>يتم الاعتراف بالإهلاك كمصروف ما لم يُسمح بإدراجه في تكلفة أصل آخر</t>
  </si>
  <si>
    <r>
      <rPr>
        <b/>
        <sz val="9"/>
        <color rgb="FF2E75B6"/>
        <rFont val="Lohit Devanagari"/>
        <family val="2"/>
      </rPr>
      <t xml:space="preserve">مادة </t>
    </r>
    <r>
      <rPr>
        <b/>
        <sz val="9"/>
        <color rgb="FF2E75B6"/>
        <rFont val="Cambria"/>
        <charset val="1"/>
      </rPr>
      <t>48</t>
    </r>
  </si>
  <si>
    <t>يجب إهلاك المكونات المهمة ذات العمر المختلف بشكل منفصل</t>
  </si>
  <si>
    <r>
      <rPr>
        <b/>
        <sz val="9"/>
        <color rgb="FF2E75B6"/>
        <rFont val="Lohit Devanagari"/>
        <family val="2"/>
      </rPr>
      <t xml:space="preserve">مادة </t>
    </r>
    <r>
      <rPr>
        <b/>
        <sz val="9"/>
        <color rgb="FF2E75B6"/>
        <rFont val="Cambria"/>
        <charset val="1"/>
      </rPr>
      <t>43</t>
    </r>
  </si>
  <si>
    <t>طريقة الإهلاك يجب أن تعكس النمط المتوقع لاستهلاك المنفعة الاقتصادية</t>
  </si>
  <si>
    <r>
      <rPr>
        <b/>
        <sz val="9"/>
        <color rgb="FF2E75B6"/>
        <rFont val="Lohit Devanagari"/>
        <family val="2"/>
      </rPr>
      <t xml:space="preserve">مادة </t>
    </r>
    <r>
      <rPr>
        <b/>
        <sz val="9"/>
        <color rgb="FF2E75B6"/>
        <rFont val="Cambria"/>
        <charset val="1"/>
      </rPr>
      <t>60</t>
    </r>
  </si>
  <si>
    <t>يتوقف الإهلاك عند تصنيف الأصل كمُعَد للبيع أو عند الإخراج من الخدمة</t>
  </si>
  <si>
    <t>العملة المستخدمة في المصنف</t>
  </si>
  <si>
    <t>جنيه مصري</t>
  </si>
  <si>
    <t>يمكن تغييرها إلى أي عملة؛ الحسابات رقمية وتنسيق العرض عام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</si>
</sst>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;\-"/>
    <numFmt numFmtId="165" formatCode="0.0%"/>
    <numFmt numFmtId="166" formatCode="yyyy\-mm\-dd"/>
  </numFmts>
  <fonts count="39">
    <font>
      <sz val="11"/>
      <color theme="1"/>
      <name val="Calibri"/>
      <family val="2"/>
      <charset val="1"/>
    </font>
    <font>
      <b/>
      <sz val="16"/>
      <color rgb="FF1F4E79"/>
      <name val="Arial"/>
      <charset val="1"/>
    </font>
    <font>
      <b/>
      <sz val="12"/>
      <color rgb="FF2E75B6"/>
      <name val="Arial"/>
      <charset val="1"/>
    </font>
    <font>
      <sz val="11"/>
      <color theme="1"/>
      <name val="Lohit Devanagari"/>
      <family val="2"/>
    </font>
    <font>
      <b/>
      <sz val="14"/>
      <color rgb="FF1F4E79"/>
      <name val="Arial"/>
      <charset val="1"/>
    </font>
    <font>
      <b/>
      <sz val="10"/>
      <color rgb="FFC00000"/>
      <name val="Arial"/>
      <charset val="1"/>
    </font>
    <font>
      <b/>
      <sz val="11"/>
      <color rgb="FFFFFFFF"/>
      <name val="Arial"/>
      <charset val="1"/>
    </font>
    <font>
      <b/>
      <sz val="11"/>
      <color rgb="FF006100"/>
      <name val="Lohit Devanagari"/>
      <family val="2"/>
    </font>
    <font>
      <b/>
      <sz val="11"/>
      <color rgb="FF1F4E79"/>
      <name val="Lohit Devanagari"/>
      <family val="2"/>
    </font>
    <font>
      <b/>
      <sz val="11"/>
      <color rgb="FF1F4E79"/>
      <name val="Cambria"/>
      <charset val="1"/>
    </font>
    <font>
      <b/>
      <sz val="12"/>
      <color rgb="FFFFFFFF"/>
      <name val="Arial"/>
      <charset val="1"/>
    </font>
    <font>
      <b/>
      <sz val="11"/>
      <color rgb="FFC65911"/>
      <name val="Lohit Devanagari"/>
      <family val="2"/>
    </font>
    <font>
      <b/>
      <sz val="14"/>
      <color rgb="FF1F4E79"/>
      <name val="Cambria"/>
      <charset val="1"/>
    </font>
    <font>
      <b/>
      <sz val="14"/>
      <color rgb="FFC65911"/>
      <name val="Cambria"/>
      <charset val="1"/>
    </font>
    <font>
      <b/>
      <sz val="14"/>
      <color rgb="FF006100"/>
      <name val="Cambria"/>
      <charset val="1"/>
    </font>
    <font>
      <b/>
      <sz val="11"/>
      <color rgb="FF7030A0"/>
      <name val="Lohit Devanagari"/>
      <family val="2"/>
    </font>
    <font>
      <b/>
      <sz val="11"/>
      <color rgb="FFC00000"/>
      <name val="Lohit Devanagari"/>
      <family val="2"/>
    </font>
    <font>
      <b/>
      <sz val="11"/>
      <color rgb="FF0070C0"/>
      <name val="Lohit Devanagari"/>
      <family val="2"/>
    </font>
    <font>
      <b/>
      <sz val="14"/>
      <color rgb="FF7030A0"/>
      <name val="Cambria"/>
      <charset val="1"/>
    </font>
    <font>
      <b/>
      <sz val="14"/>
      <color rgb="FFC00000"/>
      <name val="Cambria"/>
      <charset val="1"/>
    </font>
    <font>
      <b/>
      <sz val="14"/>
      <color rgb="FF0070C0"/>
      <name val="Cambria"/>
      <charset val="1"/>
    </font>
    <font>
      <b/>
      <sz val="11"/>
      <name val="Arial"/>
      <charset val="1"/>
    </font>
    <font>
      <sz val="10"/>
      <name val="Arial"/>
      <charset val="1"/>
    </font>
    <font>
      <b/>
      <sz val="10"/>
      <color rgb="FF006100"/>
      <name val="Lohit Devanagari"/>
      <family val="2"/>
    </font>
    <font>
      <sz val="9"/>
      <color rgb="FF666666"/>
      <name val="Arial"/>
      <charset val="1"/>
    </font>
    <font>
      <i/>
      <sz val="10"/>
      <color rgb="FF666666"/>
      <name val="Arial"/>
      <charset val="1"/>
    </font>
    <font>
      <b/>
      <sz val="11"/>
      <color rgb="FF9C5700"/>
      <name val="Lohit Devanagari"/>
      <family val="2"/>
    </font>
    <font>
      <b/>
      <sz val="11"/>
      <name val="Cambria"/>
      <charset val="1"/>
    </font>
    <font>
      <b/>
      <sz val="11"/>
      <color rgb="FF006100"/>
      <name val="Cambria"/>
      <charset val="1"/>
    </font>
    <font>
      <b/>
      <sz val="11"/>
      <color rgb="FF9C5700"/>
      <name val="Cambria"/>
      <charset val="1"/>
    </font>
    <font>
      <b/>
      <sz val="11"/>
      <color rgb="FF9C0006"/>
      <name val="Cambria"/>
      <charset val="1"/>
    </font>
    <font>
      <sz val="9"/>
      <name val="Arial"/>
      <charset val="1"/>
    </font>
    <font>
      <b/>
      <sz val="12"/>
      <color rgb="FF006100"/>
      <name val="Cambria"/>
      <charset val="1"/>
    </font>
    <font>
      <b/>
      <sz val="9"/>
      <color rgb="FF2E75B6"/>
      <name val="Lohit Devanagari"/>
      <family val="2"/>
    </font>
    <font>
      <b/>
      <sz val="9"/>
      <color rgb="FF2E75B6"/>
      <name val="Cambria"/>
      <charset val="1"/>
    </font>
    <font>
      <b/>
      <sz val="11"/>
      <color rgb="FF0000FF"/>
      <name val="Lohit Devanagari"/>
      <family val="2"/>
    </font>
    <font>
      <sz val="11"/>
      <color rgb="FF0000FF"/>
      <name val="Lohit Devanagari"/>
      <family val="2"/>
    </font>
    <font>
      <sz val="10"/>
      <name val="Lohit Devanagari"/>
      <family val="2"/>
    </font>
    <font>
      <sz val="1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D6E4F0"/>
        <bgColor rgb="FFD6EAF8"/>
      </patternFill>
    </fill>
    <fill>
      <patternFill patternType="solid">
        <fgColor rgb="FF1F4E79"/>
        <bgColor rgb="FF003366"/>
      </patternFill>
    </fill>
    <fill>
      <patternFill patternType="solid">
        <fgColor rgb="FFF2F2F2"/>
        <bgColor rgb="FFE8F4FD"/>
      </patternFill>
    </fill>
    <fill>
      <patternFill patternType="solid">
        <fgColor rgb="FFC6EFCE"/>
        <bgColor rgb="FFE2EFDA"/>
      </patternFill>
    </fill>
    <fill>
      <patternFill patternType="solid">
        <fgColor rgb="FF2E75B6"/>
        <bgColor rgb="FF4472C4"/>
      </patternFill>
    </fill>
    <fill>
      <patternFill patternType="solid">
        <fgColor rgb="FFE8F4FD"/>
        <bgColor rgb="FFE7F3FF"/>
      </patternFill>
    </fill>
    <fill>
      <patternFill patternType="solid">
        <fgColor rgb="FFFFF2CC"/>
        <bgColor rgb="FFF2F2F2"/>
      </patternFill>
    </fill>
    <fill>
      <patternFill patternType="solid">
        <fgColor rgb="FFE2EFDA"/>
        <bgColor rgb="FFF2F2F2"/>
      </patternFill>
    </fill>
    <fill>
      <patternFill patternType="solid">
        <fgColor rgb="FFF3E5F5"/>
        <bgColor rgb="FFF2F2F2"/>
      </patternFill>
    </fill>
    <fill>
      <patternFill patternType="solid">
        <fgColor rgb="FFFFCDD2"/>
        <bgColor rgb="FFFFC7CE"/>
      </patternFill>
    </fill>
    <fill>
      <patternFill patternType="solid">
        <fgColor rgb="FFD6EAF8"/>
        <bgColor rgb="FFD6E4F0"/>
      </patternFill>
    </fill>
    <fill>
      <patternFill patternType="solid">
        <fgColor rgb="FFFFEB9C"/>
        <bgColor rgb="FFFFF2CC"/>
      </patternFill>
    </fill>
    <fill>
      <patternFill patternType="solid">
        <fgColor rgb="FFFFC7CE"/>
        <bgColor rgb="FFFFCDD2"/>
      </patternFill>
    </fill>
    <fill>
      <patternFill patternType="solid">
        <fgColor rgb="FFE7F3FF"/>
        <bgColor rgb="FFE8F4FD"/>
      </patternFill>
    </fill>
    <fill>
      <patternFill patternType="solid">
        <fgColor theme="8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16" fillId="11" borderId="0" xfId="0" applyFont="1" applyFill="1" applyBorder="1" applyAlignment="1">
      <alignment horizontal="center" vertical="center" wrapText="1"/>
    </xf>
    <xf numFmtId="0" fontId="15" fillId="10" borderId="0" xfId="0" applyFont="1" applyFill="1" applyBorder="1" applyAlignment="1">
      <alignment horizontal="center" vertical="center" wrapText="1"/>
    </xf>
    <xf numFmtId="164" fontId="14" fillId="9" borderId="0" xfId="0" applyNumberFormat="1" applyFont="1" applyFill="1" applyBorder="1" applyAlignment="1">
      <alignment horizontal="center" vertical="center" wrapText="1"/>
    </xf>
    <xf numFmtId="164" fontId="13" fillId="8" borderId="0" xfId="0" applyNumberFormat="1" applyFont="1" applyFill="1" applyBorder="1" applyAlignment="1">
      <alignment horizontal="center" vertical="center" wrapText="1"/>
    </xf>
    <xf numFmtId="164" fontId="12" fillId="7" borderId="0" xfId="0" applyNumberFormat="1" applyFont="1" applyFill="1" applyBorder="1" applyAlignment="1">
      <alignment horizontal="center" vertical="center" wrapText="1"/>
    </xf>
    <xf numFmtId="0" fontId="7" fillId="9" borderId="0" xfId="0" applyFont="1" applyFill="1" applyBorder="1" applyAlignment="1">
      <alignment horizontal="center" vertical="center" wrapText="1"/>
    </xf>
    <xf numFmtId="0" fontId="11" fillId="8" borderId="0" xfId="0" applyFont="1" applyFill="1" applyBorder="1" applyAlignment="1">
      <alignment horizontal="center" vertical="center" wrapText="1"/>
    </xf>
    <xf numFmtId="0" fontId="8" fillId="7" borderId="0" xfId="0" applyFont="1" applyFill="1" applyBorder="1" applyAlignment="1">
      <alignment horizontal="center" vertical="center" wrapText="1"/>
    </xf>
    <xf numFmtId="0" fontId="10" fillId="6" borderId="0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164" fontId="0" fillId="4" borderId="1" xfId="0" applyNumberFormat="1" applyFill="1" applyBorder="1" applyAlignment="1">
      <alignment horizontal="center" vertical="center" wrapText="1"/>
    </xf>
    <xf numFmtId="14" fontId="0" fillId="4" borderId="1" xfId="0" applyNumberFormat="1" applyFill="1" applyBorder="1" applyAlignment="1">
      <alignment horizontal="center" vertical="center" wrapText="1"/>
    </xf>
    <xf numFmtId="3" fontId="0" fillId="4" borderId="1" xfId="0" applyNumberForma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164" fontId="9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3" fontId="9" fillId="2" borderId="1" xfId="0" applyNumberFormat="1" applyFont="1" applyFill="1" applyBorder="1" applyAlignment="1">
      <alignment horizontal="center" vertical="center" wrapText="1"/>
    </xf>
    <xf numFmtId="2" fontId="0" fillId="4" borderId="1" xfId="0" applyNumberFormat="1" applyFill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 wrapText="1"/>
    </xf>
    <xf numFmtId="0" fontId="3" fillId="0" borderId="0" xfId="0" applyFont="1"/>
    <xf numFmtId="0" fontId="21" fillId="0" borderId="1" xfId="0" applyFont="1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 wrapText="1"/>
    </xf>
    <xf numFmtId="0" fontId="21" fillId="4" borderId="1" xfId="0" applyFont="1" applyFill="1" applyBorder="1" applyAlignment="1">
      <alignment horizontal="center" vertical="center" wrapText="1"/>
    </xf>
    <xf numFmtId="165" fontId="0" fillId="4" borderId="1" xfId="0" applyNumberFormat="1" applyFill="1" applyBorder="1" applyAlignment="1">
      <alignment horizontal="center" vertical="center" wrapText="1"/>
    </xf>
    <xf numFmtId="165" fontId="9" fillId="2" borderId="1" xfId="0" applyNumberFormat="1" applyFont="1" applyFill="1" applyBorder="1" applyAlignment="1">
      <alignment horizontal="center" vertical="center" wrapText="1"/>
    </xf>
    <xf numFmtId="0" fontId="22" fillId="4" borderId="1" xfId="0" applyFont="1" applyFill="1" applyBorder="1" applyAlignment="1">
      <alignment horizontal="left" vertical="center" wrapText="1"/>
    </xf>
    <xf numFmtId="0" fontId="23" fillId="5" borderId="1" xfId="0" applyFont="1" applyFill="1" applyBorder="1" applyAlignment="1">
      <alignment horizontal="center" vertical="center" wrapText="1"/>
    </xf>
    <xf numFmtId="0" fontId="22" fillId="0" borderId="1" xfId="0" applyFont="1" applyBorder="1" applyAlignment="1">
      <alignment horizontal="left" vertical="center" wrapText="1"/>
    </xf>
    <xf numFmtId="0" fontId="22" fillId="4" borderId="1" xfId="0" applyFont="1" applyFill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26" fillId="13" borderId="1" xfId="0" applyFont="1" applyFill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 wrapText="1"/>
    </xf>
    <xf numFmtId="0" fontId="28" fillId="5" borderId="1" xfId="0" applyFont="1" applyFill="1" applyBorder="1" applyAlignment="1">
      <alignment horizontal="center" vertical="center" wrapText="1"/>
    </xf>
    <xf numFmtId="0" fontId="29" fillId="13" borderId="1" xfId="0" applyFont="1" applyFill="1" applyBorder="1" applyAlignment="1">
      <alignment horizontal="center" vertical="center" wrapText="1"/>
    </xf>
    <xf numFmtId="0" fontId="30" fillId="14" borderId="1" xfId="0" applyFont="1" applyFill="1" applyBorder="1" applyAlignment="1">
      <alignment horizontal="center" vertical="center" wrapText="1"/>
    </xf>
    <xf numFmtId="166" fontId="27" fillId="0" borderId="1" xfId="0" applyNumberFormat="1" applyFont="1" applyBorder="1" applyAlignment="1">
      <alignment horizontal="center" vertical="center" wrapText="1"/>
    </xf>
    <xf numFmtId="164" fontId="21" fillId="2" borderId="1" xfId="0" applyNumberFormat="1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left" vertical="center" wrapText="1"/>
    </xf>
    <xf numFmtId="0" fontId="0" fillId="4" borderId="1" xfId="0" applyFont="1" applyFill="1" applyBorder="1" applyAlignment="1">
      <alignment horizontal="left" vertical="center" wrapText="1"/>
    </xf>
    <xf numFmtId="0" fontId="31" fillId="4" borderId="1" xfId="0" applyFont="1" applyFill="1" applyBorder="1" applyAlignment="1">
      <alignment horizontal="center" vertical="center" wrapText="1"/>
    </xf>
    <xf numFmtId="0" fontId="31" fillId="4" borderId="1" xfId="0" applyFont="1" applyFill="1" applyBorder="1" applyAlignment="1">
      <alignment horizontal="left" vertical="center" wrapText="1"/>
    </xf>
    <xf numFmtId="0" fontId="31" fillId="0" borderId="1" xfId="0" applyFont="1" applyBorder="1" applyAlignment="1">
      <alignment horizontal="center" vertical="center" wrapText="1"/>
    </xf>
    <xf numFmtId="0" fontId="31" fillId="0" borderId="1" xfId="0" applyFont="1" applyBorder="1" applyAlignment="1">
      <alignment horizontal="left" vertical="center" wrapText="1"/>
    </xf>
    <xf numFmtId="0" fontId="32" fillId="0" borderId="1" xfId="0" applyFont="1" applyBorder="1" applyAlignment="1">
      <alignment horizontal="center" vertical="center" wrapText="1"/>
    </xf>
    <xf numFmtId="0" fontId="33" fillId="15" borderId="1" xfId="0" applyFont="1" applyFill="1" applyBorder="1" applyAlignment="1">
      <alignment horizontal="center" vertical="center" wrapText="1"/>
    </xf>
    <xf numFmtId="0" fontId="35" fillId="0" borderId="0" xfId="0" applyFont="1"/>
    <xf numFmtId="0" fontId="36" fillId="0" borderId="0" xfId="0" applyFont="1"/>
    <xf numFmtId="0" fontId="17" fillId="12" borderId="0" xfId="0" applyFont="1" applyFill="1" applyBorder="1" applyAlignment="1">
      <alignment horizontal="center" vertical="center" wrapText="1"/>
    </xf>
    <xf numFmtId="164" fontId="18" fillId="10" borderId="0" xfId="0" applyNumberFormat="1" applyFont="1" applyFill="1" applyBorder="1" applyAlignment="1">
      <alignment horizontal="center" vertical="center" wrapText="1"/>
    </xf>
    <xf numFmtId="164" fontId="19" fillId="11" borderId="0" xfId="0" applyNumberFormat="1" applyFont="1" applyFill="1" applyBorder="1" applyAlignment="1">
      <alignment horizontal="center" vertical="center" wrapText="1"/>
    </xf>
    <xf numFmtId="164" fontId="20" fillId="12" borderId="0" xfId="0" applyNumberFormat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left" vertical="center" wrapText="1"/>
    </xf>
    <xf numFmtId="0" fontId="25" fillId="0" borderId="0" xfId="0" applyFont="1" applyBorder="1" applyAlignment="1">
      <alignment horizontal="center" vertical="center" wrapText="1"/>
    </xf>
    <xf numFmtId="0" fontId="5" fillId="13" borderId="0" xfId="0" applyFont="1" applyFill="1" applyBorder="1" applyAlignment="1">
      <alignment horizontal="center" vertical="center" wrapText="1"/>
    </xf>
    <xf numFmtId="0" fontId="22" fillId="0" borderId="1" xfId="0" applyFont="1" applyBorder="1" applyAlignment="1">
      <alignment horizontal="left" vertical="center" wrapText="1"/>
    </xf>
    <xf numFmtId="0" fontId="22" fillId="4" borderId="1" xfId="0" applyFont="1" applyFill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1" fillId="16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</cellXfs>
  <cellStyles count="1">
    <cellStyle name="عادي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E2EFDA"/>
      <rgbColor rgb="FFFF00FF"/>
      <rgbColor rgb="FF00FFFF"/>
      <rgbColor rgb="FF9C0006"/>
      <rgbColor rgb="FF006100"/>
      <rgbColor rgb="FF000080"/>
      <rgbColor rgb="FF666666"/>
      <rgbColor rgb="FF800080"/>
      <rgbColor rgb="FF2E75B6"/>
      <rgbColor rgb="FFB4B4B4"/>
      <rgbColor rgb="FF878787"/>
      <rgbColor rgb="FF5B9BD5"/>
      <rgbColor rgb="FF7030A0"/>
      <rgbColor rgb="FFFFF2CC"/>
      <rgbColor rgb="FFD6EAF8"/>
      <rgbColor rgb="FF660066"/>
      <rgbColor rgb="FFC65911"/>
      <rgbColor rgb="FF0070C0"/>
      <rgbColor rgb="FFD9D9D9"/>
      <rgbColor rgb="FF000080"/>
      <rgbColor rgb="FFFF00FF"/>
      <rgbColor rgb="FFF2F2F2"/>
      <rgbColor rgb="FF00FFFF"/>
      <rgbColor rgb="FF800080"/>
      <rgbColor rgb="FF800000"/>
      <rgbColor rgb="FF008080"/>
      <rgbColor rgb="FF0000FF"/>
      <rgbColor rgb="FF00CCFF"/>
      <rgbColor rgb="FFE7F3FF"/>
      <rgbColor rgb="FFC6EFCE"/>
      <rgbColor rgb="FFFFEB9C"/>
      <rgbColor rgb="FFD6E4F0"/>
      <rgbColor rgb="FFFFCDD2"/>
      <rgbColor rgb="FFF3E5F5"/>
      <rgbColor rgb="FFFFC7CE"/>
      <rgbColor rgb="FF4472C4"/>
      <rgbColor rgb="FF4BACC6"/>
      <rgbColor rgb="FF9BBB59"/>
      <rgbColor rgb="FFFFC000"/>
      <rgbColor rgb="FFE8F4FD"/>
      <rgbColor rgb="FFED7D31"/>
      <rgbColor rgb="FF8064A2"/>
      <rgbColor rgb="FFA5A5A5"/>
      <rgbColor rgb="FF003366"/>
      <rgbColor rgb="FF4F81BD"/>
      <rgbColor rgb="FF003300"/>
      <rgbColor rgb="FF333300"/>
      <rgbColor rgb="FF9C5700"/>
      <rgbColor rgb="FFC0504D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 /><Relationship Id="rId3" Type="http://schemas.openxmlformats.org/officeDocument/2006/relationships/worksheet" Target="worksheets/sheet3.xml" /><Relationship Id="rId7" Type="http://schemas.openxmlformats.org/officeDocument/2006/relationships/worksheet" Target="worksheets/sheet7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calcChain" Target="calcChain.xml" /><Relationship Id="rId5" Type="http://schemas.openxmlformats.org/officeDocument/2006/relationships/worksheet" Target="worksheets/sheet5.xml" /><Relationship Id="rId10" Type="http://schemas.openxmlformats.org/officeDocument/2006/relationships/sharedStrings" Target="sharedStrings.xml" /><Relationship Id="rId4" Type="http://schemas.openxmlformats.org/officeDocument/2006/relationships/worksheet" Target="worksheets/sheet4.xml" /><Relationship Id="rId9" Type="http://schemas.openxmlformats.org/officeDocument/2006/relationships/styles" Target="styles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ar-EG" sz="1800" b="1" strike="noStrike" spc="-1">
                <a:solidFill>
                  <a:srgbClr val="000000"/>
                </a:solidFill>
                <a:latin typeface="Calibri"/>
              </a:rPr>
              <a:t>توزيع الأصول حسب الفئة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'الملخص والتقارير'!D14</c:f>
              <c:strCache>
                <c:ptCount val="1"/>
                <c:pt idx="0">
                  <c:v>التكلفة الإجمالية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</c:dPt>
          <c:dPt>
            <c:idx val="4"/>
            <c:bubble3D val="0"/>
            <c:spPr>
              <a:solidFill>
                <a:srgbClr val="4BACC6"/>
              </a:solidFill>
              <a:ln w="0">
                <a:noFill/>
              </a:ln>
            </c:spPr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ar-EG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ar-EG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ar-EG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ar-EG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ar-EG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ar-EG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'الملخص والتقارير'!$B$15:$B$19</c:f>
              <c:strCache>
                <c:ptCount val="5"/>
                <c:pt idx="0">
                  <c:v>معدات المطبخ</c:v>
                </c:pt>
                <c:pt idx="1">
                  <c:v>أنظمة تقنية</c:v>
                </c:pt>
                <c:pt idx="2">
                  <c:v>أثاث وديكور</c:v>
                </c:pt>
                <c:pt idx="3">
                  <c:v>تجهيزات</c:v>
                </c:pt>
                <c:pt idx="4">
                  <c:v>مركبات</c:v>
                </c:pt>
              </c:strCache>
            </c:strRef>
          </c:cat>
          <c:val>
            <c:numRef>
              <c:f>'الملخص والتقارير'!$D$15:$D$19</c:f>
              <c:numCache>
                <c:formatCode>#,##0.00;\(#,##0.00\);\-</c:formatCode>
                <c:ptCount val="5"/>
                <c:pt idx="0">
                  <c:v>163000</c:v>
                </c:pt>
                <c:pt idx="1">
                  <c:v>23000</c:v>
                </c:pt>
                <c:pt idx="2">
                  <c:v>95000</c:v>
                </c:pt>
                <c:pt idx="3">
                  <c:v>65000</c:v>
                </c:pt>
                <c:pt idx="4">
                  <c:v>85000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55-694F-9593-6A1B1C8162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ar-EG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ar-EG" sz="1800" b="1" strike="noStrike" spc="-1">
                <a:solidFill>
                  <a:srgbClr val="000000"/>
                </a:solidFill>
                <a:latin typeface="Calibri"/>
              </a:rPr>
              <a:t>الإهلاك التراكمي حسب الفئة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'الملخص والتقارير'!E14</c:f>
              <c:strCache>
                <c:ptCount val="1"/>
                <c:pt idx="0">
                  <c:v>الإهلاك التراكمي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4472C4"/>
              </a:solidFill>
              <a:ln w="0">
                <a:noFill/>
              </a:ln>
            </c:spPr>
          </c:dPt>
          <c:dPt>
            <c:idx val="1"/>
            <c:invertIfNegative val="0"/>
            <c:bubble3D val="0"/>
            <c:spPr>
              <a:solidFill>
                <a:srgbClr val="ED7D31"/>
              </a:solidFill>
              <a:ln w="0">
                <a:noFill/>
              </a:ln>
            </c:spPr>
          </c:dPt>
          <c:dPt>
            <c:idx val="2"/>
            <c:invertIfNegative val="0"/>
            <c:bubble3D val="0"/>
            <c:spPr>
              <a:solidFill>
                <a:srgbClr val="A5A5A5"/>
              </a:solidFill>
              <a:ln w="0">
                <a:noFill/>
              </a:ln>
            </c:spPr>
          </c:dPt>
          <c:dPt>
            <c:idx val="3"/>
            <c:invertIfNegative val="0"/>
            <c:bubble3D val="0"/>
            <c:spPr>
              <a:solidFill>
                <a:srgbClr val="FFC000"/>
              </a:solidFill>
              <a:ln w="0">
                <a:noFill/>
              </a:ln>
            </c:spPr>
          </c:dPt>
          <c:dPt>
            <c:idx val="4"/>
            <c:invertIfNegative val="0"/>
            <c:bubble3D val="0"/>
            <c:spPr>
              <a:solidFill>
                <a:srgbClr val="5B9BD5"/>
              </a:solidFill>
              <a:ln w="0">
                <a:noFill/>
              </a:ln>
            </c:spPr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ar-EG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ar-EG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ar-EG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</c:dLbl>
            <c:dLbl>
              <c:idx val="3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ar-EG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</c:dLbl>
            <c:dLbl>
              <c:idx val="4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ar-EG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ar-EG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'الملخص والتقارير'!$B$15:$B$19</c:f>
              <c:strCache>
                <c:ptCount val="5"/>
                <c:pt idx="0">
                  <c:v>معدات المطبخ</c:v>
                </c:pt>
                <c:pt idx="1">
                  <c:v>أنظمة تقنية</c:v>
                </c:pt>
                <c:pt idx="2">
                  <c:v>أثاث وديكور</c:v>
                </c:pt>
                <c:pt idx="3">
                  <c:v>تجهيزات</c:v>
                </c:pt>
                <c:pt idx="4">
                  <c:v>مركبات</c:v>
                </c:pt>
              </c:strCache>
            </c:strRef>
          </c:cat>
          <c:val>
            <c:numRef>
              <c:f>'الملخص والتقارير'!$E$15:$E$19</c:f>
              <c:numCache>
                <c:formatCode>#,##0.00;\(#,##0.00\);\-</c:formatCode>
                <c:ptCount val="5"/>
                <c:pt idx="0">
                  <c:v>49714.781746031753</c:v>
                </c:pt>
                <c:pt idx="1">
                  <c:v>8899.9999999999982</c:v>
                </c:pt>
                <c:pt idx="2">
                  <c:v>23628.273809523809</c:v>
                </c:pt>
                <c:pt idx="3">
                  <c:v>9816.6666666666642</c:v>
                </c:pt>
                <c:pt idx="4">
                  <c:v>28000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A7-1C45-A9C5-09A6B6EF20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2734438"/>
        <c:axId val="49558941"/>
      </c:barChart>
      <c:catAx>
        <c:axId val="5273443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ar-EG" sz="1000" b="1" strike="noStrike" spc="-1">
                    <a:solidFill>
                      <a:srgbClr val="000000"/>
                    </a:solidFill>
                    <a:latin typeface="Calibri"/>
                  </a:rPr>
                  <a:t>الفئة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ar-EG"/>
          </a:p>
        </c:txPr>
        <c:crossAx val="49558941"/>
        <c:crosses val="autoZero"/>
        <c:auto val="1"/>
        <c:lblAlgn val="ctr"/>
        <c:lblOffset val="100"/>
        <c:noMultiLvlLbl val="0"/>
      </c:catAx>
      <c:valAx>
        <c:axId val="4955894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ar-EG" sz="1000" b="1" strike="noStrike" spc="-1">
                    <a:solidFill>
                      <a:srgbClr val="000000"/>
                    </a:solidFill>
                    <a:latin typeface="Calibri"/>
                  </a:rPr>
                  <a:t>القيمة (ريال)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;\(#,##0.0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ar-EG"/>
          </a:p>
        </c:txPr>
        <c:crossAx val="5273443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ar-EG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ar-EG" sz="1800" b="1" strike="noStrike" spc="-1">
                <a:solidFill>
                  <a:srgbClr val="000000"/>
                </a:solidFill>
                <a:latin typeface="Calibri"/>
              </a:rPr>
              <a:t>تطور القيمة الدفترية عبر الزمن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'القيمة الدفترية عبر الزمن'!H5</c:f>
              <c:strCache>
                <c:ptCount val="1"/>
                <c:pt idx="0">
                  <c:v>الإجمالي</c:v>
                </c:pt>
              </c:strCache>
            </c:strRef>
          </c:tx>
          <c:spPr>
            <a:ln w="24840">
              <a:solidFill>
                <a:srgbClr val="1F4E79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ar-EG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'القيمة الدفترية عبر الزمن'!$B$6:$B$23</c:f>
              <c:strCache>
                <c:ptCount val="18"/>
                <c:pt idx="0">
                  <c:v>يناير 2024</c:v>
                </c:pt>
                <c:pt idx="1">
                  <c:v>فبراير 2024</c:v>
                </c:pt>
                <c:pt idx="2">
                  <c:v>مارس 2024</c:v>
                </c:pt>
                <c:pt idx="3">
                  <c:v>أبريل 2024</c:v>
                </c:pt>
                <c:pt idx="4">
                  <c:v>مايو 2024</c:v>
                </c:pt>
                <c:pt idx="5">
                  <c:v>يونيو 2024</c:v>
                </c:pt>
                <c:pt idx="6">
                  <c:v>يوليو 2024</c:v>
                </c:pt>
                <c:pt idx="7">
                  <c:v>أغسطس 2024</c:v>
                </c:pt>
                <c:pt idx="8">
                  <c:v>سبتمبر 2024</c:v>
                </c:pt>
                <c:pt idx="9">
                  <c:v>أكتوبر 2024</c:v>
                </c:pt>
                <c:pt idx="10">
                  <c:v>نوفمبر 2024</c:v>
                </c:pt>
                <c:pt idx="11">
                  <c:v>ديسمبر 2024</c:v>
                </c:pt>
                <c:pt idx="12">
                  <c:v>يناير 2025</c:v>
                </c:pt>
                <c:pt idx="13">
                  <c:v>فبراير 2025</c:v>
                </c:pt>
                <c:pt idx="14">
                  <c:v>مارس 2025</c:v>
                </c:pt>
                <c:pt idx="15">
                  <c:v>أبريل 2025</c:v>
                </c:pt>
                <c:pt idx="16">
                  <c:v>مايو 2025</c:v>
                </c:pt>
                <c:pt idx="17">
                  <c:v>يونيو 2025</c:v>
                </c:pt>
              </c:strCache>
            </c:strRef>
          </c:cat>
          <c:val>
            <c:numRef>
              <c:f>'القيمة الدفترية عبر الزمن'!$H$6:$H$22</c:f>
              <c:numCache>
                <c:formatCode>#,##0.00;\(#,##0.00\);\-</c:formatCode>
                <c:ptCount val="17"/>
                <c:pt idx="0">
                  <c:v>431000</c:v>
                </c:pt>
                <c:pt idx="1">
                  <c:v>431000</c:v>
                </c:pt>
                <c:pt idx="2">
                  <c:v>431000</c:v>
                </c:pt>
                <c:pt idx="3">
                  <c:v>428200</c:v>
                </c:pt>
                <c:pt idx="4">
                  <c:v>431000</c:v>
                </c:pt>
                <c:pt idx="5">
                  <c:v>431000</c:v>
                </c:pt>
                <c:pt idx="6">
                  <c:v>407500.00000000006</c:v>
                </c:pt>
                <c:pt idx="7">
                  <c:v>416750</c:v>
                </c:pt>
                <c:pt idx="8">
                  <c:v>404399.99999999994</c:v>
                </c:pt>
                <c:pt idx="9">
                  <c:v>431000</c:v>
                </c:pt>
                <c:pt idx="10">
                  <c:v>398333.33333333337</c:v>
                </c:pt>
                <c:pt idx="11">
                  <c:v>413285.71428571432</c:v>
                </c:pt>
                <c:pt idx="12">
                  <c:v>431000</c:v>
                </c:pt>
                <c:pt idx="13">
                  <c:v>431000</c:v>
                </c:pt>
                <c:pt idx="14">
                  <c:v>431000</c:v>
                </c:pt>
                <c:pt idx="15">
                  <c:v>431000</c:v>
                </c:pt>
                <c:pt idx="16">
                  <c:v>431000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883-384F-835B-15C5C40A58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49394880"/>
        <c:axId val="15960129"/>
      </c:lineChart>
      <c:catAx>
        <c:axId val="4939488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ar-EG" sz="1000" b="1" strike="noStrike" spc="-1">
                    <a:solidFill>
                      <a:srgbClr val="000000"/>
                    </a:solidFill>
                    <a:latin typeface="Calibri"/>
                  </a:rPr>
                  <a:t>الشهر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ar-EG"/>
          </a:p>
        </c:txPr>
        <c:crossAx val="15960129"/>
        <c:crosses val="autoZero"/>
        <c:auto val="1"/>
        <c:lblAlgn val="ctr"/>
        <c:lblOffset val="100"/>
        <c:noMultiLvlLbl val="0"/>
      </c:catAx>
      <c:valAx>
        <c:axId val="1596012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ar-EG" sz="1000" b="1" strike="noStrike" spc="-1">
                    <a:solidFill>
                      <a:srgbClr val="000000"/>
                    </a:solidFill>
                    <a:latin typeface="Calibri"/>
                  </a:rPr>
                  <a:t>القيمة الدفترية (ريال)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;\(#,##0.0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ar-EG"/>
          </a:p>
        </c:txPr>
        <c:crossAx val="4939488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ar-EG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 /><Relationship Id="rId1" Type="http://schemas.openxmlformats.org/officeDocument/2006/relationships/chart" Target="../charts/chart1.xml" 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10392</xdr:colOff>
      <xdr:row>30</xdr:row>
      <xdr:rowOff>9171</xdr:rowOff>
    </xdr:from>
    <xdr:to>
      <xdr:col>4</xdr:col>
      <xdr:colOff>1</xdr:colOff>
      <xdr:row>48</xdr:row>
      <xdr:rowOff>147886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30</xdr:row>
      <xdr:rowOff>12290</xdr:rowOff>
    </xdr:from>
    <xdr:to>
      <xdr:col>6</xdr:col>
      <xdr:colOff>1271846</xdr:colOff>
      <xdr:row>48</xdr:row>
      <xdr:rowOff>167628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</xdr:row>
      <xdr:rowOff>61200</xdr:rowOff>
    </xdr:from>
    <xdr:to>
      <xdr:col>6</xdr:col>
      <xdr:colOff>78840</xdr:colOff>
      <xdr:row>45</xdr:row>
      <xdr:rowOff>189720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 /><Relationship Id="rId1" Type="http://schemas.openxmlformats.org/officeDocument/2006/relationships/vmlDrawing" Target="../drawings/vmlDrawing1.v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19"/>
  <sheetViews>
    <sheetView zoomScaleNormal="100" workbookViewId="0">
      <selection activeCell="C27" sqref="C27"/>
    </sheetView>
  </sheetViews>
  <sheetFormatPr defaultColWidth="8.609375" defaultRowHeight="15"/>
  <cols>
    <col min="1" max="1" width="2.95703125" customWidth="1"/>
    <col min="2" max="2" width="34.97265625" customWidth="1"/>
    <col min="3" max="3" width="59.99609375" customWidth="1"/>
    <col min="4" max="4" width="2.95703125" customWidth="1"/>
  </cols>
  <sheetData>
    <row r="1" spans="2:3" ht="34.5" customHeight="1">
      <c r="B1" s="73" t="s">
        <v>0</v>
      </c>
      <c r="C1" s="73"/>
    </row>
    <row r="2" spans="2:3">
      <c r="B2" s="70"/>
      <c r="C2" s="70"/>
    </row>
    <row r="3" spans="2:3" ht="15" customHeight="1">
      <c r="B3" s="71" t="s">
        <v>1</v>
      </c>
      <c r="C3" s="71"/>
    </row>
    <row r="4" spans="2:3">
      <c r="B4" s="70"/>
      <c r="C4" s="70"/>
    </row>
    <row r="5" spans="2:3" ht="15" customHeight="1">
      <c r="B5" s="71" t="s">
        <v>2</v>
      </c>
      <c r="C5" s="71"/>
    </row>
    <row r="6" spans="2:3" ht="17.25">
      <c r="B6" s="70" t="s">
        <v>3</v>
      </c>
      <c r="C6" s="72" t="s">
        <v>4</v>
      </c>
    </row>
    <row r="7" spans="2:3" ht="17.25">
      <c r="B7" s="70" t="s">
        <v>5</v>
      </c>
      <c r="C7" s="72" t="s">
        <v>6</v>
      </c>
    </row>
    <row r="8" spans="2:3" ht="17.25">
      <c r="B8" s="70" t="s">
        <v>7</v>
      </c>
      <c r="C8" s="72" t="s">
        <v>8</v>
      </c>
    </row>
    <row r="9" spans="2:3" ht="17.25">
      <c r="B9" s="70" t="s">
        <v>9</v>
      </c>
      <c r="C9" s="72" t="s">
        <v>10</v>
      </c>
    </row>
    <row r="10" spans="2:3" ht="17.25">
      <c r="B10" s="70" t="s">
        <v>11</v>
      </c>
      <c r="C10" s="72" t="s">
        <v>12</v>
      </c>
    </row>
    <row r="11" spans="2:3">
      <c r="B11" s="70"/>
      <c r="C11" s="70"/>
    </row>
    <row r="12" spans="2:3" ht="15" customHeight="1">
      <c r="B12" s="71" t="s">
        <v>13</v>
      </c>
      <c r="C12" s="71"/>
    </row>
    <row r="13" spans="2:3" ht="17.25">
      <c r="B13" s="70" t="s">
        <v>14</v>
      </c>
      <c r="C13" s="72" t="s">
        <v>15</v>
      </c>
    </row>
    <row r="14" spans="2:3" ht="17.25">
      <c r="B14" s="70" t="s">
        <v>14</v>
      </c>
      <c r="C14" s="72" t="s">
        <v>16</v>
      </c>
    </row>
    <row r="15" spans="2:3" ht="17.25">
      <c r="B15" s="70" t="s">
        <v>14</v>
      </c>
      <c r="C15" s="72" t="s">
        <v>17</v>
      </c>
    </row>
    <row r="16" spans="2:3" ht="17.25">
      <c r="B16" s="70" t="s">
        <v>14</v>
      </c>
      <c r="C16" s="72" t="s">
        <v>18</v>
      </c>
    </row>
    <row r="17" spans="2:3">
      <c r="B17" s="70" t="s">
        <v>14</v>
      </c>
      <c r="C17" s="72" t="s">
        <v>19</v>
      </c>
    </row>
    <row r="18" spans="2:3">
      <c r="B18" s="70"/>
      <c r="C18" s="70"/>
    </row>
    <row r="19" spans="2:3" ht="15" customHeight="1">
      <c r="B19" s="71" t="s">
        <v>20</v>
      </c>
      <c r="C19" s="71"/>
    </row>
  </sheetData>
  <mergeCells count="5">
    <mergeCell ref="B1:C1"/>
    <mergeCell ref="B3:C3"/>
    <mergeCell ref="B5:C5"/>
    <mergeCell ref="B12:C12"/>
    <mergeCell ref="B19:C19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N101"/>
  <sheetViews>
    <sheetView topLeftCell="H1" zoomScaleNormal="100" workbookViewId="0">
      <selection activeCell="E6" sqref="E6"/>
    </sheetView>
  </sheetViews>
  <sheetFormatPr defaultColWidth="8.609375" defaultRowHeight="15"/>
  <cols>
    <col min="1" max="1" width="2.95703125" customWidth="1"/>
    <col min="2" max="2" width="4.9765625" customWidth="1"/>
    <col min="3" max="3" width="22.05859375" customWidth="1"/>
    <col min="4" max="4" width="16.0078125" customWidth="1"/>
    <col min="5" max="9" width="13.98828125" customWidth="1"/>
    <col min="10" max="10" width="11.97265625" customWidth="1"/>
    <col min="11" max="11" width="16.0078125" customWidth="1"/>
    <col min="12" max="13" width="13.98828125" customWidth="1"/>
    <col min="14" max="14" width="11.97265625" customWidth="1"/>
    <col min="15" max="15" width="2.95703125" customWidth="1"/>
  </cols>
  <sheetData>
    <row r="2" spans="2:14" ht="30" customHeight="1">
      <c r="B2" s="12" t="s">
        <v>21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</row>
    <row r="3" spans="2:14" ht="21.75" customHeight="1">
      <c r="B3" s="11" t="s">
        <v>22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</row>
    <row r="5" spans="2:14" ht="39.75" customHeight="1">
      <c r="B5" s="13" t="s">
        <v>23</v>
      </c>
      <c r="C5" s="13" t="s">
        <v>24</v>
      </c>
      <c r="D5" s="13" t="s">
        <v>25</v>
      </c>
      <c r="E5" s="13" t="s">
        <v>26</v>
      </c>
      <c r="F5" s="13" t="s">
        <v>27</v>
      </c>
      <c r="G5" s="13" t="s">
        <v>28</v>
      </c>
      <c r="H5" s="13" t="s">
        <v>29</v>
      </c>
      <c r="I5" s="13" t="s">
        <v>30</v>
      </c>
      <c r="J5" s="13" t="s">
        <v>31</v>
      </c>
      <c r="K5" s="13" t="s">
        <v>32</v>
      </c>
      <c r="L5" s="13" t="s">
        <v>33</v>
      </c>
      <c r="M5" s="13" t="s">
        <v>34</v>
      </c>
      <c r="N5" s="13" t="s">
        <v>35</v>
      </c>
    </row>
    <row r="6" spans="2:14">
      <c r="B6" s="14">
        <v>1</v>
      </c>
      <c r="C6" s="15" t="s">
        <v>36</v>
      </c>
      <c r="D6" s="16" t="s">
        <v>37</v>
      </c>
      <c r="E6" s="17">
        <v>60000</v>
      </c>
      <c r="F6" s="17">
        <v>5000</v>
      </c>
      <c r="G6" s="17">
        <f>IF(C6="","",MAX(0,E6-F6))</f>
        <v>55000</v>
      </c>
      <c r="H6" s="18">
        <v>45306</v>
      </c>
      <c r="I6" s="18">
        <v>45323</v>
      </c>
      <c r="J6" s="14">
        <v>8</v>
      </c>
      <c r="K6" s="16" t="s">
        <v>38</v>
      </c>
      <c r="L6" s="19">
        <f>IF(OR(C6="",J6&lt;=0),"",ROUND(100/J6,2))</f>
        <v>12.5</v>
      </c>
      <c r="M6" s="17">
        <f ca="1">IF(C6="","",IF(N6="مهلك",F6,MAX(F6,IF(I6&gt;TODAY(),E6,IF(K6="القسط الثابت",E6-G6*MIN(MAX(0,(YEAR(TODAY())-YEAR(I6))*12+MONTH(TODAY())-MONTH(I6)),J6*12)/(J6*12),IF(K6="القسط المتناقص",E6*(1-L6/100)^MIN(MAX(0,YEAR(TODAY())-YEAR(I6)),J6),IF(K6="وحدات الإنتاج",E6-G6*MIN(100,L6*MAX(0,YEAR(TODAY())-YEAR(I6)))/100,E6)))))))</f>
        <v>42239.583333333328</v>
      </c>
      <c r="N6" s="20" t="s">
        <v>39</v>
      </c>
    </row>
    <row r="7" spans="2:14">
      <c r="B7" s="21">
        <v>2</v>
      </c>
      <c r="C7" s="22" t="s">
        <v>40</v>
      </c>
      <c r="D7" s="23" t="s">
        <v>37</v>
      </c>
      <c r="E7" s="24">
        <v>18000</v>
      </c>
      <c r="F7" s="24">
        <v>2000</v>
      </c>
      <c r="G7" s="24">
        <f>IF(C7="","",MAX(0,E7-F7))</f>
        <v>16000</v>
      </c>
      <c r="H7" s="25">
        <v>45311</v>
      </c>
      <c r="I7" s="25">
        <v>45323</v>
      </c>
      <c r="J7" s="21">
        <v>6</v>
      </c>
      <c r="K7" s="23" t="s">
        <v>38</v>
      </c>
      <c r="L7" s="26">
        <f>IF(OR(C7="",J7&lt;=0),"",ROUND(100/J7,2))</f>
        <v>16.670000000000002</v>
      </c>
      <c r="M7" s="24">
        <f ca="1">IF(C7="","",IF(N7="مهلك",F7,MAX(F7,IF(I7&gt;TODAY(),E7,IF(K7="القسط الثابت",E7-G7*MIN(MAX(0,(YEAR(TODAY())-YEAR(I7))*12+MONTH(TODAY())-MONTH(I7)),J7*12)/(J7*12),IF(K7="القسط المتناقص",E7*(1-L7/100)^MIN(MAX(0,YEAR(TODAY())-YEAR(I7)),J7),IF(K7="وحدات الإنتاج",E7-G7*MIN(100,L7*MAX(0,YEAR(TODAY())-YEAR(I7)))/100,E7)))))))</f>
        <v>11111.111111111111</v>
      </c>
      <c r="N7" s="20" t="s">
        <v>39</v>
      </c>
    </row>
    <row r="8" spans="2:14">
      <c r="B8" s="14">
        <v>3</v>
      </c>
      <c r="C8" s="15" t="s">
        <v>41</v>
      </c>
      <c r="D8" s="16" t="s">
        <v>37</v>
      </c>
      <c r="E8" s="17">
        <v>25000</v>
      </c>
      <c r="F8" s="17">
        <v>3000</v>
      </c>
      <c r="G8" s="17">
        <f>IF(C8="","",MAX(0,E8-F8))</f>
        <v>22000</v>
      </c>
      <c r="H8" s="18">
        <v>45332</v>
      </c>
      <c r="I8" s="18">
        <v>45352</v>
      </c>
      <c r="J8" s="14">
        <v>7</v>
      </c>
      <c r="K8" s="16" t="s">
        <v>38</v>
      </c>
      <c r="L8" s="19">
        <f>IF(OR(C8="",J8&lt;=0),"",ROUND(100/J8,2))</f>
        <v>14.29</v>
      </c>
      <c r="M8" s="17">
        <f ca="1">IF(C8="","",IF(N8="مهلك",F8,MAX(F8,IF(I8&gt;TODAY(),E8,IF(K8="القسط الثابت",E8-G8*MIN(MAX(0,(YEAR(TODAY())-YEAR(I8))*12+MONTH(TODAY())-MONTH(I8)),J8*12)/(J8*12),IF(K8="القسط المتناقص",E8*(1-L8/100)^MIN(MAX(0,YEAR(TODAY())-YEAR(I8)),J8),IF(K8="وحدات الإنتاج",E8-G8*MIN(100,L8*MAX(0,YEAR(TODAY())-YEAR(I8)))/100,E8)))))))</f>
        <v>17142.857142857145</v>
      </c>
      <c r="N8" s="20" t="s">
        <v>39</v>
      </c>
    </row>
    <row r="9" spans="2:14">
      <c r="B9" s="21">
        <v>4</v>
      </c>
      <c r="C9" s="22" t="s">
        <v>42</v>
      </c>
      <c r="D9" s="23" t="s">
        <v>37</v>
      </c>
      <c r="E9" s="24">
        <v>32000</v>
      </c>
      <c r="F9" s="24">
        <v>4000</v>
      </c>
      <c r="G9" s="24">
        <f>IF(C9="","",MAX(0,E9-F9))</f>
        <v>28000</v>
      </c>
      <c r="H9" s="25">
        <v>45356</v>
      </c>
      <c r="I9" s="25">
        <v>45366</v>
      </c>
      <c r="J9" s="21">
        <v>10</v>
      </c>
      <c r="K9" s="23" t="s">
        <v>38</v>
      </c>
      <c r="L9" s="26">
        <f>IF(OR(C9="",J9&lt;=0),"",ROUND(100/J9,2))</f>
        <v>10</v>
      </c>
      <c r="M9" s="24">
        <f ca="1">IF(C9="","",IF(N9="مهلك",F9,MAX(F9,IF(I9&gt;TODAY(),E9,IF(K9="القسط الثابت",E9-G9*MIN(MAX(0,(YEAR(TODAY())-YEAR(I9))*12+MONTH(TODAY())-MONTH(I9)),J9*12)/(J9*12),IF(K9="القسط المتناقص",E9*(1-L9/100)^MIN(MAX(0,YEAR(TODAY())-YEAR(I9)),J9),IF(K9="وحدات الإنتاج",E9-G9*MIN(100,L9*MAX(0,YEAR(TODAY())-YEAR(I9)))/100,E9)))))))</f>
        <v>25000</v>
      </c>
      <c r="N9" s="20" t="s">
        <v>39</v>
      </c>
    </row>
    <row r="10" spans="2:14" ht="17.25">
      <c r="B10" s="14">
        <v>5</v>
      </c>
      <c r="C10" s="15" t="s">
        <v>43</v>
      </c>
      <c r="D10" s="16" t="s">
        <v>44</v>
      </c>
      <c r="E10" s="17">
        <v>8000</v>
      </c>
      <c r="F10" s="17">
        <v>500</v>
      </c>
      <c r="G10" s="17">
        <f>IF(C10="","",MAX(0,E10-F10))</f>
        <v>7500</v>
      </c>
      <c r="H10" s="18">
        <v>45292</v>
      </c>
      <c r="I10" s="18">
        <v>45296</v>
      </c>
      <c r="J10" s="14">
        <v>4</v>
      </c>
      <c r="K10" s="16" t="s">
        <v>45</v>
      </c>
      <c r="L10" s="19">
        <f>IF(OR(C10="",J10&lt;=0),"",ROUND(100/J10,2))</f>
        <v>25</v>
      </c>
      <c r="M10" s="17">
        <f ca="1">IF(C10="","",IF(N10="مهلك",F10,MAX(F10,IF(I10&gt;TODAY(),E10,IF(K10="القسط الثابت",E10-G10*MIN(MAX(0,(YEAR(TODAY())-YEAR(I10))*12+MONTH(TODAY())-MONTH(I10)),J10*12)/(J10*12),IF(K10="القسط المتناقص",E10*(1-L10/100)^MIN(MAX(0,YEAR(TODAY())-YEAR(I10)),J10),IF(K10="وحدات الإنتاج",E10-G10*MIN(100,L10*MAX(0,YEAR(TODAY())-YEAR(I10)))/100,E10)))))))</f>
        <v>4500</v>
      </c>
      <c r="N10" s="20" t="s">
        <v>39</v>
      </c>
    </row>
    <row r="11" spans="2:14">
      <c r="B11" s="21">
        <v>6</v>
      </c>
      <c r="C11" s="22" t="s">
        <v>46</v>
      </c>
      <c r="D11" s="23" t="s">
        <v>44</v>
      </c>
      <c r="E11" s="24">
        <v>15000</v>
      </c>
      <c r="F11" s="24">
        <v>1000</v>
      </c>
      <c r="G11" s="24">
        <f>IF(C11="","",MAX(0,E11-F11))</f>
        <v>14000</v>
      </c>
      <c r="H11" s="25">
        <v>45301</v>
      </c>
      <c r="I11" s="25">
        <v>45306</v>
      </c>
      <c r="J11" s="21">
        <v>5</v>
      </c>
      <c r="K11" s="23" t="s">
        <v>45</v>
      </c>
      <c r="L11" s="26">
        <f>IF(OR(C11="",J11&lt;=0),"",ROUND(100/J11,2))</f>
        <v>20</v>
      </c>
      <c r="M11" s="24">
        <f ca="1">IF(C11="","",IF(N11="مهلك",F11,MAX(F11,IF(I11&gt;TODAY(),E11,IF(K11="القسط الثابت",E11-G11*MIN(MAX(0,(YEAR(TODAY())-YEAR(I11))*12+MONTH(TODAY())-MONTH(I11)),J11*12)/(J11*12),IF(K11="القسط المتناقص",E11*(1-L11/100)^MIN(MAX(0,YEAR(TODAY())-YEAR(I11)),J11),IF(K11="وحدات الإنتاج",E11-G11*MIN(100,L11*MAX(0,YEAR(TODAY())-YEAR(I11)))/100,E11)))))))</f>
        <v>9600.0000000000018</v>
      </c>
      <c r="N11" s="20" t="s">
        <v>39</v>
      </c>
    </row>
    <row r="12" spans="2:14">
      <c r="B12" s="14">
        <v>7</v>
      </c>
      <c r="C12" s="15" t="s">
        <v>47</v>
      </c>
      <c r="D12" s="16" t="s">
        <v>48</v>
      </c>
      <c r="E12" s="17">
        <v>55000</v>
      </c>
      <c r="F12" s="17">
        <v>8000</v>
      </c>
      <c r="G12" s="17">
        <f>IF(C12="","",MAX(0,E12-F12))</f>
        <v>47000</v>
      </c>
      <c r="H12" s="18">
        <v>45292</v>
      </c>
      <c r="I12" s="18">
        <v>45323</v>
      </c>
      <c r="J12" s="14">
        <v>10</v>
      </c>
      <c r="K12" s="16" t="s">
        <v>38</v>
      </c>
      <c r="L12" s="19">
        <f>IF(OR(C12="",J12&lt;=0),"",ROUND(100/J12,2))</f>
        <v>10</v>
      </c>
      <c r="M12" s="17">
        <f ca="1">IF(C12="","",IF(N12="مهلك",F12,MAX(F12,IF(I12&gt;TODAY(),E12,IF(K12="القسط الثابت",E12-G12*MIN(MAX(0,(YEAR(TODAY())-YEAR(I12))*12+MONTH(TODAY())-MONTH(I12)),J12*12)/(J12*12),IF(K12="القسط المتناقص",E12*(1-L12/100)^MIN(MAX(0,YEAR(TODAY())-YEAR(I12)),J12),IF(K12="وحدات الإنتاج",E12-G12*MIN(100,L12*MAX(0,YEAR(TODAY())-YEAR(I12)))/100,E12)))))))</f>
        <v>42858.333333333336</v>
      </c>
      <c r="N12" s="20" t="s">
        <v>39</v>
      </c>
    </row>
    <row r="13" spans="2:14">
      <c r="B13" s="21">
        <v>8</v>
      </c>
      <c r="C13" s="22" t="s">
        <v>49</v>
      </c>
      <c r="D13" s="23" t="s">
        <v>48</v>
      </c>
      <c r="E13" s="24">
        <v>22000</v>
      </c>
      <c r="F13" s="24">
        <v>3000</v>
      </c>
      <c r="G13" s="24">
        <f>IF(C13="","",MAX(0,E13-F13))</f>
        <v>19000</v>
      </c>
      <c r="H13" s="25">
        <v>45323</v>
      </c>
      <c r="I13" s="25">
        <v>45337</v>
      </c>
      <c r="J13" s="21">
        <v>8</v>
      </c>
      <c r="K13" s="23" t="s">
        <v>38</v>
      </c>
      <c r="L13" s="26">
        <f>IF(OR(C13="",J13&lt;=0),"",ROUND(100/J13,2))</f>
        <v>12.5</v>
      </c>
      <c r="M13" s="24">
        <f ca="1">IF(C13="","",IF(N13="مهلك",F13,MAX(F13,IF(I13&gt;TODAY(),E13,IF(K13="القسط الثابت",E13-G13*MIN(MAX(0,(YEAR(TODAY())-YEAR(I13))*12+MONTH(TODAY())-MONTH(I13)),J13*12)/(J13*12),IF(K13="القسط المتناقص",E13*(1-L13/100)^MIN(MAX(0,YEAR(TODAY())-YEAR(I13)),J13),IF(K13="وحدات الإنتاج",E13-G13*MIN(100,L13*MAX(0,YEAR(TODAY())-YEAR(I13)))/100,E13)))))))</f>
        <v>15864.583333333332</v>
      </c>
      <c r="N13" s="20" t="s">
        <v>39</v>
      </c>
    </row>
    <row r="14" spans="2:14" ht="17.25">
      <c r="B14" s="14">
        <v>9</v>
      </c>
      <c r="C14" s="15" t="s">
        <v>50</v>
      </c>
      <c r="D14" s="16" t="s">
        <v>51</v>
      </c>
      <c r="E14" s="17">
        <v>65000</v>
      </c>
      <c r="F14" s="17">
        <v>8000</v>
      </c>
      <c r="G14" s="17">
        <f>IF(C14="","",MAX(0,E14-F14))</f>
        <v>57000</v>
      </c>
      <c r="H14" s="18">
        <v>45292</v>
      </c>
      <c r="I14" s="18">
        <v>45323</v>
      </c>
      <c r="J14" s="14">
        <v>15</v>
      </c>
      <c r="K14" s="16" t="s">
        <v>38</v>
      </c>
      <c r="L14" s="19">
        <f>IF(OR(C14="",J14&lt;=0),"",ROUND(100/J14,2))</f>
        <v>6.67</v>
      </c>
      <c r="M14" s="17">
        <f ca="1">IF(C14="","",IF(N14="مهلك",F14,MAX(F14,IF(I14&gt;TODAY(),E14,IF(K14="القسط الثابت",E14-G14*MIN(MAX(0,(YEAR(TODAY())-YEAR(I14))*12+MONTH(TODAY())-MONTH(I14)),J14*12)/(J14*12),IF(K14="القسط المتناقص",E14*(1-L14/100)^MIN(MAX(0,YEAR(TODAY())-YEAR(I14)),J14),IF(K14="وحدات الإنتاج",E14-G14*MIN(100,L14*MAX(0,YEAR(TODAY())-YEAR(I14)))/100,E14)))))))</f>
        <v>55183.333333333336</v>
      </c>
      <c r="N14" s="20" t="s">
        <v>39</v>
      </c>
    </row>
    <row r="15" spans="2:14">
      <c r="B15" s="21">
        <v>10</v>
      </c>
      <c r="C15" s="22" t="s">
        <v>52</v>
      </c>
      <c r="D15" s="23" t="s">
        <v>53</v>
      </c>
      <c r="E15" s="24">
        <v>85000</v>
      </c>
      <c r="F15" s="24">
        <v>15000</v>
      </c>
      <c r="G15" s="24">
        <f>IF(C15="","",MAX(0,E15-F15))</f>
        <v>70000</v>
      </c>
      <c r="H15" s="25">
        <v>45311</v>
      </c>
      <c r="I15" s="25">
        <v>45323</v>
      </c>
      <c r="J15" s="21">
        <v>5</v>
      </c>
      <c r="K15" s="23" t="s">
        <v>54</v>
      </c>
      <c r="L15" s="26">
        <f>IF(OR(C15="",J15&lt;=0),"",ROUND(100/J15,2))</f>
        <v>20</v>
      </c>
      <c r="M15" s="24">
        <f ca="1">IF(C15="","",IF(N15="مهلك",F15,MAX(F15,IF(I15&gt;TODAY(),E15,IF(K15="القسط الثابت",E15-G15*MIN(MAX(0,(YEAR(TODAY())-YEAR(I15))*12+MONTH(TODAY())-MONTH(I15)),J15*12)/(J15*12),IF(K15="القسط المتناقص",E15*(1-L15/100)^MIN(MAX(0,YEAR(TODAY())-YEAR(I15)),J15),IF(K15="وحدات الإنتاج",E15-G15*MIN(100,L15*MAX(0,YEAR(TODAY())-YEAR(I15)))/100,E15)))))))</f>
        <v>57000</v>
      </c>
      <c r="N15" s="20" t="s">
        <v>39</v>
      </c>
    </row>
    <row r="16" spans="2:14">
      <c r="B16" s="14">
        <v>11</v>
      </c>
      <c r="C16" s="15" t="s">
        <v>55</v>
      </c>
      <c r="D16" s="16" t="s">
        <v>37</v>
      </c>
      <c r="E16" s="17">
        <v>28000</v>
      </c>
      <c r="F16" s="17">
        <v>3500</v>
      </c>
      <c r="G16" s="17">
        <f>IF(C16="","",MAX(0,E16-F16))</f>
        <v>24500</v>
      </c>
      <c r="H16" s="18">
        <v>45352</v>
      </c>
      <c r="I16" s="18">
        <v>45361</v>
      </c>
      <c r="J16" s="14">
        <v>6</v>
      </c>
      <c r="K16" s="16" t="s">
        <v>38</v>
      </c>
      <c r="L16" s="19">
        <f>IF(OR(C16="",J16&lt;=0),"",ROUND(100/J16,2))</f>
        <v>16.670000000000002</v>
      </c>
      <c r="M16" s="17">
        <f ca="1">IF(C16="","",IF(N16="مهلك",F16,MAX(F16,IF(I16&gt;TODAY(),E16,IF(K16="القسط الثابت",E16-G16*MIN(MAX(0,(YEAR(TODAY())-YEAR(I16))*12+MONTH(TODAY())-MONTH(I16)),J16*12)/(J16*12),IF(K16="القسط المتناقص",E16*(1-L16/100)^MIN(MAX(0,YEAR(TODAY())-YEAR(I16)),J16),IF(K16="وحدات الإنتاج",E16-G16*MIN(100,L16*MAX(0,YEAR(TODAY())-YEAR(I16)))/100,E16)))))))</f>
        <v>17791.666666666664</v>
      </c>
      <c r="N16" s="20" t="s">
        <v>39</v>
      </c>
    </row>
    <row r="17" spans="2:14">
      <c r="B17" s="21">
        <v>12</v>
      </c>
      <c r="C17" s="22" t="s">
        <v>56</v>
      </c>
      <c r="D17" s="23" t="s">
        <v>48</v>
      </c>
      <c r="E17" s="24">
        <v>18000</v>
      </c>
      <c r="F17" s="24">
        <v>2500</v>
      </c>
      <c r="G17" s="24">
        <f>IF(C17="","",MAX(0,E17-F17))</f>
        <v>15500</v>
      </c>
      <c r="H17" s="25">
        <v>45383</v>
      </c>
      <c r="I17" s="25">
        <v>45392</v>
      </c>
      <c r="J17" s="21">
        <v>7</v>
      </c>
      <c r="K17" s="23" t="s">
        <v>38</v>
      </c>
      <c r="L17" s="26">
        <f>IF(OR(C17="",J17&lt;=0),"",ROUND(100/J17,2))</f>
        <v>14.29</v>
      </c>
      <c r="M17" s="24">
        <f ca="1">IF(C17="","",IF(N17="مهلك",F17,MAX(F17,IF(I17&gt;TODAY(),E17,IF(K17="القسط الثابت",E17-G17*MIN(MAX(0,(YEAR(TODAY())-YEAR(I17))*12+MONTH(TODAY())-MONTH(I17)),J17*12)/(J17*12),IF(K17="القسط المتناقص",E17*(1-L17/100)^MIN(MAX(0,YEAR(TODAY())-YEAR(I17)),J17),IF(K17="وحدات الإنتاج",E17-G17*MIN(100,L17*MAX(0,YEAR(TODAY())-YEAR(I17)))/100,E17)))))))</f>
        <v>12648.809523809523</v>
      </c>
      <c r="N17" s="20" t="s">
        <v>39</v>
      </c>
    </row>
    <row r="18" spans="2:14">
      <c r="B18" s="14"/>
      <c r="C18" s="15"/>
      <c r="D18" s="16"/>
      <c r="E18" s="17"/>
      <c r="F18" s="17"/>
      <c r="G18" s="17" t="str">
        <f>IF(C18="","",MAX(0,E18-F18))</f>
        <v/>
      </c>
      <c r="H18" s="14"/>
      <c r="I18" s="14"/>
      <c r="J18" s="14"/>
      <c r="K18" s="16"/>
      <c r="L18" s="14" t="str">
        <f>IF(OR(C18="",J18&lt;=0),"",ROUND(100/J18,2))</f>
        <v/>
      </c>
      <c r="M18" s="17" t="str">
        <f ca="1">IF(C18="","",IF(N18="مهلك",F18,MAX(F18,IF(I18&gt;TODAY(),E18,IF(K18="القسط الثابت",E18-G18*MIN(MAX(0,(YEAR(TODAY())-YEAR(I18))*12+MONTH(TODAY())-MONTH(I18)),J18*12)/(J18*12),IF(K18="القسط المتناقص",E18*(1-L18/100)^MIN(MAX(0,YEAR(TODAY())-YEAR(I18)),J18),IF(K18="وحدات الإنتاج",E18-G18*MIN(100,L18*MAX(0,YEAR(TODAY())-YEAR(I18)))/100,E18)))))))</f>
        <v/>
      </c>
      <c r="N18" s="14"/>
    </row>
    <row r="19" spans="2:14">
      <c r="B19" s="21"/>
      <c r="C19" s="22"/>
      <c r="D19" s="23"/>
      <c r="E19" s="24"/>
      <c r="F19" s="24"/>
      <c r="G19" s="24" t="str">
        <f>IF(C19="","",MAX(0,E19-F19))</f>
        <v/>
      </c>
      <c r="H19" s="21"/>
      <c r="I19" s="21"/>
      <c r="J19" s="21"/>
      <c r="K19" s="23"/>
      <c r="L19" s="21" t="str">
        <f>IF(OR(C19="",J19&lt;=0),"",ROUND(100/J19,2))</f>
        <v/>
      </c>
      <c r="M19" s="24" t="str">
        <f ca="1">IF(C19="","",IF(N19="مهلك",F19,MAX(F19,IF(I19&gt;TODAY(),E19,IF(K19="القسط الثابت",E19-G19*MIN(MAX(0,(YEAR(TODAY())-YEAR(I19))*12+MONTH(TODAY())-MONTH(I19)),J19*12)/(J19*12),IF(K19="القسط المتناقص",E19*(1-L19/100)^MIN(MAX(0,YEAR(TODAY())-YEAR(I19)),J19),IF(K19="وحدات الإنتاج",E19-G19*MIN(100,L19*MAX(0,YEAR(TODAY())-YEAR(I19)))/100,E19)))))))</f>
        <v/>
      </c>
      <c r="N19" s="21"/>
    </row>
    <row r="20" spans="2:14">
      <c r="B20" s="14"/>
      <c r="C20" s="15"/>
      <c r="D20" s="16"/>
      <c r="E20" s="17"/>
      <c r="F20" s="17"/>
      <c r="G20" s="17" t="str">
        <f>IF(C20="","",MAX(0,E20-F20))</f>
        <v/>
      </c>
      <c r="H20" s="14"/>
      <c r="I20" s="14"/>
      <c r="J20" s="14"/>
      <c r="K20" s="16"/>
      <c r="L20" s="14" t="str">
        <f>IF(OR(C20="",J20&lt;=0),"",ROUND(100/J20,2))</f>
        <v/>
      </c>
      <c r="M20" s="17" t="str">
        <f ca="1">IF(C20="","",IF(N20="مهلك",F20,MAX(F20,IF(I20&gt;TODAY(),E20,IF(K20="القسط الثابت",E20-G20*MIN(MAX(0,(YEAR(TODAY())-YEAR(I20))*12+MONTH(TODAY())-MONTH(I20)),J20*12)/(J20*12),IF(K20="القسط المتناقص",E20*(1-L20/100)^MIN(MAX(0,YEAR(TODAY())-YEAR(I20)),J20),IF(K20="وحدات الإنتاج",E20-G20*MIN(100,L20*MAX(0,YEAR(TODAY())-YEAR(I20)))/100,E20)))))))</f>
        <v/>
      </c>
      <c r="N20" s="14"/>
    </row>
    <row r="21" spans="2:14">
      <c r="B21" s="21"/>
      <c r="C21" s="22"/>
      <c r="D21" s="23"/>
      <c r="E21" s="24"/>
      <c r="F21" s="24"/>
      <c r="G21" s="24" t="str">
        <f>IF(C21="","",MAX(0,E21-F21))</f>
        <v/>
      </c>
      <c r="H21" s="21"/>
      <c r="I21" s="21"/>
      <c r="J21" s="21"/>
      <c r="K21" s="23"/>
      <c r="L21" s="21" t="str">
        <f>IF(OR(C21="",J21&lt;=0),"",ROUND(100/J21,2))</f>
        <v/>
      </c>
      <c r="M21" s="24" t="str">
        <f ca="1">IF(C21="","",IF(N21="مهلك",F21,MAX(F21,IF(I21&gt;TODAY(),E21,IF(K21="القسط الثابت",E21-G21*MIN(MAX(0,(YEAR(TODAY())-YEAR(I21))*12+MONTH(TODAY())-MONTH(I21)),J21*12)/(J21*12),IF(K21="القسط المتناقص",E21*(1-L21/100)^MIN(MAX(0,YEAR(TODAY())-YEAR(I21)),J21),IF(K21="وحدات الإنتاج",E21-G21*MIN(100,L21*MAX(0,YEAR(TODAY())-YEAR(I21)))/100,E21)))))))</f>
        <v/>
      </c>
      <c r="N21" s="21"/>
    </row>
    <row r="22" spans="2:14">
      <c r="B22" s="14"/>
      <c r="C22" s="15"/>
      <c r="D22" s="16"/>
      <c r="E22" s="17"/>
      <c r="F22" s="17"/>
      <c r="G22" s="17" t="str">
        <f>IF(C22="","",MAX(0,E22-F22))</f>
        <v/>
      </c>
      <c r="H22" s="14"/>
      <c r="I22" s="14"/>
      <c r="J22" s="14"/>
      <c r="K22" s="16"/>
      <c r="L22" s="14" t="str">
        <f>IF(OR(C22="",J22&lt;=0),"",ROUND(100/J22,2))</f>
        <v/>
      </c>
      <c r="M22" s="17" t="str">
        <f ca="1">IF(C22="","",IF(N22="مهلك",F22,MAX(F22,IF(I22&gt;TODAY(),E22,IF(K22="القسط الثابت",E22-G22*MIN(MAX(0,(YEAR(TODAY())-YEAR(I22))*12+MONTH(TODAY())-MONTH(I22)),J22*12)/(J22*12),IF(K22="القسط المتناقص",E22*(1-L22/100)^MIN(MAX(0,YEAR(TODAY())-YEAR(I22)),J22),IF(K22="وحدات الإنتاج",E22-G22*MIN(100,L22*MAX(0,YEAR(TODAY())-YEAR(I22)))/100,E22)))))))</f>
        <v/>
      </c>
      <c r="N22" s="14"/>
    </row>
    <row r="23" spans="2:14">
      <c r="B23" s="21"/>
      <c r="C23" s="22"/>
      <c r="D23" s="23"/>
      <c r="E23" s="24"/>
      <c r="F23" s="24"/>
      <c r="G23" s="24" t="str">
        <f>IF(C23="","",MAX(0,E23-F23))</f>
        <v/>
      </c>
      <c r="H23" s="21"/>
      <c r="I23" s="21"/>
      <c r="J23" s="21"/>
      <c r="K23" s="23"/>
      <c r="L23" s="21" t="str">
        <f>IF(OR(C23="",J23&lt;=0),"",ROUND(100/J23,2))</f>
        <v/>
      </c>
      <c r="M23" s="24" t="str">
        <f ca="1">IF(C23="","",IF(N23="مهلك",F23,MAX(F23,IF(I23&gt;TODAY(),E23,IF(K23="القسط الثابت",E23-G23*MIN(MAX(0,(YEAR(TODAY())-YEAR(I23))*12+MONTH(TODAY())-MONTH(I23)),J23*12)/(J23*12),IF(K23="القسط المتناقص",E23*(1-L23/100)^MIN(MAX(0,YEAR(TODAY())-YEAR(I23)),J23),IF(K23="وحدات الإنتاج",E23-G23*MIN(100,L23*MAX(0,YEAR(TODAY())-YEAR(I23)))/100,E23)))))))</f>
        <v/>
      </c>
      <c r="N23" s="21"/>
    </row>
    <row r="24" spans="2:14">
      <c r="B24" s="14"/>
      <c r="C24" s="15"/>
      <c r="D24" s="16"/>
      <c r="E24" s="17"/>
      <c r="F24" s="17"/>
      <c r="G24" s="17" t="str">
        <f>IF(C24="","",MAX(0,E24-F24))</f>
        <v/>
      </c>
      <c r="H24" s="14"/>
      <c r="I24" s="14"/>
      <c r="J24" s="14"/>
      <c r="K24" s="16"/>
      <c r="L24" s="14" t="str">
        <f>IF(OR(C24="",J24&lt;=0),"",ROUND(100/J24,2))</f>
        <v/>
      </c>
      <c r="M24" s="17" t="str">
        <f ca="1">IF(C24="","",IF(N24="مهلك",F24,MAX(F24,IF(I24&gt;TODAY(),E24,IF(K24="القسط الثابت",E24-G24*MIN(MAX(0,(YEAR(TODAY())-YEAR(I24))*12+MONTH(TODAY())-MONTH(I24)),J24*12)/(J24*12),IF(K24="القسط المتناقص",E24*(1-L24/100)^MIN(MAX(0,YEAR(TODAY())-YEAR(I24)),J24),IF(K24="وحدات الإنتاج",E24-G24*MIN(100,L24*MAX(0,YEAR(TODAY())-YEAR(I24)))/100,E24)))))))</f>
        <v/>
      </c>
      <c r="N24" s="14"/>
    </row>
    <row r="25" spans="2:14">
      <c r="B25" s="21"/>
      <c r="C25" s="22"/>
      <c r="D25" s="23"/>
      <c r="E25" s="24"/>
      <c r="F25" s="24"/>
      <c r="G25" s="24" t="str">
        <f>IF(C25="","",MAX(0,E25-F25))</f>
        <v/>
      </c>
      <c r="H25" s="21"/>
      <c r="I25" s="21"/>
      <c r="J25" s="21"/>
      <c r="K25" s="23"/>
      <c r="L25" s="21" t="str">
        <f>IF(OR(C25="",J25&lt;=0),"",ROUND(100/J25,2))</f>
        <v/>
      </c>
      <c r="M25" s="24" t="str">
        <f ca="1">IF(C25="","",IF(N25="مهلك",F25,MAX(F25,IF(I25&gt;TODAY(),E25,IF(K25="القسط الثابت",E25-G25*MIN(MAX(0,(YEAR(TODAY())-YEAR(I25))*12+MONTH(TODAY())-MONTH(I25)),J25*12)/(J25*12),IF(K25="القسط المتناقص",E25*(1-L25/100)^MIN(MAX(0,YEAR(TODAY())-YEAR(I25)),J25),IF(K25="وحدات الإنتاج",E25-G25*MIN(100,L25*MAX(0,YEAR(TODAY())-YEAR(I25)))/100,E25)))))))</f>
        <v/>
      </c>
      <c r="N25" s="21"/>
    </row>
    <row r="26" spans="2:14">
      <c r="B26" s="14"/>
      <c r="C26" s="15"/>
      <c r="D26" s="16"/>
      <c r="E26" s="17"/>
      <c r="F26" s="17"/>
      <c r="G26" s="17" t="str">
        <f>IF(C26="","",MAX(0,E26-F26))</f>
        <v/>
      </c>
      <c r="H26" s="14"/>
      <c r="I26" s="14"/>
      <c r="J26" s="14"/>
      <c r="K26" s="16"/>
      <c r="L26" s="14" t="str">
        <f>IF(OR(C26="",J26&lt;=0),"",ROUND(100/J26,2))</f>
        <v/>
      </c>
      <c r="M26" s="17" t="str">
        <f ca="1">IF(C26="","",IF(N26="مهلك",F26,MAX(F26,IF(I26&gt;TODAY(),E26,IF(K26="القسط الثابت",E26-G26*MIN(MAX(0,(YEAR(TODAY())-YEAR(I26))*12+MONTH(TODAY())-MONTH(I26)),J26*12)/(J26*12),IF(K26="القسط المتناقص",E26*(1-L26/100)^MIN(MAX(0,YEAR(TODAY())-YEAR(I26)),J26),IF(K26="وحدات الإنتاج",E26-G26*MIN(100,L26*MAX(0,YEAR(TODAY())-YEAR(I26)))/100,E26)))))))</f>
        <v/>
      </c>
      <c r="N26" s="14"/>
    </row>
    <row r="27" spans="2:14">
      <c r="B27" s="21"/>
      <c r="C27" s="22"/>
      <c r="D27" s="23"/>
      <c r="E27" s="24"/>
      <c r="F27" s="24"/>
      <c r="G27" s="24" t="str">
        <f>IF(C27="","",MAX(0,E27-F27))</f>
        <v/>
      </c>
      <c r="H27" s="21"/>
      <c r="I27" s="21"/>
      <c r="J27" s="21"/>
      <c r="K27" s="23"/>
      <c r="L27" s="21" t="str">
        <f>IF(OR(C27="",J27&lt;=0),"",ROUND(100/J27,2))</f>
        <v/>
      </c>
      <c r="M27" s="24" t="str">
        <f ca="1">IF(C27="","",IF(N27="مهلك",F27,MAX(F27,IF(I27&gt;TODAY(),E27,IF(K27="القسط الثابت",E27-G27*MIN(MAX(0,(YEAR(TODAY())-YEAR(I27))*12+MONTH(TODAY())-MONTH(I27)),J27*12)/(J27*12),IF(K27="القسط المتناقص",E27*(1-L27/100)^MIN(MAX(0,YEAR(TODAY())-YEAR(I27)),J27),IF(K27="وحدات الإنتاج",E27-G27*MIN(100,L27*MAX(0,YEAR(TODAY())-YEAR(I27)))/100,E27)))))))</f>
        <v/>
      </c>
      <c r="N27" s="21"/>
    </row>
    <row r="28" spans="2:14">
      <c r="B28" s="14"/>
      <c r="C28" s="15"/>
      <c r="D28" s="16"/>
      <c r="E28" s="17"/>
      <c r="F28" s="17"/>
      <c r="G28" s="17" t="str">
        <f>IF(C28="","",MAX(0,E28-F28))</f>
        <v/>
      </c>
      <c r="H28" s="14"/>
      <c r="I28" s="14"/>
      <c r="J28" s="14"/>
      <c r="K28" s="16"/>
      <c r="L28" s="14" t="str">
        <f>IF(OR(C28="",J28&lt;=0),"",ROUND(100/J28,2))</f>
        <v/>
      </c>
      <c r="M28" s="17" t="str">
        <f ca="1">IF(C28="","",IF(N28="مهلك",F28,MAX(F28,IF(I28&gt;TODAY(),E28,IF(K28="القسط الثابت",E28-G28*MIN(MAX(0,(YEAR(TODAY())-YEAR(I28))*12+MONTH(TODAY())-MONTH(I28)),J28*12)/(J28*12),IF(K28="القسط المتناقص",E28*(1-L28/100)^MIN(MAX(0,YEAR(TODAY())-YEAR(I28)),J28),IF(K28="وحدات الإنتاج",E28-G28*MIN(100,L28*MAX(0,YEAR(TODAY())-YEAR(I28)))/100,E28)))))))</f>
        <v/>
      </c>
      <c r="N28" s="14"/>
    </row>
    <row r="29" spans="2:14">
      <c r="B29" s="21"/>
      <c r="C29" s="22"/>
      <c r="D29" s="23"/>
      <c r="E29" s="24"/>
      <c r="F29" s="24"/>
      <c r="G29" s="24" t="str">
        <f>IF(C29="","",MAX(0,E29-F29))</f>
        <v/>
      </c>
      <c r="H29" s="21"/>
      <c r="I29" s="21"/>
      <c r="J29" s="21"/>
      <c r="K29" s="23"/>
      <c r="L29" s="21" t="str">
        <f>IF(OR(C29="",J29&lt;=0),"",ROUND(100/J29,2))</f>
        <v/>
      </c>
      <c r="M29" s="24" t="str">
        <f ca="1">IF(C29="","",IF(N29="مهلك",F29,MAX(F29,IF(I29&gt;TODAY(),E29,IF(K29="القسط الثابت",E29-G29*MIN(MAX(0,(YEAR(TODAY())-YEAR(I29))*12+MONTH(TODAY())-MONTH(I29)),J29*12)/(J29*12),IF(K29="القسط المتناقص",E29*(1-L29/100)^MIN(MAX(0,YEAR(TODAY())-YEAR(I29)),J29),IF(K29="وحدات الإنتاج",E29-G29*MIN(100,L29*MAX(0,YEAR(TODAY())-YEAR(I29)))/100,E29)))))))</f>
        <v/>
      </c>
      <c r="N29" s="21"/>
    </row>
    <row r="30" spans="2:14">
      <c r="B30" s="14"/>
      <c r="C30" s="15"/>
      <c r="D30" s="16"/>
      <c r="E30" s="17"/>
      <c r="F30" s="17"/>
      <c r="G30" s="17" t="str">
        <f>IF(C30="","",MAX(0,E30-F30))</f>
        <v/>
      </c>
      <c r="H30" s="14"/>
      <c r="I30" s="14"/>
      <c r="J30" s="14"/>
      <c r="K30" s="16"/>
      <c r="L30" s="14" t="str">
        <f>IF(OR(C30="",J30&lt;=0),"",ROUND(100/J30,2))</f>
        <v/>
      </c>
      <c r="M30" s="17" t="str">
        <f ca="1">IF(C30="","",IF(N30="مهلك",F30,MAX(F30,IF(I30&gt;TODAY(),E30,IF(K30="القسط الثابت",E30-G30*MIN(MAX(0,(YEAR(TODAY())-YEAR(I30))*12+MONTH(TODAY())-MONTH(I30)),J30*12)/(J30*12),IF(K30="القسط المتناقص",E30*(1-L30/100)^MIN(MAX(0,YEAR(TODAY())-YEAR(I30)),J30),IF(K30="وحدات الإنتاج",E30-G30*MIN(100,L30*MAX(0,YEAR(TODAY())-YEAR(I30)))/100,E30)))))))</f>
        <v/>
      </c>
      <c r="N30" s="14"/>
    </row>
    <row r="31" spans="2:14">
      <c r="B31" s="21"/>
      <c r="C31" s="22"/>
      <c r="D31" s="23"/>
      <c r="E31" s="24"/>
      <c r="F31" s="24"/>
      <c r="G31" s="24" t="str">
        <f>IF(C31="","",MAX(0,E31-F31))</f>
        <v/>
      </c>
      <c r="H31" s="21"/>
      <c r="I31" s="21"/>
      <c r="J31" s="21"/>
      <c r="K31" s="23"/>
      <c r="L31" s="21" t="str">
        <f>IF(OR(C31="",J31&lt;=0),"",ROUND(100/J31,2))</f>
        <v/>
      </c>
      <c r="M31" s="24" t="str">
        <f ca="1">IF(C31="","",IF(N31="مهلك",F31,MAX(F31,IF(I31&gt;TODAY(),E31,IF(K31="القسط الثابت",E31-G31*MIN(MAX(0,(YEAR(TODAY())-YEAR(I31))*12+MONTH(TODAY())-MONTH(I31)),J31*12)/(J31*12),IF(K31="القسط المتناقص",E31*(1-L31/100)^MIN(MAX(0,YEAR(TODAY())-YEAR(I31)),J31),IF(K31="وحدات الإنتاج",E31-G31*MIN(100,L31*MAX(0,YEAR(TODAY())-YEAR(I31)))/100,E31)))))))</f>
        <v/>
      </c>
      <c r="N31" s="21"/>
    </row>
    <row r="32" spans="2:14">
      <c r="B32" s="14"/>
      <c r="C32" s="15"/>
      <c r="D32" s="16"/>
      <c r="E32" s="17"/>
      <c r="F32" s="17"/>
      <c r="G32" s="17" t="str">
        <f>IF(C32="","",MAX(0,E32-F32))</f>
        <v/>
      </c>
      <c r="H32" s="14"/>
      <c r="I32" s="14"/>
      <c r="J32" s="14"/>
      <c r="K32" s="16"/>
      <c r="L32" s="14" t="str">
        <f>IF(OR(C32="",J32&lt;=0),"",ROUND(100/J32,2))</f>
        <v/>
      </c>
      <c r="M32" s="17" t="str">
        <f ca="1">IF(C32="","",IF(N32="مهلك",F32,MAX(F32,IF(I32&gt;TODAY(),E32,IF(K32="القسط الثابت",E32-G32*MIN(MAX(0,(YEAR(TODAY())-YEAR(I32))*12+MONTH(TODAY())-MONTH(I32)),J32*12)/(J32*12),IF(K32="القسط المتناقص",E32*(1-L32/100)^MIN(MAX(0,YEAR(TODAY())-YEAR(I32)),J32),IF(K32="وحدات الإنتاج",E32-G32*MIN(100,L32*MAX(0,YEAR(TODAY())-YEAR(I32)))/100,E32)))))))</f>
        <v/>
      </c>
      <c r="N32" s="14"/>
    </row>
    <row r="33" spans="2:14">
      <c r="B33" s="21"/>
      <c r="C33" s="22"/>
      <c r="D33" s="23"/>
      <c r="E33" s="24"/>
      <c r="F33" s="24"/>
      <c r="G33" s="24" t="str">
        <f>IF(C33="","",MAX(0,E33-F33))</f>
        <v/>
      </c>
      <c r="H33" s="21"/>
      <c r="I33" s="21"/>
      <c r="J33" s="21"/>
      <c r="K33" s="23"/>
      <c r="L33" s="21" t="str">
        <f>IF(OR(C33="",J33&lt;=0),"",ROUND(100/J33,2))</f>
        <v/>
      </c>
      <c r="M33" s="24" t="str">
        <f ca="1">IF(C33="","",IF(N33="مهلك",F33,MAX(F33,IF(I33&gt;TODAY(),E33,IF(K33="القسط الثابت",E33-G33*MIN(MAX(0,(YEAR(TODAY())-YEAR(I33))*12+MONTH(TODAY())-MONTH(I33)),J33*12)/(J33*12),IF(K33="القسط المتناقص",E33*(1-L33/100)^MIN(MAX(0,YEAR(TODAY())-YEAR(I33)),J33),IF(K33="وحدات الإنتاج",E33-G33*MIN(100,L33*MAX(0,YEAR(TODAY())-YEAR(I33)))/100,E33)))))))</f>
        <v/>
      </c>
      <c r="N33" s="21"/>
    </row>
    <row r="34" spans="2:14">
      <c r="B34" s="14"/>
      <c r="C34" s="15"/>
      <c r="D34" s="16"/>
      <c r="E34" s="17"/>
      <c r="F34" s="17"/>
      <c r="G34" s="17" t="str">
        <f>IF(C34="","",MAX(0,E34-F34))</f>
        <v/>
      </c>
      <c r="H34" s="14"/>
      <c r="I34" s="14"/>
      <c r="J34" s="14"/>
      <c r="K34" s="16"/>
      <c r="L34" s="14" t="str">
        <f>IF(OR(C34="",J34&lt;=0),"",ROUND(100/J34,2))</f>
        <v/>
      </c>
      <c r="M34" s="17" t="str">
        <f ca="1">IF(C34="","",IF(N34="مهلك",F34,MAX(F34,IF(I34&gt;TODAY(),E34,IF(K34="القسط الثابت",E34-G34*MIN(MAX(0,(YEAR(TODAY())-YEAR(I34))*12+MONTH(TODAY())-MONTH(I34)),J34*12)/(J34*12),IF(K34="القسط المتناقص",E34*(1-L34/100)^MIN(MAX(0,YEAR(TODAY())-YEAR(I34)),J34),IF(K34="وحدات الإنتاج",E34-G34*MIN(100,L34*MAX(0,YEAR(TODAY())-YEAR(I34)))/100,E34)))))))</f>
        <v/>
      </c>
      <c r="N34" s="14"/>
    </row>
    <row r="35" spans="2:14">
      <c r="B35" s="21"/>
      <c r="C35" s="22"/>
      <c r="D35" s="23"/>
      <c r="E35" s="24"/>
      <c r="F35" s="24"/>
      <c r="G35" s="24" t="str">
        <f>IF(C35="","",MAX(0,E35-F35))</f>
        <v/>
      </c>
      <c r="H35" s="21"/>
      <c r="I35" s="21"/>
      <c r="J35" s="21"/>
      <c r="K35" s="23"/>
      <c r="L35" s="21" t="str">
        <f>IF(OR(C35="",J35&lt;=0),"",ROUND(100/J35,2))</f>
        <v/>
      </c>
      <c r="M35" s="24" t="str">
        <f ca="1">IF(C35="","",IF(N35="مهلك",F35,MAX(F35,IF(I35&gt;TODAY(),E35,IF(K35="القسط الثابت",E35-G35*MIN(MAX(0,(YEAR(TODAY())-YEAR(I35))*12+MONTH(TODAY())-MONTH(I35)),J35*12)/(J35*12),IF(K35="القسط المتناقص",E35*(1-L35/100)^MIN(MAX(0,YEAR(TODAY())-YEAR(I35)),J35),IF(K35="وحدات الإنتاج",E35-G35*MIN(100,L35*MAX(0,YEAR(TODAY())-YEAR(I35)))/100,E35)))))))</f>
        <v/>
      </c>
      <c r="N35" s="21"/>
    </row>
    <row r="36" spans="2:14">
      <c r="B36" s="14"/>
      <c r="C36" s="15"/>
      <c r="D36" s="16"/>
      <c r="E36" s="17"/>
      <c r="F36" s="17"/>
      <c r="G36" s="17" t="str">
        <f>IF(C36="","",MAX(0,E36-F36))</f>
        <v/>
      </c>
      <c r="H36" s="14"/>
      <c r="I36" s="14"/>
      <c r="J36" s="14"/>
      <c r="K36" s="16"/>
      <c r="L36" s="14" t="str">
        <f>IF(OR(C36="",J36&lt;=0),"",ROUND(100/J36,2))</f>
        <v/>
      </c>
      <c r="M36" s="17" t="str">
        <f ca="1">IF(C36="","",IF(N36="مهلك",F36,MAX(F36,IF(I36&gt;TODAY(),E36,IF(K36="القسط الثابت",E36-G36*MIN(MAX(0,(YEAR(TODAY())-YEAR(I36))*12+MONTH(TODAY())-MONTH(I36)),J36*12)/(J36*12),IF(K36="القسط المتناقص",E36*(1-L36/100)^MIN(MAX(0,YEAR(TODAY())-YEAR(I36)),J36),IF(K36="وحدات الإنتاج",E36-G36*MIN(100,L36*MAX(0,YEAR(TODAY())-YEAR(I36)))/100,E36)))))))</f>
        <v/>
      </c>
      <c r="N36" s="14"/>
    </row>
    <row r="37" spans="2:14">
      <c r="B37" s="21"/>
      <c r="C37" s="22"/>
      <c r="D37" s="23"/>
      <c r="E37" s="24"/>
      <c r="F37" s="24"/>
      <c r="G37" s="24" t="str">
        <f>IF(C37="","",MAX(0,E37-F37))</f>
        <v/>
      </c>
      <c r="H37" s="21"/>
      <c r="I37" s="21"/>
      <c r="J37" s="21"/>
      <c r="K37" s="23"/>
      <c r="L37" s="21" t="str">
        <f>IF(OR(C37="",J37&lt;=0),"",ROUND(100/J37,2))</f>
        <v/>
      </c>
      <c r="M37" s="24" t="str">
        <f ca="1">IF(C37="","",IF(N37="مهلك",F37,MAX(F37,IF(I37&gt;TODAY(),E37,IF(K37="القسط الثابت",E37-G37*MIN(MAX(0,(YEAR(TODAY())-YEAR(I37))*12+MONTH(TODAY())-MONTH(I37)),J37*12)/(J37*12),IF(K37="القسط المتناقص",E37*(1-L37/100)^MIN(MAX(0,YEAR(TODAY())-YEAR(I37)),J37),IF(K37="وحدات الإنتاج",E37-G37*MIN(100,L37*MAX(0,YEAR(TODAY())-YEAR(I37)))/100,E37)))))))</f>
        <v/>
      </c>
      <c r="N37" s="21"/>
    </row>
    <row r="38" spans="2:14">
      <c r="B38" s="14"/>
      <c r="C38" s="15"/>
      <c r="D38" s="16"/>
      <c r="E38" s="17"/>
      <c r="F38" s="17"/>
      <c r="G38" s="17" t="str">
        <f>IF(C38="","",MAX(0,E38-F38))</f>
        <v/>
      </c>
      <c r="H38" s="14"/>
      <c r="I38" s="14"/>
      <c r="J38" s="14"/>
      <c r="K38" s="16"/>
      <c r="L38" s="14" t="str">
        <f>IF(OR(C38="",J38&lt;=0),"",ROUND(100/J38,2))</f>
        <v/>
      </c>
      <c r="M38" s="17" t="str">
        <f ca="1">IF(C38="","",IF(N38="مهلك",F38,MAX(F38,IF(I38&gt;TODAY(),E38,IF(K38="القسط الثابت",E38-G38*MIN(MAX(0,(YEAR(TODAY())-YEAR(I38))*12+MONTH(TODAY())-MONTH(I38)),J38*12)/(J38*12),IF(K38="القسط المتناقص",E38*(1-L38/100)^MIN(MAX(0,YEAR(TODAY())-YEAR(I38)),J38),IF(K38="وحدات الإنتاج",E38-G38*MIN(100,L38*MAX(0,YEAR(TODAY())-YEAR(I38)))/100,E38)))))))</f>
        <v/>
      </c>
      <c r="N38" s="14"/>
    </row>
    <row r="39" spans="2:14">
      <c r="B39" s="21"/>
      <c r="C39" s="22"/>
      <c r="D39" s="23"/>
      <c r="E39" s="24"/>
      <c r="F39" s="24"/>
      <c r="G39" s="24" t="str">
        <f>IF(C39="","",MAX(0,E39-F39))</f>
        <v/>
      </c>
      <c r="H39" s="21"/>
      <c r="I39" s="21"/>
      <c r="J39" s="21"/>
      <c r="K39" s="23"/>
      <c r="L39" s="21" t="str">
        <f>IF(OR(C39="",J39&lt;=0),"",ROUND(100/J39,2))</f>
        <v/>
      </c>
      <c r="M39" s="24" t="str">
        <f ca="1">IF(C39="","",IF(N39="مهلك",F39,MAX(F39,IF(I39&gt;TODAY(),E39,IF(K39="القسط الثابت",E39-G39*MIN(MAX(0,(YEAR(TODAY())-YEAR(I39))*12+MONTH(TODAY())-MONTH(I39)),J39*12)/(J39*12),IF(K39="القسط المتناقص",E39*(1-L39/100)^MIN(MAX(0,YEAR(TODAY())-YEAR(I39)),J39),IF(K39="وحدات الإنتاج",E39-G39*MIN(100,L39*MAX(0,YEAR(TODAY())-YEAR(I39)))/100,E39)))))))</f>
        <v/>
      </c>
      <c r="N39" s="21"/>
    </row>
    <row r="40" spans="2:14">
      <c r="B40" s="14"/>
      <c r="C40" s="15"/>
      <c r="D40" s="16"/>
      <c r="E40" s="17"/>
      <c r="F40" s="17"/>
      <c r="G40" s="17" t="str">
        <f>IF(C40="","",MAX(0,E40-F40))</f>
        <v/>
      </c>
      <c r="H40" s="14"/>
      <c r="I40" s="14"/>
      <c r="J40" s="14"/>
      <c r="K40" s="16"/>
      <c r="L40" s="14" t="str">
        <f>IF(OR(C40="",J40&lt;=0),"",ROUND(100/J40,2))</f>
        <v/>
      </c>
      <c r="M40" s="17" t="str">
        <f ca="1">IF(C40="","",IF(N40="مهلك",F40,MAX(F40,IF(I40&gt;TODAY(),E40,IF(K40="القسط الثابت",E40-G40*MIN(MAX(0,(YEAR(TODAY())-YEAR(I40))*12+MONTH(TODAY())-MONTH(I40)),J40*12)/(J40*12),IF(K40="القسط المتناقص",E40*(1-L40/100)^MIN(MAX(0,YEAR(TODAY())-YEAR(I40)),J40),IF(K40="وحدات الإنتاج",E40-G40*MIN(100,L40*MAX(0,YEAR(TODAY())-YEAR(I40)))/100,E40)))))))</f>
        <v/>
      </c>
      <c r="N40" s="14"/>
    </row>
    <row r="41" spans="2:14">
      <c r="B41" s="21"/>
      <c r="C41" s="22"/>
      <c r="D41" s="23"/>
      <c r="E41" s="24"/>
      <c r="F41" s="24"/>
      <c r="G41" s="24" t="str">
        <f>IF(C41="","",MAX(0,E41-F41))</f>
        <v/>
      </c>
      <c r="H41" s="21"/>
      <c r="I41" s="21"/>
      <c r="J41" s="21"/>
      <c r="K41" s="23"/>
      <c r="L41" s="21" t="str">
        <f>IF(OR(C41="",J41&lt;=0),"",ROUND(100/J41,2))</f>
        <v/>
      </c>
      <c r="M41" s="24" t="str">
        <f ca="1">IF(C41="","",IF(N41="مهلك",F41,MAX(F41,IF(I41&gt;TODAY(),E41,IF(K41="القسط الثابت",E41-G41*MIN(MAX(0,(YEAR(TODAY())-YEAR(I41))*12+MONTH(TODAY())-MONTH(I41)),J41*12)/(J41*12),IF(K41="القسط المتناقص",E41*(1-L41/100)^MIN(MAX(0,YEAR(TODAY())-YEAR(I41)),J41),IF(K41="وحدات الإنتاج",E41-G41*MIN(100,L41*MAX(0,YEAR(TODAY())-YEAR(I41)))/100,E41)))))))</f>
        <v/>
      </c>
      <c r="N41" s="21"/>
    </row>
    <row r="42" spans="2:14">
      <c r="B42" s="14"/>
      <c r="C42" s="15"/>
      <c r="D42" s="16"/>
      <c r="E42" s="17"/>
      <c r="F42" s="17"/>
      <c r="G42" s="17" t="str">
        <f>IF(C42="","",MAX(0,E42-F42))</f>
        <v/>
      </c>
      <c r="H42" s="14"/>
      <c r="I42" s="14"/>
      <c r="J42" s="14"/>
      <c r="K42" s="16"/>
      <c r="L42" s="14" t="str">
        <f>IF(OR(C42="",J42&lt;=0),"",ROUND(100/J42,2))</f>
        <v/>
      </c>
      <c r="M42" s="17" t="str">
        <f ca="1">IF(C42="","",IF(N42="مهلك",F42,MAX(F42,IF(I42&gt;TODAY(),E42,IF(K42="القسط الثابت",E42-G42*MIN(MAX(0,(YEAR(TODAY())-YEAR(I42))*12+MONTH(TODAY())-MONTH(I42)),J42*12)/(J42*12),IF(K42="القسط المتناقص",E42*(1-L42/100)^MIN(MAX(0,YEAR(TODAY())-YEAR(I42)),J42),IF(K42="وحدات الإنتاج",E42-G42*MIN(100,L42*MAX(0,YEAR(TODAY())-YEAR(I42)))/100,E42)))))))</f>
        <v/>
      </c>
      <c r="N42" s="14"/>
    </row>
    <row r="43" spans="2:14">
      <c r="B43" s="21"/>
      <c r="C43" s="22"/>
      <c r="D43" s="23"/>
      <c r="E43" s="24"/>
      <c r="F43" s="24"/>
      <c r="G43" s="24" t="str">
        <f>IF(C43="","",MAX(0,E43-F43))</f>
        <v/>
      </c>
      <c r="H43" s="21"/>
      <c r="I43" s="21"/>
      <c r="J43" s="21"/>
      <c r="K43" s="23"/>
      <c r="L43" s="21" t="str">
        <f>IF(OR(C43="",J43&lt;=0),"",ROUND(100/J43,2))</f>
        <v/>
      </c>
      <c r="M43" s="24" t="str">
        <f ca="1">IF(C43="","",IF(N43="مهلك",F43,MAX(F43,IF(I43&gt;TODAY(),E43,IF(K43="القسط الثابت",E43-G43*MIN(MAX(0,(YEAR(TODAY())-YEAR(I43))*12+MONTH(TODAY())-MONTH(I43)),J43*12)/(J43*12),IF(K43="القسط المتناقص",E43*(1-L43/100)^MIN(MAX(0,YEAR(TODAY())-YEAR(I43)),J43),IF(K43="وحدات الإنتاج",E43-G43*MIN(100,L43*MAX(0,YEAR(TODAY())-YEAR(I43)))/100,E43)))))))</f>
        <v/>
      </c>
      <c r="N43" s="21"/>
    </row>
    <row r="44" spans="2:14">
      <c r="B44" s="14"/>
      <c r="C44" s="15"/>
      <c r="D44" s="16"/>
      <c r="E44" s="17"/>
      <c r="F44" s="17"/>
      <c r="G44" s="17" t="str">
        <f>IF(C44="","",MAX(0,E44-F44))</f>
        <v/>
      </c>
      <c r="H44" s="14"/>
      <c r="I44" s="14"/>
      <c r="J44" s="14"/>
      <c r="K44" s="16"/>
      <c r="L44" s="14" t="str">
        <f>IF(OR(C44="",J44&lt;=0),"",ROUND(100/J44,2))</f>
        <v/>
      </c>
      <c r="M44" s="17" t="str">
        <f ca="1">IF(C44="","",IF(N44="مهلك",F44,MAX(F44,IF(I44&gt;TODAY(),E44,IF(K44="القسط الثابت",E44-G44*MIN(MAX(0,(YEAR(TODAY())-YEAR(I44))*12+MONTH(TODAY())-MONTH(I44)),J44*12)/(J44*12),IF(K44="القسط المتناقص",E44*(1-L44/100)^MIN(MAX(0,YEAR(TODAY())-YEAR(I44)),J44),IF(K44="وحدات الإنتاج",E44-G44*MIN(100,L44*MAX(0,YEAR(TODAY())-YEAR(I44)))/100,E44)))))))</f>
        <v/>
      </c>
      <c r="N44" s="14"/>
    </row>
    <row r="45" spans="2:14">
      <c r="B45" s="21"/>
      <c r="C45" s="22"/>
      <c r="D45" s="23"/>
      <c r="E45" s="24"/>
      <c r="F45" s="24"/>
      <c r="G45" s="24" t="str">
        <f>IF(C45="","",MAX(0,E45-F45))</f>
        <v/>
      </c>
      <c r="H45" s="21"/>
      <c r="I45" s="21"/>
      <c r="J45" s="21"/>
      <c r="K45" s="23"/>
      <c r="L45" s="21" t="str">
        <f>IF(OR(C45="",J45&lt;=0),"",ROUND(100/J45,2))</f>
        <v/>
      </c>
      <c r="M45" s="24" t="str">
        <f ca="1">IF(C45="","",IF(N45="مهلك",F45,MAX(F45,IF(I45&gt;TODAY(),E45,IF(K45="القسط الثابت",E45-G45*MIN(MAX(0,(YEAR(TODAY())-YEAR(I45))*12+MONTH(TODAY())-MONTH(I45)),J45*12)/(J45*12),IF(K45="القسط المتناقص",E45*(1-L45/100)^MIN(MAX(0,YEAR(TODAY())-YEAR(I45)),J45),IF(K45="وحدات الإنتاج",E45-G45*MIN(100,L45*MAX(0,YEAR(TODAY())-YEAR(I45)))/100,E45)))))))</f>
        <v/>
      </c>
      <c r="N45" s="21"/>
    </row>
    <row r="46" spans="2:14">
      <c r="B46" s="14"/>
      <c r="C46" s="15"/>
      <c r="D46" s="16"/>
      <c r="E46" s="17"/>
      <c r="F46" s="17"/>
      <c r="G46" s="17" t="str">
        <f>IF(C46="","",MAX(0,E46-F46))</f>
        <v/>
      </c>
      <c r="H46" s="14"/>
      <c r="I46" s="14"/>
      <c r="J46" s="14"/>
      <c r="K46" s="16"/>
      <c r="L46" s="14" t="str">
        <f>IF(OR(C46="",J46&lt;=0),"",ROUND(100/J46,2))</f>
        <v/>
      </c>
      <c r="M46" s="17" t="str">
        <f ca="1">IF(C46="","",IF(N46="مهلك",F46,MAX(F46,IF(I46&gt;TODAY(),E46,IF(K46="القسط الثابت",E46-G46*MIN(MAX(0,(YEAR(TODAY())-YEAR(I46))*12+MONTH(TODAY())-MONTH(I46)),J46*12)/(J46*12),IF(K46="القسط المتناقص",E46*(1-L46/100)^MIN(MAX(0,YEAR(TODAY())-YEAR(I46)),J46),IF(K46="وحدات الإنتاج",E46-G46*MIN(100,L46*MAX(0,YEAR(TODAY())-YEAR(I46)))/100,E46)))))))</f>
        <v/>
      </c>
      <c r="N46" s="14"/>
    </row>
    <row r="47" spans="2:14">
      <c r="B47" s="21"/>
      <c r="C47" s="22"/>
      <c r="D47" s="23"/>
      <c r="E47" s="24"/>
      <c r="F47" s="24"/>
      <c r="G47" s="24" t="str">
        <f>IF(C47="","",MAX(0,E47-F47))</f>
        <v/>
      </c>
      <c r="H47" s="21"/>
      <c r="I47" s="21"/>
      <c r="J47" s="21"/>
      <c r="K47" s="23"/>
      <c r="L47" s="21" t="str">
        <f>IF(OR(C47="",J47&lt;=0),"",ROUND(100/J47,2))</f>
        <v/>
      </c>
      <c r="M47" s="24" t="str">
        <f ca="1">IF(C47="","",IF(N47="مهلك",F47,MAX(F47,IF(I47&gt;TODAY(),E47,IF(K47="القسط الثابت",E47-G47*MIN(MAX(0,(YEAR(TODAY())-YEAR(I47))*12+MONTH(TODAY())-MONTH(I47)),J47*12)/(J47*12),IF(K47="القسط المتناقص",E47*(1-L47/100)^MIN(MAX(0,YEAR(TODAY())-YEAR(I47)),J47),IF(K47="وحدات الإنتاج",E47-G47*MIN(100,L47*MAX(0,YEAR(TODAY())-YEAR(I47)))/100,E47)))))))</f>
        <v/>
      </c>
      <c r="N47" s="21"/>
    </row>
    <row r="48" spans="2:14">
      <c r="B48" s="14"/>
      <c r="C48" s="15"/>
      <c r="D48" s="16"/>
      <c r="E48" s="17"/>
      <c r="F48" s="17"/>
      <c r="G48" s="17" t="str">
        <f>IF(C48="","",MAX(0,E48-F48))</f>
        <v/>
      </c>
      <c r="H48" s="14"/>
      <c r="I48" s="14"/>
      <c r="J48" s="14"/>
      <c r="K48" s="16"/>
      <c r="L48" s="14" t="str">
        <f>IF(OR(C48="",J48&lt;=0),"",ROUND(100/J48,2))</f>
        <v/>
      </c>
      <c r="M48" s="17" t="str">
        <f ca="1">IF(C48="","",IF(N48="مهلك",F48,MAX(F48,IF(I48&gt;TODAY(),E48,IF(K48="القسط الثابت",E48-G48*MIN(MAX(0,(YEAR(TODAY())-YEAR(I48))*12+MONTH(TODAY())-MONTH(I48)),J48*12)/(J48*12),IF(K48="القسط المتناقص",E48*(1-L48/100)^MIN(MAX(0,YEAR(TODAY())-YEAR(I48)),J48),IF(K48="وحدات الإنتاج",E48-G48*MIN(100,L48*MAX(0,YEAR(TODAY())-YEAR(I48)))/100,E48)))))))</f>
        <v/>
      </c>
      <c r="N48" s="14"/>
    </row>
    <row r="49" spans="2:14">
      <c r="B49" s="21"/>
      <c r="C49" s="22"/>
      <c r="D49" s="23"/>
      <c r="E49" s="24"/>
      <c r="F49" s="24"/>
      <c r="G49" s="24" t="str">
        <f>IF(C49="","",MAX(0,E49-F49))</f>
        <v/>
      </c>
      <c r="H49" s="21"/>
      <c r="I49" s="21"/>
      <c r="J49" s="21"/>
      <c r="K49" s="23"/>
      <c r="L49" s="21" t="str">
        <f>IF(OR(C49="",J49&lt;=0),"",ROUND(100/J49,2))</f>
        <v/>
      </c>
      <c r="M49" s="24" t="str">
        <f ca="1">IF(C49="","",IF(N49="مهلك",F49,MAX(F49,IF(I49&gt;TODAY(),E49,IF(K49="القسط الثابت",E49-G49*MIN(MAX(0,(YEAR(TODAY())-YEAR(I49))*12+MONTH(TODAY())-MONTH(I49)),J49*12)/(J49*12),IF(K49="القسط المتناقص",E49*(1-L49/100)^MIN(MAX(0,YEAR(TODAY())-YEAR(I49)),J49),IF(K49="وحدات الإنتاج",E49-G49*MIN(100,L49*MAX(0,YEAR(TODAY())-YEAR(I49)))/100,E49)))))))</f>
        <v/>
      </c>
      <c r="N49" s="21"/>
    </row>
    <row r="50" spans="2:14">
      <c r="B50" s="14"/>
      <c r="C50" s="15"/>
      <c r="D50" s="16"/>
      <c r="E50" s="17"/>
      <c r="F50" s="17"/>
      <c r="G50" s="17" t="str">
        <f>IF(C50="","",MAX(0,E50-F50))</f>
        <v/>
      </c>
      <c r="H50" s="14"/>
      <c r="I50" s="14"/>
      <c r="J50" s="14"/>
      <c r="K50" s="16"/>
      <c r="L50" s="14" t="str">
        <f>IF(OR(C50="",J50&lt;=0),"",ROUND(100/J50,2))</f>
        <v/>
      </c>
      <c r="M50" s="17" t="str">
        <f ca="1">IF(C50="","",IF(N50="مهلك",F50,MAX(F50,IF(I50&gt;TODAY(),E50,IF(K50="القسط الثابت",E50-G50*MIN(MAX(0,(YEAR(TODAY())-YEAR(I50))*12+MONTH(TODAY())-MONTH(I50)),J50*12)/(J50*12),IF(K50="القسط المتناقص",E50*(1-L50/100)^MIN(MAX(0,YEAR(TODAY())-YEAR(I50)),J50),IF(K50="وحدات الإنتاج",E50-G50*MIN(100,L50*MAX(0,YEAR(TODAY())-YEAR(I50)))/100,E50)))))))</f>
        <v/>
      </c>
      <c r="N50" s="14"/>
    </row>
    <row r="51" spans="2:14">
      <c r="B51" s="21"/>
      <c r="C51" s="22"/>
      <c r="D51" s="23"/>
      <c r="E51" s="24"/>
      <c r="F51" s="24"/>
      <c r="G51" s="24" t="str">
        <f>IF(C51="","",MAX(0,E51-F51))</f>
        <v/>
      </c>
      <c r="H51" s="21"/>
      <c r="I51" s="21"/>
      <c r="J51" s="21"/>
      <c r="K51" s="23"/>
      <c r="L51" s="21" t="str">
        <f>IF(OR(C51="",J51&lt;=0),"",ROUND(100/J51,2))</f>
        <v/>
      </c>
      <c r="M51" s="24" t="str">
        <f ca="1">IF(C51="","",IF(N51="مهلك",F51,MAX(F51,IF(I51&gt;TODAY(),E51,IF(K51="القسط الثابت",E51-G51*MIN(MAX(0,(YEAR(TODAY())-YEAR(I51))*12+MONTH(TODAY())-MONTH(I51)),J51*12)/(J51*12),IF(K51="القسط المتناقص",E51*(1-L51/100)^MIN(MAX(0,YEAR(TODAY())-YEAR(I51)),J51),IF(K51="وحدات الإنتاج",E51-G51*MIN(100,L51*MAX(0,YEAR(TODAY())-YEAR(I51)))/100,E51)))))))</f>
        <v/>
      </c>
      <c r="N51" s="21"/>
    </row>
    <row r="52" spans="2:14">
      <c r="B52" s="14"/>
      <c r="C52" s="15"/>
      <c r="D52" s="16"/>
      <c r="E52" s="17"/>
      <c r="F52" s="17"/>
      <c r="G52" s="17" t="str">
        <f>IF(C52="","",MAX(0,E52-F52))</f>
        <v/>
      </c>
      <c r="H52" s="14"/>
      <c r="I52" s="14"/>
      <c r="J52" s="14"/>
      <c r="K52" s="16"/>
      <c r="L52" s="14" t="str">
        <f>IF(OR(C52="",J52&lt;=0),"",ROUND(100/J52,2))</f>
        <v/>
      </c>
      <c r="M52" s="17" t="str">
        <f ca="1">IF(C52="","",IF(N52="مهلك",F52,MAX(F52,IF(I52&gt;TODAY(),E52,IF(K52="القسط الثابت",E52-G52*MIN(MAX(0,(YEAR(TODAY())-YEAR(I52))*12+MONTH(TODAY())-MONTH(I52)),J52*12)/(J52*12),IF(K52="القسط المتناقص",E52*(1-L52/100)^MIN(MAX(0,YEAR(TODAY())-YEAR(I52)),J52),IF(K52="وحدات الإنتاج",E52-G52*MIN(100,L52*MAX(0,YEAR(TODAY())-YEAR(I52)))/100,E52)))))))</f>
        <v/>
      </c>
      <c r="N52" s="14"/>
    </row>
    <row r="53" spans="2:14">
      <c r="B53" s="21"/>
      <c r="C53" s="22"/>
      <c r="D53" s="23"/>
      <c r="E53" s="24"/>
      <c r="F53" s="24"/>
      <c r="G53" s="24" t="str">
        <f>IF(C53="","",MAX(0,E53-F53))</f>
        <v/>
      </c>
      <c r="H53" s="21"/>
      <c r="I53" s="21"/>
      <c r="J53" s="21"/>
      <c r="K53" s="23"/>
      <c r="L53" s="21" t="str">
        <f>IF(OR(C53="",J53&lt;=0),"",ROUND(100/J53,2))</f>
        <v/>
      </c>
      <c r="M53" s="24" t="str">
        <f ca="1">IF(C53="","",IF(N53="مهلك",F53,MAX(F53,IF(I53&gt;TODAY(),E53,IF(K53="القسط الثابت",E53-G53*MIN(MAX(0,(YEAR(TODAY())-YEAR(I53))*12+MONTH(TODAY())-MONTH(I53)),J53*12)/(J53*12),IF(K53="القسط المتناقص",E53*(1-L53/100)^MIN(MAX(0,YEAR(TODAY())-YEAR(I53)),J53),IF(K53="وحدات الإنتاج",E53-G53*MIN(100,L53*MAX(0,YEAR(TODAY())-YEAR(I53)))/100,E53)))))))</f>
        <v/>
      </c>
      <c r="N53" s="21"/>
    </row>
    <row r="54" spans="2:14">
      <c r="B54" s="14"/>
      <c r="C54" s="15"/>
      <c r="D54" s="16"/>
      <c r="E54" s="17"/>
      <c r="F54" s="17"/>
      <c r="G54" s="17" t="str">
        <f>IF(C54="","",MAX(0,E54-F54))</f>
        <v/>
      </c>
      <c r="H54" s="14"/>
      <c r="I54" s="14"/>
      <c r="J54" s="14"/>
      <c r="K54" s="16"/>
      <c r="L54" s="14" t="str">
        <f>IF(OR(C54="",J54&lt;=0),"",ROUND(100/J54,2))</f>
        <v/>
      </c>
      <c r="M54" s="17" t="str">
        <f ca="1">IF(C54="","",IF(N54="مهلك",F54,MAX(F54,IF(I54&gt;TODAY(),E54,IF(K54="القسط الثابت",E54-G54*MIN(MAX(0,(YEAR(TODAY())-YEAR(I54))*12+MONTH(TODAY())-MONTH(I54)),J54*12)/(J54*12),IF(K54="القسط المتناقص",E54*(1-L54/100)^MIN(MAX(0,YEAR(TODAY())-YEAR(I54)),J54),IF(K54="وحدات الإنتاج",E54-G54*MIN(100,L54*MAX(0,YEAR(TODAY())-YEAR(I54)))/100,E54)))))))</f>
        <v/>
      </c>
      <c r="N54" s="14"/>
    </row>
    <row r="55" spans="2:14">
      <c r="B55" s="21"/>
      <c r="C55" s="22"/>
      <c r="D55" s="23"/>
      <c r="E55" s="24"/>
      <c r="F55" s="24"/>
      <c r="G55" s="24" t="str">
        <f>IF(C55="","",MAX(0,E55-F55))</f>
        <v/>
      </c>
      <c r="H55" s="21"/>
      <c r="I55" s="21"/>
      <c r="J55" s="21"/>
      <c r="K55" s="23"/>
      <c r="L55" s="21" t="str">
        <f>IF(OR(C55="",J55&lt;=0),"",ROUND(100/J55,2))</f>
        <v/>
      </c>
      <c r="M55" s="24" t="str">
        <f ca="1">IF(C55="","",IF(N55="مهلك",F55,MAX(F55,IF(I55&gt;TODAY(),E55,IF(K55="القسط الثابت",E55-G55*MIN(MAX(0,(YEAR(TODAY())-YEAR(I55))*12+MONTH(TODAY())-MONTH(I55)),J55*12)/(J55*12),IF(K55="القسط المتناقص",E55*(1-L55/100)^MIN(MAX(0,YEAR(TODAY())-YEAR(I55)),J55),IF(K55="وحدات الإنتاج",E55-G55*MIN(100,L55*MAX(0,YEAR(TODAY())-YEAR(I55)))/100,E55)))))))</f>
        <v/>
      </c>
      <c r="N55" s="21"/>
    </row>
    <row r="56" spans="2:14">
      <c r="B56" s="14"/>
      <c r="C56" s="15"/>
      <c r="D56" s="16"/>
      <c r="E56" s="17"/>
      <c r="F56" s="17"/>
      <c r="G56" s="17" t="str">
        <f>IF(C56="","",MAX(0,E56-F56))</f>
        <v/>
      </c>
      <c r="H56" s="14"/>
      <c r="I56" s="14"/>
      <c r="J56" s="14"/>
      <c r="K56" s="16"/>
      <c r="L56" s="14" t="str">
        <f>IF(OR(C56="",J56&lt;=0),"",ROUND(100/J56,2))</f>
        <v/>
      </c>
      <c r="M56" s="17" t="str">
        <f ca="1">IF(C56="","",IF(N56="مهلك",F56,MAX(F56,IF(I56&gt;TODAY(),E56,IF(K56="القسط الثابت",E56-G56*MIN(MAX(0,(YEAR(TODAY())-YEAR(I56))*12+MONTH(TODAY())-MONTH(I56)),J56*12)/(J56*12),IF(K56="القسط المتناقص",E56*(1-L56/100)^MIN(MAX(0,YEAR(TODAY())-YEAR(I56)),J56),IF(K56="وحدات الإنتاج",E56-G56*MIN(100,L56*MAX(0,YEAR(TODAY())-YEAR(I56)))/100,E56)))))))</f>
        <v/>
      </c>
      <c r="N56" s="14"/>
    </row>
    <row r="57" spans="2:14">
      <c r="B57" s="21"/>
      <c r="C57" s="22"/>
      <c r="D57" s="23"/>
      <c r="E57" s="24"/>
      <c r="F57" s="24"/>
      <c r="G57" s="24" t="str">
        <f>IF(C57="","",MAX(0,E57-F57))</f>
        <v/>
      </c>
      <c r="H57" s="21"/>
      <c r="I57" s="21"/>
      <c r="J57" s="21"/>
      <c r="K57" s="23"/>
      <c r="L57" s="21" t="str">
        <f>IF(OR(C57="",J57&lt;=0),"",ROUND(100/J57,2))</f>
        <v/>
      </c>
      <c r="M57" s="24" t="str">
        <f ca="1">IF(C57="","",IF(N57="مهلك",F57,MAX(F57,IF(I57&gt;TODAY(),E57,IF(K57="القسط الثابت",E57-G57*MIN(MAX(0,(YEAR(TODAY())-YEAR(I57))*12+MONTH(TODAY())-MONTH(I57)),J57*12)/(J57*12),IF(K57="القسط المتناقص",E57*(1-L57/100)^MIN(MAX(0,YEAR(TODAY())-YEAR(I57)),J57),IF(K57="وحدات الإنتاج",E57-G57*MIN(100,L57*MAX(0,YEAR(TODAY())-YEAR(I57)))/100,E57)))))))</f>
        <v/>
      </c>
      <c r="N57" s="21"/>
    </row>
    <row r="58" spans="2:14">
      <c r="B58" s="14"/>
      <c r="C58" s="15"/>
      <c r="D58" s="16"/>
      <c r="E58" s="17"/>
      <c r="F58" s="17"/>
      <c r="G58" s="17" t="str">
        <f>IF(C58="","",MAX(0,E58-F58))</f>
        <v/>
      </c>
      <c r="H58" s="14"/>
      <c r="I58" s="14"/>
      <c r="J58" s="14"/>
      <c r="K58" s="16"/>
      <c r="L58" s="14" t="str">
        <f>IF(OR(C58="",J58&lt;=0),"",ROUND(100/J58,2))</f>
        <v/>
      </c>
      <c r="M58" s="17" t="str">
        <f ca="1">IF(C58="","",IF(N58="مهلك",F58,MAX(F58,IF(I58&gt;TODAY(),E58,IF(K58="القسط الثابت",E58-G58*MIN(MAX(0,(YEAR(TODAY())-YEAR(I58))*12+MONTH(TODAY())-MONTH(I58)),J58*12)/(J58*12),IF(K58="القسط المتناقص",E58*(1-L58/100)^MIN(MAX(0,YEAR(TODAY())-YEAR(I58)),J58),IF(K58="وحدات الإنتاج",E58-G58*MIN(100,L58*MAX(0,YEAR(TODAY())-YEAR(I58)))/100,E58)))))))</f>
        <v/>
      </c>
      <c r="N58" s="14"/>
    </row>
    <row r="59" spans="2:14">
      <c r="B59" s="21"/>
      <c r="C59" s="22"/>
      <c r="D59" s="23"/>
      <c r="E59" s="24"/>
      <c r="F59" s="24"/>
      <c r="G59" s="24" t="str">
        <f>IF(C59="","",MAX(0,E59-F59))</f>
        <v/>
      </c>
      <c r="H59" s="21"/>
      <c r="I59" s="21"/>
      <c r="J59" s="21"/>
      <c r="K59" s="23"/>
      <c r="L59" s="21" t="str">
        <f>IF(OR(C59="",J59&lt;=0),"",ROUND(100/J59,2))</f>
        <v/>
      </c>
      <c r="M59" s="24" t="str">
        <f ca="1">IF(C59="","",IF(N59="مهلك",F59,MAX(F59,IF(I59&gt;TODAY(),E59,IF(K59="القسط الثابت",E59-G59*MIN(MAX(0,(YEAR(TODAY())-YEAR(I59))*12+MONTH(TODAY())-MONTH(I59)),J59*12)/(J59*12),IF(K59="القسط المتناقص",E59*(1-L59/100)^MIN(MAX(0,YEAR(TODAY())-YEAR(I59)),J59),IF(K59="وحدات الإنتاج",E59-G59*MIN(100,L59*MAX(0,YEAR(TODAY())-YEAR(I59)))/100,E59)))))))</f>
        <v/>
      </c>
      <c r="N59" s="21"/>
    </row>
    <row r="60" spans="2:14">
      <c r="B60" s="14"/>
      <c r="C60" s="15"/>
      <c r="D60" s="16"/>
      <c r="E60" s="17"/>
      <c r="F60" s="17"/>
      <c r="G60" s="17" t="str">
        <f>IF(C60="","",MAX(0,E60-F60))</f>
        <v/>
      </c>
      <c r="H60" s="14"/>
      <c r="I60" s="14"/>
      <c r="J60" s="14"/>
      <c r="K60" s="16"/>
      <c r="L60" s="14" t="str">
        <f>IF(OR(C60="",J60&lt;=0),"",ROUND(100/J60,2))</f>
        <v/>
      </c>
      <c r="M60" s="17" t="str">
        <f ca="1">IF(C60="","",IF(N60="مهلك",F60,MAX(F60,IF(I60&gt;TODAY(),E60,IF(K60="القسط الثابت",E60-G60*MIN(MAX(0,(YEAR(TODAY())-YEAR(I60))*12+MONTH(TODAY())-MONTH(I60)),J60*12)/(J60*12),IF(K60="القسط المتناقص",E60*(1-L60/100)^MIN(MAX(0,YEAR(TODAY())-YEAR(I60)),J60),IF(K60="وحدات الإنتاج",E60-G60*MIN(100,L60*MAX(0,YEAR(TODAY())-YEAR(I60)))/100,E60)))))))</f>
        <v/>
      </c>
      <c r="N60" s="14"/>
    </row>
    <row r="61" spans="2:14">
      <c r="B61" s="21"/>
      <c r="C61" s="22"/>
      <c r="D61" s="23"/>
      <c r="E61" s="24"/>
      <c r="F61" s="24"/>
      <c r="G61" s="24" t="str">
        <f>IF(C61="","",MAX(0,E61-F61))</f>
        <v/>
      </c>
      <c r="H61" s="21"/>
      <c r="I61" s="21"/>
      <c r="J61" s="21"/>
      <c r="K61" s="23"/>
      <c r="L61" s="21" t="str">
        <f>IF(OR(C61="",J61&lt;=0),"",ROUND(100/J61,2))</f>
        <v/>
      </c>
      <c r="M61" s="24" t="str">
        <f ca="1">IF(C61="","",IF(N61="مهلك",F61,MAX(F61,IF(I61&gt;TODAY(),E61,IF(K61="القسط الثابت",E61-G61*MIN(MAX(0,(YEAR(TODAY())-YEAR(I61))*12+MONTH(TODAY())-MONTH(I61)),J61*12)/(J61*12),IF(K61="القسط المتناقص",E61*(1-L61/100)^MIN(MAX(0,YEAR(TODAY())-YEAR(I61)),J61),IF(K61="وحدات الإنتاج",E61-G61*MIN(100,L61*MAX(0,YEAR(TODAY())-YEAR(I61)))/100,E61)))))))</f>
        <v/>
      </c>
      <c r="N61" s="21"/>
    </row>
    <row r="62" spans="2:14">
      <c r="B62" s="14"/>
      <c r="C62" s="15"/>
      <c r="D62" s="16"/>
      <c r="E62" s="17"/>
      <c r="F62" s="17"/>
      <c r="G62" s="17" t="str">
        <f>IF(C62="","",MAX(0,E62-F62))</f>
        <v/>
      </c>
      <c r="H62" s="14"/>
      <c r="I62" s="14"/>
      <c r="J62" s="14"/>
      <c r="K62" s="16"/>
      <c r="L62" s="14" t="str">
        <f>IF(OR(C62="",J62&lt;=0),"",ROUND(100/J62,2))</f>
        <v/>
      </c>
      <c r="M62" s="17" t="str">
        <f ca="1">IF(C62="","",IF(N62="مهلك",F62,MAX(F62,IF(I62&gt;TODAY(),E62,IF(K62="القسط الثابت",E62-G62*MIN(MAX(0,(YEAR(TODAY())-YEAR(I62))*12+MONTH(TODAY())-MONTH(I62)),J62*12)/(J62*12),IF(K62="القسط المتناقص",E62*(1-L62/100)^MIN(MAX(0,YEAR(TODAY())-YEAR(I62)),J62),IF(K62="وحدات الإنتاج",E62-G62*MIN(100,L62*MAX(0,YEAR(TODAY())-YEAR(I62)))/100,E62)))))))</f>
        <v/>
      </c>
      <c r="N62" s="14"/>
    </row>
    <row r="63" spans="2:14">
      <c r="B63" s="21"/>
      <c r="C63" s="22"/>
      <c r="D63" s="23"/>
      <c r="E63" s="24"/>
      <c r="F63" s="24"/>
      <c r="G63" s="24" t="str">
        <f>IF(C63="","",MAX(0,E63-F63))</f>
        <v/>
      </c>
      <c r="H63" s="21"/>
      <c r="I63" s="21"/>
      <c r="J63" s="21"/>
      <c r="K63" s="23"/>
      <c r="L63" s="21" t="str">
        <f>IF(OR(C63="",J63&lt;=0),"",ROUND(100/J63,2))</f>
        <v/>
      </c>
      <c r="M63" s="24" t="str">
        <f ca="1">IF(C63="","",IF(N63="مهلك",F63,MAX(F63,IF(I63&gt;TODAY(),E63,IF(K63="القسط الثابت",E63-G63*MIN(MAX(0,(YEAR(TODAY())-YEAR(I63))*12+MONTH(TODAY())-MONTH(I63)),J63*12)/(J63*12),IF(K63="القسط المتناقص",E63*(1-L63/100)^MIN(MAX(0,YEAR(TODAY())-YEAR(I63)),J63),IF(K63="وحدات الإنتاج",E63-G63*MIN(100,L63*MAX(0,YEAR(TODAY())-YEAR(I63)))/100,E63)))))))</f>
        <v/>
      </c>
      <c r="N63" s="21"/>
    </row>
    <row r="64" spans="2:14">
      <c r="B64" s="14"/>
      <c r="C64" s="15"/>
      <c r="D64" s="16"/>
      <c r="E64" s="17"/>
      <c r="F64" s="17"/>
      <c r="G64" s="17" t="str">
        <f>IF(C64="","",MAX(0,E64-F64))</f>
        <v/>
      </c>
      <c r="H64" s="14"/>
      <c r="I64" s="14"/>
      <c r="J64" s="14"/>
      <c r="K64" s="16"/>
      <c r="L64" s="14" t="str">
        <f>IF(OR(C64="",J64&lt;=0),"",ROUND(100/J64,2))</f>
        <v/>
      </c>
      <c r="M64" s="17" t="str">
        <f ca="1">IF(C64="","",IF(N64="مهلك",F64,MAX(F64,IF(I64&gt;TODAY(),E64,IF(K64="القسط الثابت",E64-G64*MIN(MAX(0,(YEAR(TODAY())-YEAR(I64))*12+MONTH(TODAY())-MONTH(I64)),J64*12)/(J64*12),IF(K64="القسط المتناقص",E64*(1-L64/100)^MIN(MAX(0,YEAR(TODAY())-YEAR(I64)),J64),IF(K64="وحدات الإنتاج",E64-G64*MIN(100,L64*MAX(0,YEAR(TODAY())-YEAR(I64)))/100,E64)))))))</f>
        <v/>
      </c>
      <c r="N64" s="14"/>
    </row>
    <row r="65" spans="2:14">
      <c r="B65" s="21"/>
      <c r="C65" s="22"/>
      <c r="D65" s="23"/>
      <c r="E65" s="24"/>
      <c r="F65" s="24"/>
      <c r="G65" s="24" t="str">
        <f>IF(C65="","",MAX(0,E65-F65))</f>
        <v/>
      </c>
      <c r="H65" s="21"/>
      <c r="I65" s="21"/>
      <c r="J65" s="21"/>
      <c r="K65" s="23"/>
      <c r="L65" s="21" t="str">
        <f>IF(OR(C65="",J65&lt;=0),"",ROUND(100/J65,2))</f>
        <v/>
      </c>
      <c r="M65" s="24" t="str">
        <f ca="1">IF(C65="","",IF(N65="مهلك",F65,MAX(F65,IF(I65&gt;TODAY(),E65,IF(K65="القسط الثابت",E65-G65*MIN(MAX(0,(YEAR(TODAY())-YEAR(I65))*12+MONTH(TODAY())-MONTH(I65)),J65*12)/(J65*12),IF(K65="القسط المتناقص",E65*(1-L65/100)^MIN(MAX(0,YEAR(TODAY())-YEAR(I65)),J65),IF(K65="وحدات الإنتاج",E65-G65*MIN(100,L65*MAX(0,YEAR(TODAY())-YEAR(I65)))/100,E65)))))))</f>
        <v/>
      </c>
      <c r="N65" s="21"/>
    </row>
    <row r="66" spans="2:14">
      <c r="B66" s="14"/>
      <c r="C66" s="15"/>
      <c r="D66" s="16"/>
      <c r="E66" s="17"/>
      <c r="F66" s="17"/>
      <c r="G66" s="17" t="str">
        <f>IF(C66="","",MAX(0,E66-F66))</f>
        <v/>
      </c>
      <c r="H66" s="14"/>
      <c r="I66" s="14"/>
      <c r="J66" s="14"/>
      <c r="K66" s="16"/>
      <c r="L66" s="14" t="str">
        <f>IF(OR(C66="",J66&lt;=0),"",ROUND(100/J66,2))</f>
        <v/>
      </c>
      <c r="M66" s="17" t="str">
        <f ca="1">IF(C66="","",IF(N66="مهلك",F66,MAX(F66,IF(I66&gt;TODAY(),E66,IF(K66="القسط الثابت",E66-G66*MIN(MAX(0,(YEAR(TODAY())-YEAR(I66))*12+MONTH(TODAY())-MONTH(I66)),J66*12)/(J66*12),IF(K66="القسط المتناقص",E66*(1-L66/100)^MIN(MAX(0,YEAR(TODAY())-YEAR(I66)),J66),IF(K66="وحدات الإنتاج",E66-G66*MIN(100,L66*MAX(0,YEAR(TODAY())-YEAR(I66)))/100,E66)))))))</f>
        <v/>
      </c>
      <c r="N66" s="14"/>
    </row>
    <row r="67" spans="2:14">
      <c r="B67" s="21"/>
      <c r="C67" s="22"/>
      <c r="D67" s="23"/>
      <c r="E67" s="24"/>
      <c r="F67" s="24"/>
      <c r="G67" s="24" t="str">
        <f>IF(C67="","",MAX(0,E67-F67))</f>
        <v/>
      </c>
      <c r="H67" s="21"/>
      <c r="I67" s="21"/>
      <c r="J67" s="21"/>
      <c r="K67" s="23"/>
      <c r="L67" s="21" t="str">
        <f>IF(OR(C67="",J67&lt;=0),"",ROUND(100/J67,2))</f>
        <v/>
      </c>
      <c r="M67" s="24" t="str">
        <f ca="1">IF(C67="","",IF(N67="مهلك",F67,MAX(F67,IF(I67&gt;TODAY(),E67,IF(K67="القسط الثابت",E67-G67*MIN(MAX(0,(YEAR(TODAY())-YEAR(I67))*12+MONTH(TODAY())-MONTH(I67)),J67*12)/(J67*12),IF(K67="القسط المتناقص",E67*(1-L67/100)^MIN(MAX(0,YEAR(TODAY())-YEAR(I67)),J67),IF(K67="وحدات الإنتاج",E67-G67*MIN(100,L67*MAX(0,YEAR(TODAY())-YEAR(I67)))/100,E67)))))))</f>
        <v/>
      </c>
      <c r="N67" s="21"/>
    </row>
    <row r="68" spans="2:14">
      <c r="B68" s="14"/>
      <c r="C68" s="15"/>
      <c r="D68" s="16"/>
      <c r="E68" s="17"/>
      <c r="F68" s="17"/>
      <c r="G68" s="17" t="str">
        <f>IF(C68="","",MAX(0,E68-F68))</f>
        <v/>
      </c>
      <c r="H68" s="14"/>
      <c r="I68" s="14"/>
      <c r="J68" s="14"/>
      <c r="K68" s="16"/>
      <c r="L68" s="14" t="str">
        <f>IF(OR(C68="",J68&lt;=0),"",ROUND(100/J68,2))</f>
        <v/>
      </c>
      <c r="M68" s="17" t="str">
        <f ca="1">IF(C68="","",IF(N68="مهلك",F68,MAX(F68,IF(I68&gt;TODAY(),E68,IF(K68="القسط الثابت",E68-G68*MIN(MAX(0,(YEAR(TODAY())-YEAR(I68))*12+MONTH(TODAY())-MONTH(I68)),J68*12)/(J68*12),IF(K68="القسط المتناقص",E68*(1-L68/100)^MIN(MAX(0,YEAR(TODAY())-YEAR(I68)),J68),IF(K68="وحدات الإنتاج",E68-G68*MIN(100,L68*MAX(0,YEAR(TODAY())-YEAR(I68)))/100,E68)))))))</f>
        <v/>
      </c>
      <c r="N68" s="14"/>
    </row>
    <row r="69" spans="2:14">
      <c r="B69" s="21"/>
      <c r="C69" s="22"/>
      <c r="D69" s="23"/>
      <c r="E69" s="24"/>
      <c r="F69" s="24"/>
      <c r="G69" s="24" t="str">
        <f>IF(C69="","",MAX(0,E69-F69))</f>
        <v/>
      </c>
      <c r="H69" s="21"/>
      <c r="I69" s="21"/>
      <c r="J69" s="21"/>
      <c r="K69" s="23"/>
      <c r="L69" s="21" t="str">
        <f>IF(OR(C69="",J69&lt;=0),"",ROUND(100/J69,2))</f>
        <v/>
      </c>
      <c r="M69" s="24" t="str">
        <f ca="1">IF(C69="","",IF(N69="مهلك",F69,MAX(F69,IF(I69&gt;TODAY(),E69,IF(K69="القسط الثابت",E69-G69*MIN(MAX(0,(YEAR(TODAY())-YEAR(I69))*12+MONTH(TODAY())-MONTH(I69)),J69*12)/(J69*12),IF(K69="القسط المتناقص",E69*(1-L69/100)^MIN(MAX(0,YEAR(TODAY())-YEAR(I69)),J69),IF(K69="وحدات الإنتاج",E69-G69*MIN(100,L69*MAX(0,YEAR(TODAY())-YEAR(I69)))/100,E69)))))))</f>
        <v/>
      </c>
      <c r="N69" s="21"/>
    </row>
    <row r="70" spans="2:14">
      <c r="B70" s="14"/>
      <c r="C70" s="15"/>
      <c r="D70" s="16"/>
      <c r="E70" s="17"/>
      <c r="F70" s="17"/>
      <c r="G70" s="17" t="str">
        <f>IF(C70="","",MAX(0,E70-F70))</f>
        <v/>
      </c>
      <c r="H70" s="14"/>
      <c r="I70" s="14"/>
      <c r="J70" s="14"/>
      <c r="K70" s="16"/>
      <c r="L70" s="14" t="str">
        <f>IF(OR(C70="",J70&lt;=0),"",ROUND(100/J70,2))</f>
        <v/>
      </c>
      <c r="M70" s="17" t="str">
        <f ca="1">IF(C70="","",IF(N70="مهلك",F70,MAX(F70,IF(I70&gt;TODAY(),E70,IF(K70="القسط الثابت",E70-G70*MIN(MAX(0,(YEAR(TODAY())-YEAR(I70))*12+MONTH(TODAY())-MONTH(I70)),J70*12)/(J70*12),IF(K70="القسط المتناقص",E70*(1-L70/100)^MIN(MAX(0,YEAR(TODAY())-YEAR(I70)),J70),IF(K70="وحدات الإنتاج",E70-G70*MIN(100,L70*MAX(0,YEAR(TODAY())-YEAR(I70)))/100,E70)))))))</f>
        <v/>
      </c>
      <c r="N70" s="14"/>
    </row>
    <row r="71" spans="2:14">
      <c r="B71" s="21"/>
      <c r="C71" s="22"/>
      <c r="D71" s="23"/>
      <c r="E71" s="24"/>
      <c r="F71" s="24"/>
      <c r="G71" s="24" t="str">
        <f>IF(C71="","",MAX(0,E71-F71))</f>
        <v/>
      </c>
      <c r="H71" s="21"/>
      <c r="I71" s="21"/>
      <c r="J71" s="21"/>
      <c r="K71" s="23"/>
      <c r="L71" s="21" t="str">
        <f>IF(OR(C71="",J71&lt;=0),"",ROUND(100/J71,2))</f>
        <v/>
      </c>
      <c r="M71" s="24" t="str">
        <f ca="1">IF(C71="","",IF(N71="مهلك",F71,MAX(F71,IF(I71&gt;TODAY(),E71,IF(K71="القسط الثابت",E71-G71*MIN(MAX(0,(YEAR(TODAY())-YEAR(I71))*12+MONTH(TODAY())-MONTH(I71)),J71*12)/(J71*12),IF(K71="القسط المتناقص",E71*(1-L71/100)^MIN(MAX(0,YEAR(TODAY())-YEAR(I71)),J71),IF(K71="وحدات الإنتاج",E71-G71*MIN(100,L71*MAX(0,YEAR(TODAY())-YEAR(I71)))/100,E71)))))))</f>
        <v/>
      </c>
      <c r="N71" s="21"/>
    </row>
    <row r="72" spans="2:14">
      <c r="B72" s="14"/>
      <c r="C72" s="15"/>
      <c r="D72" s="16"/>
      <c r="E72" s="17"/>
      <c r="F72" s="17"/>
      <c r="G72" s="17" t="str">
        <f>IF(C72="","",MAX(0,E72-F72))</f>
        <v/>
      </c>
      <c r="H72" s="14"/>
      <c r="I72" s="14"/>
      <c r="J72" s="14"/>
      <c r="K72" s="16"/>
      <c r="L72" s="14" t="str">
        <f>IF(OR(C72="",J72&lt;=0),"",ROUND(100/J72,2))</f>
        <v/>
      </c>
      <c r="M72" s="17" t="str">
        <f ca="1">IF(C72="","",IF(N72="مهلك",F72,MAX(F72,IF(I72&gt;TODAY(),E72,IF(K72="القسط الثابت",E72-G72*MIN(MAX(0,(YEAR(TODAY())-YEAR(I72))*12+MONTH(TODAY())-MONTH(I72)),J72*12)/(J72*12),IF(K72="القسط المتناقص",E72*(1-L72/100)^MIN(MAX(0,YEAR(TODAY())-YEAR(I72)),J72),IF(K72="وحدات الإنتاج",E72-G72*MIN(100,L72*MAX(0,YEAR(TODAY())-YEAR(I72)))/100,E72)))))))</f>
        <v/>
      </c>
      <c r="N72" s="14"/>
    </row>
    <row r="73" spans="2:14">
      <c r="B73" s="21"/>
      <c r="C73" s="22"/>
      <c r="D73" s="23"/>
      <c r="E73" s="24"/>
      <c r="F73" s="24"/>
      <c r="G73" s="24" t="str">
        <f>IF(C73="","",MAX(0,E73-F73))</f>
        <v/>
      </c>
      <c r="H73" s="21"/>
      <c r="I73" s="21"/>
      <c r="J73" s="21"/>
      <c r="K73" s="23"/>
      <c r="L73" s="21" t="str">
        <f>IF(OR(C73="",J73&lt;=0),"",ROUND(100/J73,2))</f>
        <v/>
      </c>
      <c r="M73" s="24" t="str">
        <f ca="1">IF(C73="","",IF(N73="مهلك",F73,MAX(F73,IF(I73&gt;TODAY(),E73,IF(K73="القسط الثابت",E73-G73*MIN(MAX(0,(YEAR(TODAY())-YEAR(I73))*12+MONTH(TODAY())-MONTH(I73)),J73*12)/(J73*12),IF(K73="القسط المتناقص",E73*(1-L73/100)^MIN(MAX(0,YEAR(TODAY())-YEAR(I73)),J73),IF(K73="وحدات الإنتاج",E73-G73*MIN(100,L73*MAX(0,YEAR(TODAY())-YEAR(I73)))/100,E73)))))))</f>
        <v/>
      </c>
      <c r="N73" s="21"/>
    </row>
    <row r="74" spans="2:14">
      <c r="B74" s="14"/>
      <c r="C74" s="15"/>
      <c r="D74" s="16"/>
      <c r="E74" s="17"/>
      <c r="F74" s="17"/>
      <c r="G74" s="17" t="str">
        <f>IF(C74="","",MAX(0,E74-F74))</f>
        <v/>
      </c>
      <c r="H74" s="14"/>
      <c r="I74" s="14"/>
      <c r="J74" s="14"/>
      <c r="K74" s="16"/>
      <c r="L74" s="14" t="str">
        <f>IF(OR(C74="",J74&lt;=0),"",ROUND(100/J74,2))</f>
        <v/>
      </c>
      <c r="M74" s="17" t="str">
        <f ca="1">IF(C74="","",IF(N74="مهلك",F74,MAX(F74,IF(I74&gt;TODAY(),E74,IF(K74="القسط الثابت",E74-G74*MIN(MAX(0,(YEAR(TODAY())-YEAR(I74))*12+MONTH(TODAY())-MONTH(I74)),J74*12)/(J74*12),IF(K74="القسط المتناقص",E74*(1-L74/100)^MIN(MAX(0,YEAR(TODAY())-YEAR(I74)),J74),IF(K74="وحدات الإنتاج",E74-G74*MIN(100,L74*MAX(0,YEAR(TODAY())-YEAR(I74)))/100,E74)))))))</f>
        <v/>
      </c>
      <c r="N74" s="14"/>
    </row>
    <row r="75" spans="2:14">
      <c r="B75" s="21"/>
      <c r="C75" s="22"/>
      <c r="D75" s="23"/>
      <c r="E75" s="24"/>
      <c r="F75" s="24"/>
      <c r="G75" s="24" t="str">
        <f>IF(C75="","",MAX(0,E75-F75))</f>
        <v/>
      </c>
      <c r="H75" s="21"/>
      <c r="I75" s="21"/>
      <c r="J75" s="21"/>
      <c r="K75" s="23"/>
      <c r="L75" s="21" t="str">
        <f>IF(OR(C75="",J75&lt;=0),"",ROUND(100/J75,2))</f>
        <v/>
      </c>
      <c r="M75" s="24" t="str">
        <f ca="1">IF(C75="","",IF(N75="مهلك",F75,MAX(F75,IF(I75&gt;TODAY(),E75,IF(K75="القسط الثابت",E75-G75*MIN(MAX(0,(YEAR(TODAY())-YEAR(I75))*12+MONTH(TODAY())-MONTH(I75)),J75*12)/(J75*12),IF(K75="القسط المتناقص",E75*(1-L75/100)^MIN(MAX(0,YEAR(TODAY())-YEAR(I75)),J75),IF(K75="وحدات الإنتاج",E75-G75*MIN(100,L75*MAX(0,YEAR(TODAY())-YEAR(I75)))/100,E75)))))))</f>
        <v/>
      </c>
      <c r="N75" s="21"/>
    </row>
    <row r="76" spans="2:14">
      <c r="B76" s="14"/>
      <c r="C76" s="15"/>
      <c r="D76" s="16"/>
      <c r="E76" s="17"/>
      <c r="F76" s="17"/>
      <c r="G76" s="17" t="str">
        <f>IF(C76="","",MAX(0,E76-F76))</f>
        <v/>
      </c>
      <c r="H76" s="14"/>
      <c r="I76" s="14"/>
      <c r="J76" s="14"/>
      <c r="K76" s="16"/>
      <c r="L76" s="14" t="str">
        <f>IF(OR(C76="",J76&lt;=0),"",ROUND(100/J76,2))</f>
        <v/>
      </c>
      <c r="M76" s="17" t="str">
        <f ca="1">IF(C76="","",IF(N76="مهلك",F76,MAX(F76,IF(I76&gt;TODAY(),E76,IF(K76="القسط الثابت",E76-G76*MIN(MAX(0,(YEAR(TODAY())-YEAR(I76))*12+MONTH(TODAY())-MONTH(I76)),J76*12)/(J76*12),IF(K76="القسط المتناقص",E76*(1-L76/100)^MIN(MAX(0,YEAR(TODAY())-YEAR(I76)),J76),IF(K76="وحدات الإنتاج",E76-G76*MIN(100,L76*MAX(0,YEAR(TODAY())-YEAR(I76)))/100,E76)))))))</f>
        <v/>
      </c>
      <c r="N76" s="14"/>
    </row>
    <row r="77" spans="2:14">
      <c r="B77" s="21"/>
      <c r="C77" s="22"/>
      <c r="D77" s="23"/>
      <c r="E77" s="24"/>
      <c r="F77" s="24"/>
      <c r="G77" s="24" t="str">
        <f>IF(C77="","",MAX(0,E77-F77))</f>
        <v/>
      </c>
      <c r="H77" s="21"/>
      <c r="I77" s="21"/>
      <c r="J77" s="21"/>
      <c r="K77" s="23"/>
      <c r="L77" s="21" t="str">
        <f>IF(OR(C77="",J77&lt;=0),"",ROUND(100/J77,2))</f>
        <v/>
      </c>
      <c r="M77" s="24" t="str">
        <f ca="1">IF(C77="","",IF(N77="مهلك",F77,MAX(F77,IF(I77&gt;TODAY(),E77,IF(K77="القسط الثابت",E77-G77*MIN(MAX(0,(YEAR(TODAY())-YEAR(I77))*12+MONTH(TODAY())-MONTH(I77)),J77*12)/(J77*12),IF(K77="القسط المتناقص",E77*(1-L77/100)^MIN(MAX(0,YEAR(TODAY())-YEAR(I77)),J77),IF(K77="وحدات الإنتاج",E77-G77*MIN(100,L77*MAX(0,YEAR(TODAY())-YEAR(I77)))/100,E77)))))))</f>
        <v/>
      </c>
      <c r="N77" s="21"/>
    </row>
    <row r="78" spans="2:14">
      <c r="B78" s="14"/>
      <c r="C78" s="15"/>
      <c r="D78" s="16"/>
      <c r="E78" s="17"/>
      <c r="F78" s="17"/>
      <c r="G78" s="17" t="str">
        <f>IF(C78="","",MAX(0,E78-F78))</f>
        <v/>
      </c>
      <c r="H78" s="14"/>
      <c r="I78" s="14"/>
      <c r="J78" s="14"/>
      <c r="K78" s="16"/>
      <c r="L78" s="14" t="str">
        <f>IF(OR(C78="",J78&lt;=0),"",ROUND(100/J78,2))</f>
        <v/>
      </c>
      <c r="M78" s="17" t="str">
        <f ca="1">IF(C78="","",IF(N78="مهلك",F78,MAX(F78,IF(I78&gt;TODAY(),E78,IF(K78="القسط الثابت",E78-G78*MIN(MAX(0,(YEAR(TODAY())-YEAR(I78))*12+MONTH(TODAY())-MONTH(I78)),J78*12)/(J78*12),IF(K78="القسط المتناقص",E78*(1-L78/100)^MIN(MAX(0,YEAR(TODAY())-YEAR(I78)),J78),IF(K78="وحدات الإنتاج",E78-G78*MIN(100,L78*MAX(0,YEAR(TODAY())-YEAR(I78)))/100,E78)))))))</f>
        <v/>
      </c>
      <c r="N78" s="14"/>
    </row>
    <row r="79" spans="2:14">
      <c r="B79" s="21"/>
      <c r="C79" s="22"/>
      <c r="D79" s="23"/>
      <c r="E79" s="24"/>
      <c r="F79" s="24"/>
      <c r="G79" s="24" t="str">
        <f>IF(C79="","",MAX(0,E79-F79))</f>
        <v/>
      </c>
      <c r="H79" s="21"/>
      <c r="I79" s="21"/>
      <c r="J79" s="21"/>
      <c r="K79" s="23"/>
      <c r="L79" s="21" t="str">
        <f>IF(OR(C79="",J79&lt;=0),"",ROUND(100/J79,2))</f>
        <v/>
      </c>
      <c r="M79" s="24" t="str">
        <f ca="1">IF(C79="","",IF(N79="مهلك",F79,MAX(F79,IF(I79&gt;TODAY(),E79,IF(K79="القسط الثابت",E79-G79*MIN(MAX(0,(YEAR(TODAY())-YEAR(I79))*12+MONTH(TODAY())-MONTH(I79)),J79*12)/(J79*12),IF(K79="القسط المتناقص",E79*(1-L79/100)^MIN(MAX(0,YEAR(TODAY())-YEAR(I79)),J79),IF(K79="وحدات الإنتاج",E79-G79*MIN(100,L79*MAX(0,YEAR(TODAY())-YEAR(I79)))/100,E79)))))))</f>
        <v/>
      </c>
      <c r="N79" s="21"/>
    </row>
    <row r="80" spans="2:14">
      <c r="B80" s="14"/>
      <c r="C80" s="15"/>
      <c r="D80" s="16"/>
      <c r="E80" s="17"/>
      <c r="F80" s="17"/>
      <c r="G80" s="17" t="str">
        <f>IF(C80="","",MAX(0,E80-F80))</f>
        <v/>
      </c>
      <c r="H80" s="14"/>
      <c r="I80" s="14"/>
      <c r="J80" s="14"/>
      <c r="K80" s="16"/>
      <c r="L80" s="14" t="str">
        <f>IF(OR(C80="",J80&lt;=0),"",ROUND(100/J80,2))</f>
        <v/>
      </c>
      <c r="M80" s="17" t="str">
        <f ca="1">IF(C80="","",IF(N80="مهلك",F80,MAX(F80,IF(I80&gt;TODAY(),E80,IF(K80="القسط الثابت",E80-G80*MIN(MAX(0,(YEAR(TODAY())-YEAR(I80))*12+MONTH(TODAY())-MONTH(I80)),J80*12)/(J80*12),IF(K80="القسط المتناقص",E80*(1-L80/100)^MIN(MAX(0,YEAR(TODAY())-YEAR(I80)),J80),IF(K80="وحدات الإنتاج",E80-G80*MIN(100,L80*MAX(0,YEAR(TODAY())-YEAR(I80)))/100,E80)))))))</f>
        <v/>
      </c>
      <c r="N80" s="14"/>
    </row>
    <row r="81" spans="2:14">
      <c r="B81" s="21"/>
      <c r="C81" s="22"/>
      <c r="D81" s="23"/>
      <c r="E81" s="24"/>
      <c r="F81" s="24"/>
      <c r="G81" s="24" t="str">
        <f>IF(C81="","",MAX(0,E81-F81))</f>
        <v/>
      </c>
      <c r="H81" s="21"/>
      <c r="I81" s="21"/>
      <c r="J81" s="21"/>
      <c r="K81" s="23"/>
      <c r="L81" s="21" t="str">
        <f>IF(OR(C81="",J81&lt;=0),"",ROUND(100/J81,2))</f>
        <v/>
      </c>
      <c r="M81" s="24" t="str">
        <f ca="1">IF(C81="","",IF(N81="مهلك",F81,MAX(F81,IF(I81&gt;TODAY(),E81,IF(K81="القسط الثابت",E81-G81*MIN(MAX(0,(YEAR(TODAY())-YEAR(I81))*12+MONTH(TODAY())-MONTH(I81)),J81*12)/(J81*12),IF(K81="القسط المتناقص",E81*(1-L81/100)^MIN(MAX(0,YEAR(TODAY())-YEAR(I81)),J81),IF(K81="وحدات الإنتاج",E81-G81*MIN(100,L81*MAX(0,YEAR(TODAY())-YEAR(I81)))/100,E81)))))))</f>
        <v/>
      </c>
      <c r="N81" s="21"/>
    </row>
    <row r="82" spans="2:14">
      <c r="B82" s="14"/>
      <c r="C82" s="15"/>
      <c r="D82" s="16"/>
      <c r="E82" s="17"/>
      <c r="F82" s="17"/>
      <c r="G82" s="17" t="str">
        <f>IF(C82="","",MAX(0,E82-F82))</f>
        <v/>
      </c>
      <c r="H82" s="14"/>
      <c r="I82" s="14"/>
      <c r="J82" s="14"/>
      <c r="K82" s="16"/>
      <c r="L82" s="14" t="str">
        <f>IF(OR(C82="",J82&lt;=0),"",ROUND(100/J82,2))</f>
        <v/>
      </c>
      <c r="M82" s="17" t="str">
        <f ca="1">IF(C82="","",IF(N82="مهلك",F82,MAX(F82,IF(I82&gt;TODAY(),E82,IF(K82="القسط الثابت",E82-G82*MIN(MAX(0,(YEAR(TODAY())-YEAR(I82))*12+MONTH(TODAY())-MONTH(I82)),J82*12)/(J82*12),IF(K82="القسط المتناقص",E82*(1-L82/100)^MIN(MAX(0,YEAR(TODAY())-YEAR(I82)),J82),IF(K82="وحدات الإنتاج",E82-G82*MIN(100,L82*MAX(0,YEAR(TODAY())-YEAR(I82)))/100,E82)))))))</f>
        <v/>
      </c>
      <c r="N82" s="14"/>
    </row>
    <row r="83" spans="2:14">
      <c r="B83" s="21"/>
      <c r="C83" s="22"/>
      <c r="D83" s="23"/>
      <c r="E83" s="24"/>
      <c r="F83" s="24"/>
      <c r="G83" s="24" t="str">
        <f>IF(C83="","",MAX(0,E83-F83))</f>
        <v/>
      </c>
      <c r="H83" s="21"/>
      <c r="I83" s="21"/>
      <c r="J83" s="21"/>
      <c r="K83" s="23"/>
      <c r="L83" s="21" t="str">
        <f>IF(OR(C83="",J83&lt;=0),"",ROUND(100/J83,2))</f>
        <v/>
      </c>
      <c r="M83" s="24" t="str">
        <f ca="1">IF(C83="","",IF(N83="مهلك",F83,MAX(F83,IF(I83&gt;TODAY(),E83,IF(K83="القسط الثابت",E83-G83*MIN(MAX(0,(YEAR(TODAY())-YEAR(I83))*12+MONTH(TODAY())-MONTH(I83)),J83*12)/(J83*12),IF(K83="القسط المتناقص",E83*(1-L83/100)^MIN(MAX(0,YEAR(TODAY())-YEAR(I83)),J83),IF(K83="وحدات الإنتاج",E83-G83*MIN(100,L83*MAX(0,YEAR(TODAY())-YEAR(I83)))/100,E83)))))))</f>
        <v/>
      </c>
      <c r="N83" s="21"/>
    </row>
    <row r="84" spans="2:14">
      <c r="B84" s="14"/>
      <c r="C84" s="15"/>
      <c r="D84" s="16"/>
      <c r="E84" s="17"/>
      <c r="F84" s="17"/>
      <c r="G84" s="17" t="str">
        <f>IF(C84="","",MAX(0,E84-F84))</f>
        <v/>
      </c>
      <c r="H84" s="14"/>
      <c r="I84" s="14"/>
      <c r="J84" s="14"/>
      <c r="K84" s="16"/>
      <c r="L84" s="14" t="str">
        <f>IF(OR(C84="",J84&lt;=0),"",ROUND(100/J84,2))</f>
        <v/>
      </c>
      <c r="M84" s="17" t="str">
        <f ca="1">IF(C84="","",IF(N84="مهلك",F84,MAX(F84,IF(I84&gt;TODAY(),E84,IF(K84="القسط الثابت",E84-G84*MIN(MAX(0,(YEAR(TODAY())-YEAR(I84))*12+MONTH(TODAY())-MONTH(I84)),J84*12)/(J84*12),IF(K84="القسط المتناقص",E84*(1-L84/100)^MIN(MAX(0,YEAR(TODAY())-YEAR(I84)),J84),IF(K84="وحدات الإنتاج",E84-G84*MIN(100,L84*MAX(0,YEAR(TODAY())-YEAR(I84)))/100,E84)))))))</f>
        <v/>
      </c>
      <c r="N84" s="14"/>
    </row>
    <row r="85" spans="2:14">
      <c r="B85" s="21"/>
      <c r="C85" s="22"/>
      <c r="D85" s="23"/>
      <c r="E85" s="24"/>
      <c r="F85" s="24"/>
      <c r="G85" s="24" t="str">
        <f>IF(C85="","",MAX(0,E85-F85))</f>
        <v/>
      </c>
      <c r="H85" s="21"/>
      <c r="I85" s="21"/>
      <c r="J85" s="21"/>
      <c r="K85" s="23"/>
      <c r="L85" s="21" t="str">
        <f>IF(OR(C85="",J85&lt;=0),"",ROUND(100/J85,2))</f>
        <v/>
      </c>
      <c r="M85" s="24" t="str">
        <f ca="1">IF(C85="","",IF(N85="مهلك",F85,MAX(F85,IF(I85&gt;TODAY(),E85,IF(K85="القسط الثابت",E85-G85*MIN(MAX(0,(YEAR(TODAY())-YEAR(I85))*12+MONTH(TODAY())-MONTH(I85)),J85*12)/(J85*12),IF(K85="القسط المتناقص",E85*(1-L85/100)^MIN(MAX(0,YEAR(TODAY())-YEAR(I85)),J85),IF(K85="وحدات الإنتاج",E85-G85*MIN(100,L85*MAX(0,YEAR(TODAY())-YEAR(I85)))/100,E85)))))))</f>
        <v/>
      </c>
      <c r="N85" s="21"/>
    </row>
    <row r="86" spans="2:14">
      <c r="B86" s="14"/>
      <c r="C86" s="15"/>
      <c r="D86" s="16"/>
      <c r="E86" s="17"/>
      <c r="F86" s="17"/>
      <c r="G86" s="17" t="str">
        <f>IF(C86="","",MAX(0,E86-F86))</f>
        <v/>
      </c>
      <c r="H86" s="14"/>
      <c r="I86" s="14"/>
      <c r="J86" s="14"/>
      <c r="K86" s="16"/>
      <c r="L86" s="14" t="str">
        <f>IF(OR(C86="",J86&lt;=0),"",ROUND(100/J86,2))</f>
        <v/>
      </c>
      <c r="M86" s="17" t="str">
        <f ca="1">IF(C86="","",IF(N86="مهلك",F86,MAX(F86,IF(I86&gt;TODAY(),E86,IF(K86="القسط الثابت",E86-G86*MIN(MAX(0,(YEAR(TODAY())-YEAR(I86))*12+MONTH(TODAY())-MONTH(I86)),J86*12)/(J86*12),IF(K86="القسط المتناقص",E86*(1-L86/100)^MIN(MAX(0,YEAR(TODAY())-YEAR(I86)),J86),IF(K86="وحدات الإنتاج",E86-G86*MIN(100,L86*MAX(0,YEAR(TODAY())-YEAR(I86)))/100,E86)))))))</f>
        <v/>
      </c>
      <c r="N86" s="14"/>
    </row>
    <row r="87" spans="2:14">
      <c r="B87" s="21"/>
      <c r="C87" s="22"/>
      <c r="D87" s="23"/>
      <c r="E87" s="24"/>
      <c r="F87" s="24"/>
      <c r="G87" s="24" t="str">
        <f>IF(C87="","",MAX(0,E87-F87))</f>
        <v/>
      </c>
      <c r="H87" s="21"/>
      <c r="I87" s="21"/>
      <c r="J87" s="21"/>
      <c r="K87" s="23"/>
      <c r="L87" s="21" t="str">
        <f>IF(OR(C87="",J87&lt;=0),"",ROUND(100/J87,2))</f>
        <v/>
      </c>
      <c r="M87" s="24" t="str">
        <f ca="1">IF(C87="","",IF(N87="مهلك",F87,MAX(F87,IF(I87&gt;TODAY(),E87,IF(K87="القسط الثابت",E87-G87*MIN(MAX(0,(YEAR(TODAY())-YEAR(I87))*12+MONTH(TODAY())-MONTH(I87)),J87*12)/(J87*12),IF(K87="القسط المتناقص",E87*(1-L87/100)^MIN(MAX(0,YEAR(TODAY())-YEAR(I87)),J87),IF(K87="وحدات الإنتاج",E87-G87*MIN(100,L87*MAX(0,YEAR(TODAY())-YEAR(I87)))/100,E87)))))))</f>
        <v/>
      </c>
      <c r="N87" s="21"/>
    </row>
    <row r="88" spans="2:14">
      <c r="B88" s="14"/>
      <c r="C88" s="15"/>
      <c r="D88" s="16"/>
      <c r="E88" s="17"/>
      <c r="F88" s="17"/>
      <c r="G88" s="17" t="str">
        <f>IF(C88="","",MAX(0,E88-F88))</f>
        <v/>
      </c>
      <c r="H88" s="14"/>
      <c r="I88" s="14"/>
      <c r="J88" s="14"/>
      <c r="K88" s="16"/>
      <c r="L88" s="14" t="str">
        <f>IF(OR(C88="",J88&lt;=0),"",ROUND(100/J88,2))</f>
        <v/>
      </c>
      <c r="M88" s="17" t="str">
        <f ca="1">IF(C88="","",IF(N88="مهلك",F88,MAX(F88,IF(I88&gt;TODAY(),E88,IF(K88="القسط الثابت",E88-G88*MIN(MAX(0,(YEAR(TODAY())-YEAR(I88))*12+MONTH(TODAY())-MONTH(I88)),J88*12)/(J88*12),IF(K88="القسط المتناقص",E88*(1-L88/100)^MIN(MAX(0,YEAR(TODAY())-YEAR(I88)),J88),IF(K88="وحدات الإنتاج",E88-G88*MIN(100,L88*MAX(0,YEAR(TODAY())-YEAR(I88)))/100,E88)))))))</f>
        <v/>
      </c>
      <c r="N88" s="14"/>
    </row>
    <row r="89" spans="2:14">
      <c r="B89" s="21"/>
      <c r="C89" s="22"/>
      <c r="D89" s="23"/>
      <c r="E89" s="24"/>
      <c r="F89" s="24"/>
      <c r="G89" s="24" t="str">
        <f>IF(C89="","",MAX(0,E89-F89))</f>
        <v/>
      </c>
      <c r="H89" s="21"/>
      <c r="I89" s="21"/>
      <c r="J89" s="21"/>
      <c r="K89" s="23"/>
      <c r="L89" s="21" t="str">
        <f>IF(OR(C89="",J89&lt;=0),"",ROUND(100/J89,2))</f>
        <v/>
      </c>
      <c r="M89" s="24" t="str">
        <f ca="1">IF(C89="","",IF(N89="مهلك",F89,MAX(F89,IF(I89&gt;TODAY(),E89,IF(K89="القسط الثابت",E89-G89*MIN(MAX(0,(YEAR(TODAY())-YEAR(I89))*12+MONTH(TODAY())-MONTH(I89)),J89*12)/(J89*12),IF(K89="القسط المتناقص",E89*(1-L89/100)^MIN(MAX(0,YEAR(TODAY())-YEAR(I89)),J89),IF(K89="وحدات الإنتاج",E89-G89*MIN(100,L89*MAX(0,YEAR(TODAY())-YEAR(I89)))/100,E89)))))))</f>
        <v/>
      </c>
      <c r="N89" s="21"/>
    </row>
    <row r="90" spans="2:14">
      <c r="B90" s="14"/>
      <c r="C90" s="15"/>
      <c r="D90" s="16"/>
      <c r="E90" s="17"/>
      <c r="F90" s="17"/>
      <c r="G90" s="17" t="str">
        <f>IF(C90="","",MAX(0,E90-F90))</f>
        <v/>
      </c>
      <c r="H90" s="14"/>
      <c r="I90" s="14"/>
      <c r="J90" s="14"/>
      <c r="K90" s="16"/>
      <c r="L90" s="14" t="str">
        <f>IF(OR(C90="",J90&lt;=0),"",ROUND(100/J90,2))</f>
        <v/>
      </c>
      <c r="M90" s="17" t="str">
        <f ca="1">IF(C90="","",IF(N90="مهلك",F90,MAX(F90,IF(I90&gt;TODAY(),E90,IF(K90="القسط الثابت",E90-G90*MIN(MAX(0,(YEAR(TODAY())-YEAR(I90))*12+MONTH(TODAY())-MONTH(I90)),J90*12)/(J90*12),IF(K90="القسط المتناقص",E90*(1-L90/100)^MIN(MAX(0,YEAR(TODAY())-YEAR(I90)),J90),IF(K90="وحدات الإنتاج",E90-G90*MIN(100,L90*MAX(0,YEAR(TODAY())-YEAR(I90)))/100,E90)))))))</f>
        <v/>
      </c>
      <c r="N90" s="14"/>
    </row>
    <row r="91" spans="2:14">
      <c r="B91" s="21"/>
      <c r="C91" s="22"/>
      <c r="D91" s="23"/>
      <c r="E91" s="24"/>
      <c r="F91" s="24"/>
      <c r="G91" s="24" t="str">
        <f>IF(C91="","",MAX(0,E91-F91))</f>
        <v/>
      </c>
      <c r="H91" s="21"/>
      <c r="I91" s="21"/>
      <c r="J91" s="21"/>
      <c r="K91" s="23"/>
      <c r="L91" s="21" t="str">
        <f>IF(OR(C91="",J91&lt;=0),"",ROUND(100/J91,2))</f>
        <v/>
      </c>
      <c r="M91" s="24" t="str">
        <f ca="1">IF(C91="","",IF(N91="مهلك",F91,MAX(F91,IF(I91&gt;TODAY(),E91,IF(K91="القسط الثابت",E91-G91*MIN(MAX(0,(YEAR(TODAY())-YEAR(I91))*12+MONTH(TODAY())-MONTH(I91)),J91*12)/(J91*12),IF(K91="القسط المتناقص",E91*(1-L91/100)^MIN(MAX(0,YEAR(TODAY())-YEAR(I91)),J91),IF(K91="وحدات الإنتاج",E91-G91*MIN(100,L91*MAX(0,YEAR(TODAY())-YEAR(I91)))/100,E91)))))))</f>
        <v/>
      </c>
      <c r="N91" s="21"/>
    </row>
    <row r="92" spans="2:14">
      <c r="B92" s="14"/>
      <c r="C92" s="15"/>
      <c r="D92" s="16"/>
      <c r="E92" s="17"/>
      <c r="F92" s="17"/>
      <c r="G92" s="17" t="str">
        <f>IF(C92="","",MAX(0,E92-F92))</f>
        <v/>
      </c>
      <c r="H92" s="14"/>
      <c r="I92" s="14"/>
      <c r="J92" s="14"/>
      <c r="K92" s="16"/>
      <c r="L92" s="14" t="str">
        <f>IF(OR(C92="",J92&lt;=0),"",ROUND(100/J92,2))</f>
        <v/>
      </c>
      <c r="M92" s="17" t="str">
        <f ca="1">IF(C92="","",IF(N92="مهلك",F92,MAX(F92,IF(I92&gt;TODAY(),E92,IF(K92="القسط الثابت",E92-G92*MIN(MAX(0,(YEAR(TODAY())-YEAR(I92))*12+MONTH(TODAY())-MONTH(I92)),J92*12)/(J92*12),IF(K92="القسط المتناقص",E92*(1-L92/100)^MIN(MAX(0,YEAR(TODAY())-YEAR(I92)),J92),IF(K92="وحدات الإنتاج",E92-G92*MIN(100,L92*MAX(0,YEAR(TODAY())-YEAR(I92)))/100,E92)))))))</f>
        <v/>
      </c>
      <c r="N92" s="14"/>
    </row>
    <row r="93" spans="2:14">
      <c r="B93" s="21"/>
      <c r="C93" s="22"/>
      <c r="D93" s="23"/>
      <c r="E93" s="24"/>
      <c r="F93" s="24"/>
      <c r="G93" s="24" t="str">
        <f>IF(C93="","",MAX(0,E93-F93))</f>
        <v/>
      </c>
      <c r="H93" s="21"/>
      <c r="I93" s="21"/>
      <c r="J93" s="21"/>
      <c r="K93" s="23"/>
      <c r="L93" s="21" t="str">
        <f>IF(OR(C93="",J93&lt;=0),"",ROUND(100/J93,2))</f>
        <v/>
      </c>
      <c r="M93" s="24" t="str">
        <f ca="1">IF(C93="","",IF(N93="مهلك",F93,MAX(F93,IF(I93&gt;TODAY(),E93,IF(K93="القسط الثابت",E93-G93*MIN(MAX(0,(YEAR(TODAY())-YEAR(I93))*12+MONTH(TODAY())-MONTH(I93)),J93*12)/(J93*12),IF(K93="القسط المتناقص",E93*(1-L93/100)^MIN(MAX(0,YEAR(TODAY())-YEAR(I93)),J93),IF(K93="وحدات الإنتاج",E93-G93*MIN(100,L93*MAX(0,YEAR(TODAY())-YEAR(I93)))/100,E93)))))))</f>
        <v/>
      </c>
      <c r="N93" s="21"/>
    </row>
    <row r="94" spans="2:14">
      <c r="B94" s="14"/>
      <c r="C94" s="15"/>
      <c r="D94" s="16"/>
      <c r="E94" s="17"/>
      <c r="F94" s="17"/>
      <c r="G94" s="17" t="str">
        <f>IF(C94="","",MAX(0,E94-F94))</f>
        <v/>
      </c>
      <c r="H94" s="14"/>
      <c r="I94" s="14"/>
      <c r="J94" s="14"/>
      <c r="K94" s="16"/>
      <c r="L94" s="14" t="str">
        <f>IF(OR(C94="",J94&lt;=0),"",ROUND(100/J94,2))</f>
        <v/>
      </c>
      <c r="M94" s="17" t="str">
        <f ca="1">IF(C94="","",IF(N94="مهلك",F94,MAX(F94,IF(I94&gt;TODAY(),E94,IF(K94="القسط الثابت",E94-G94*MIN(MAX(0,(YEAR(TODAY())-YEAR(I94))*12+MONTH(TODAY())-MONTH(I94)),J94*12)/(J94*12),IF(K94="القسط المتناقص",E94*(1-L94/100)^MIN(MAX(0,YEAR(TODAY())-YEAR(I94)),J94),IF(K94="وحدات الإنتاج",E94-G94*MIN(100,L94*MAX(0,YEAR(TODAY())-YEAR(I94)))/100,E94)))))))</f>
        <v/>
      </c>
      <c r="N94" s="14"/>
    </row>
    <row r="95" spans="2:14">
      <c r="B95" s="21"/>
      <c r="C95" s="22"/>
      <c r="D95" s="23"/>
      <c r="E95" s="24"/>
      <c r="F95" s="24"/>
      <c r="G95" s="24" t="str">
        <f>IF(C95="","",MAX(0,E95-F95))</f>
        <v/>
      </c>
      <c r="H95" s="21"/>
      <c r="I95" s="21"/>
      <c r="J95" s="21"/>
      <c r="K95" s="23"/>
      <c r="L95" s="21" t="str">
        <f>IF(OR(C95="",J95&lt;=0),"",ROUND(100/J95,2))</f>
        <v/>
      </c>
      <c r="M95" s="24" t="str">
        <f ca="1">IF(C95="","",IF(N95="مهلك",F95,MAX(F95,IF(I95&gt;TODAY(),E95,IF(K95="القسط الثابت",E95-G95*MIN(MAX(0,(YEAR(TODAY())-YEAR(I95))*12+MONTH(TODAY())-MONTH(I95)),J95*12)/(J95*12),IF(K95="القسط المتناقص",E95*(1-L95/100)^MIN(MAX(0,YEAR(TODAY())-YEAR(I95)),J95),IF(K95="وحدات الإنتاج",E95-G95*MIN(100,L95*MAX(0,YEAR(TODAY())-YEAR(I95)))/100,E95)))))))</f>
        <v/>
      </c>
      <c r="N95" s="21"/>
    </row>
    <row r="96" spans="2:14">
      <c r="B96" s="14"/>
      <c r="C96" s="15"/>
      <c r="D96" s="16"/>
      <c r="E96" s="17"/>
      <c r="F96" s="17"/>
      <c r="G96" s="17" t="str">
        <f>IF(C96="","",MAX(0,E96-F96))</f>
        <v/>
      </c>
      <c r="H96" s="14"/>
      <c r="I96" s="14"/>
      <c r="J96" s="14"/>
      <c r="K96" s="16"/>
      <c r="L96" s="14" t="str">
        <f>IF(OR(C96="",J96&lt;=0),"",ROUND(100/J96,2))</f>
        <v/>
      </c>
      <c r="M96" s="17" t="str">
        <f ca="1">IF(C96="","",IF(N96="مهلك",F96,MAX(F96,IF(I96&gt;TODAY(),E96,IF(K96="القسط الثابت",E96-G96*MIN(MAX(0,(YEAR(TODAY())-YEAR(I96))*12+MONTH(TODAY())-MONTH(I96)),J96*12)/(J96*12),IF(K96="القسط المتناقص",E96*(1-L96/100)^MIN(MAX(0,YEAR(TODAY())-YEAR(I96)),J96),IF(K96="وحدات الإنتاج",E96-G96*MIN(100,L96*MAX(0,YEAR(TODAY())-YEAR(I96)))/100,E96)))))))</f>
        <v/>
      </c>
      <c r="N96" s="14"/>
    </row>
    <row r="97" spans="2:14">
      <c r="B97" s="21"/>
      <c r="C97" s="22"/>
      <c r="D97" s="23"/>
      <c r="E97" s="24"/>
      <c r="F97" s="24"/>
      <c r="G97" s="24" t="str">
        <f>IF(C97="","",MAX(0,E97-F97))</f>
        <v/>
      </c>
      <c r="H97" s="21"/>
      <c r="I97" s="21"/>
      <c r="J97" s="21"/>
      <c r="K97" s="23"/>
      <c r="L97" s="21" t="str">
        <f>IF(OR(C97="",J97&lt;=0),"",ROUND(100/J97,2))</f>
        <v/>
      </c>
      <c r="M97" s="24" t="str">
        <f ca="1">IF(C97="","",IF(N97="مهلك",F97,MAX(F97,IF(I97&gt;TODAY(),E97,IF(K97="القسط الثابت",E97-G97*MIN(MAX(0,(YEAR(TODAY())-YEAR(I97))*12+MONTH(TODAY())-MONTH(I97)),J97*12)/(J97*12),IF(K97="القسط المتناقص",E97*(1-L97/100)^MIN(MAX(0,YEAR(TODAY())-YEAR(I97)),J97),IF(K97="وحدات الإنتاج",E97-G97*MIN(100,L97*MAX(0,YEAR(TODAY())-YEAR(I97)))/100,E97)))))))</f>
        <v/>
      </c>
      <c r="N97" s="21"/>
    </row>
    <row r="98" spans="2:14">
      <c r="B98" s="14"/>
      <c r="C98" s="15"/>
      <c r="D98" s="16"/>
      <c r="E98" s="17"/>
      <c r="F98" s="17"/>
      <c r="G98" s="17" t="str">
        <f>IF(C98="","",MAX(0,E98-F98))</f>
        <v/>
      </c>
      <c r="H98" s="14"/>
      <c r="I98" s="14"/>
      <c r="J98" s="14"/>
      <c r="K98" s="16"/>
      <c r="L98" s="14" t="str">
        <f>IF(OR(C98="",J98&lt;=0),"",ROUND(100/J98,2))</f>
        <v/>
      </c>
      <c r="M98" s="17" t="str">
        <f ca="1">IF(C98="","",IF(N98="مهلك",F98,MAX(F98,IF(I98&gt;TODAY(),E98,IF(K98="القسط الثابت",E98-G98*MIN(MAX(0,(YEAR(TODAY())-YEAR(I98))*12+MONTH(TODAY())-MONTH(I98)),J98*12)/(J98*12),IF(K98="القسط المتناقص",E98*(1-L98/100)^MIN(MAX(0,YEAR(TODAY())-YEAR(I98)),J98),IF(K98="وحدات الإنتاج",E98-G98*MIN(100,L98*MAX(0,YEAR(TODAY())-YEAR(I98)))/100,E98)))))))</f>
        <v/>
      </c>
      <c r="N98" s="14"/>
    </row>
    <row r="99" spans="2:14">
      <c r="B99" s="21"/>
      <c r="C99" s="22"/>
      <c r="D99" s="23"/>
      <c r="E99" s="24"/>
      <c r="F99" s="24"/>
      <c r="G99" s="24" t="str">
        <f>IF(C99="","",MAX(0,E99-F99))</f>
        <v/>
      </c>
      <c r="H99" s="21"/>
      <c r="I99" s="21"/>
      <c r="J99" s="21"/>
      <c r="K99" s="23"/>
      <c r="L99" s="21" t="str">
        <f>IF(OR(C99="",J99&lt;=0),"",ROUND(100/J99,2))</f>
        <v/>
      </c>
      <c r="M99" s="24" t="str">
        <f ca="1">IF(C99="","",IF(N99="مهلك",F99,MAX(F99,IF(I99&gt;TODAY(),E99,IF(K99="القسط الثابت",E99-G99*MIN(MAX(0,(YEAR(TODAY())-YEAR(I99))*12+MONTH(TODAY())-MONTH(I99)),J99*12)/(J99*12),IF(K99="القسط المتناقص",E99*(1-L99/100)^MIN(MAX(0,YEAR(TODAY())-YEAR(I99)),J99),IF(K99="وحدات الإنتاج",E99-G99*MIN(100,L99*MAX(0,YEAR(TODAY())-YEAR(I99)))/100,E99)))))))</f>
        <v/>
      </c>
      <c r="N99" s="21"/>
    </row>
    <row r="100" spans="2:14">
      <c r="B100" s="14"/>
      <c r="C100" s="15"/>
      <c r="D100" s="16"/>
      <c r="E100" s="17"/>
      <c r="F100" s="17"/>
      <c r="G100" s="17" t="str">
        <f>IF(C100="","",MAX(0,E100-F100))</f>
        <v/>
      </c>
      <c r="H100" s="14"/>
      <c r="I100" s="14"/>
      <c r="J100" s="14"/>
      <c r="K100" s="16"/>
      <c r="L100" s="14" t="str">
        <f>IF(OR(C100="",J100&lt;=0),"",ROUND(100/J100,2))</f>
        <v/>
      </c>
      <c r="M100" s="17" t="str">
        <f ca="1">IF(C100="","",IF(N100="مهلك",F100,MAX(F100,IF(I100&gt;TODAY(),E100,IF(K100="القسط الثابت",E100-G100*MIN(MAX(0,(YEAR(TODAY())-YEAR(I100))*12+MONTH(TODAY())-MONTH(I100)),J100*12)/(J100*12),IF(K100="القسط المتناقص",E100*(1-L100/100)^MIN(MAX(0,YEAR(TODAY())-YEAR(I100)),J100),IF(K100="وحدات الإنتاج",E100-G100*MIN(100,L100*MAX(0,YEAR(TODAY())-YEAR(I100)))/100,E100)))))))</f>
        <v/>
      </c>
      <c r="N100" s="14"/>
    </row>
    <row r="101" spans="2:14" ht="16.350000000000001" customHeight="1">
      <c r="B101" s="10" t="s">
        <v>57</v>
      </c>
      <c r="C101" s="10"/>
      <c r="D101" s="10"/>
      <c r="E101" s="28">
        <f>SUM(E6:E100)</f>
        <v>431000</v>
      </c>
      <c r="F101" s="28">
        <f>SUM(F6:F100)</f>
        <v>55500</v>
      </c>
      <c r="G101" s="28">
        <f>SUM(G6:G100)</f>
        <v>375500</v>
      </c>
      <c r="H101" s="29"/>
      <c r="I101" s="29"/>
      <c r="J101" s="29"/>
      <c r="K101" s="29"/>
      <c r="L101" s="29"/>
      <c r="M101" s="30">
        <f ca="1">SUM(M6:M100)</f>
        <v>310940.27777777781</v>
      </c>
      <c r="N101" s="29"/>
    </row>
  </sheetData>
  <mergeCells count="3">
    <mergeCell ref="B2:N2"/>
    <mergeCell ref="B3:N3"/>
    <mergeCell ref="B101:D101"/>
  </mergeCells>
  <dataValidations count="3">
    <dataValidation type="list" allowBlank="1" sqref="D6:D100" xr:uid="{00000000-0002-0000-0100-000000000000}">
      <formula1>"معدات المطبخ,أنظمة تقنية,أثاث وديكور,تجهيزات,مركبات"</formula1>
      <formula2>0</formula2>
    </dataValidation>
    <dataValidation type="list" allowBlank="1" sqref="K6:K100" xr:uid="{00000000-0002-0000-0100-000001000000}">
      <formula1>"القسط الثابت,القسط المتناقص,وحدات الإنتاج"</formula1>
      <formula2>0</formula2>
    </dataValidation>
    <dataValidation type="list" allowBlank="1" sqref="N6:N100" xr:uid="{00000000-0002-0000-0100-000002000000}">
      <formula1>"نشط,متوقف,مباع,مهلك"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M101"/>
  <sheetViews>
    <sheetView topLeftCell="H1" zoomScaleNormal="100" workbookViewId="0"/>
  </sheetViews>
  <sheetFormatPr defaultColWidth="8.609375" defaultRowHeight="15"/>
  <cols>
    <col min="1" max="1" width="2.95703125" customWidth="1"/>
    <col min="2" max="2" width="4.9765625" customWidth="1"/>
    <col min="3" max="3" width="20.04296875" customWidth="1"/>
    <col min="4" max="12" width="13.98828125" customWidth="1"/>
    <col min="13" max="13" width="2.95703125" customWidth="1"/>
  </cols>
  <sheetData>
    <row r="2" spans="2:13" ht="30" customHeight="1">
      <c r="B2" s="12" t="s">
        <v>58</v>
      </c>
      <c r="C2" s="12"/>
      <c r="D2" s="12"/>
      <c r="E2" s="12"/>
      <c r="F2" s="12"/>
      <c r="G2" s="12"/>
      <c r="H2" s="12"/>
      <c r="I2" s="12"/>
      <c r="J2" s="12"/>
      <c r="K2" s="12"/>
      <c r="L2" s="12"/>
    </row>
    <row r="3" spans="2:13" ht="21.75" customHeight="1">
      <c r="B3" s="11" t="s">
        <v>59</v>
      </c>
      <c r="C3" s="11"/>
      <c r="D3" s="11"/>
      <c r="E3" s="11"/>
      <c r="F3" s="11"/>
      <c r="G3" s="11"/>
      <c r="H3" s="11"/>
      <c r="I3" s="11"/>
      <c r="J3" s="11"/>
      <c r="K3" s="11"/>
      <c r="L3" s="11"/>
    </row>
    <row r="5" spans="2:13" ht="39.75" customHeight="1">
      <c r="B5" s="13" t="s">
        <v>23</v>
      </c>
      <c r="C5" s="13" t="s">
        <v>24</v>
      </c>
      <c r="D5" s="13" t="s">
        <v>26</v>
      </c>
      <c r="E5" s="13" t="s">
        <v>27</v>
      </c>
      <c r="F5" s="13" t="s">
        <v>60</v>
      </c>
      <c r="G5" s="13" t="s">
        <v>61</v>
      </c>
      <c r="H5" s="13" t="s">
        <v>32</v>
      </c>
      <c r="I5" s="13" t="s">
        <v>33</v>
      </c>
      <c r="J5" s="13" t="s">
        <v>62</v>
      </c>
      <c r="K5" s="13" t="s">
        <v>63</v>
      </c>
      <c r="L5" s="13" t="s">
        <v>64</v>
      </c>
      <c r="M5" s="13" t="s">
        <v>34</v>
      </c>
    </row>
    <row r="6" spans="2:13">
      <c r="B6" s="14">
        <f>IF('سجل الأصول'!B6="","",'سجل الأصول'!B6)</f>
        <v>1</v>
      </c>
      <c r="C6" s="15" t="str">
        <f>IF('سجل الأصول'!C6="","",'سجل الأصول'!C6)</f>
        <v>فرن بيتزا صناعي</v>
      </c>
      <c r="D6" s="17">
        <f>IF(C6="","",'سجل الأصول'!E6)</f>
        <v>60000</v>
      </c>
      <c r="E6" s="17">
        <f>IF(C6="","",'سجل الأصول'!F6)</f>
        <v>5000</v>
      </c>
      <c r="F6" s="17">
        <f>IF(C6="","",'سجل الأصول'!G6)</f>
        <v>55000</v>
      </c>
      <c r="G6" s="14">
        <f>IF(C6="","",'سجل الأصول'!J6)</f>
        <v>8</v>
      </c>
      <c r="H6" s="14" t="str">
        <f>IF(C6="","",'سجل الأصول'!K6)</f>
        <v>القسط الثابت</v>
      </c>
      <c r="I6" s="31">
        <f>IF(C6="","",'سجل الأصول'!L6)</f>
        <v>12.5</v>
      </c>
      <c r="J6" s="17">
        <f ca="1">IF(OR(C6="",'سجل الأصول'!I6&gt;TODAY(),G6&lt;=0),0,IF(H6="القسط الثابت",F6/(G6*12),IF(H6="القسط المتناقص",D6*(I6/100)/12,IF(H6="وحدات الإنتاج",F6*I6/100/12,0))))</f>
        <v>572.91666666666663</v>
      </c>
      <c r="K6" s="17">
        <f ca="1">IF(C6="",0,J6*12)</f>
        <v>6875</v>
      </c>
      <c r="L6" s="17">
        <f ca="1">IF(OR(C6="",'سجل الأصول'!N6="مهلك"),0,MAX(0,D6-M6))</f>
        <v>17760.416666666672</v>
      </c>
      <c r="M6" s="17">
        <f ca="1">IF(C6="","",'سجل الأصول'!M6)</f>
        <v>42239.583333333328</v>
      </c>
    </row>
    <row r="7" spans="2:13">
      <c r="B7" s="21">
        <f>IF('سجل الأصول'!B7="","",'سجل الأصول'!B7)</f>
        <v>2</v>
      </c>
      <c r="C7" s="22" t="str">
        <f>IF('سجل الأصول'!C7="","",'سجل الأصول'!C7)</f>
        <v>ثلاجة عرض مشروبات</v>
      </c>
      <c r="D7" s="24">
        <f>IF(C7="","",'سجل الأصول'!E7)</f>
        <v>18000</v>
      </c>
      <c r="E7" s="24">
        <f>IF(C7="","",'سجل الأصول'!F7)</f>
        <v>2000</v>
      </c>
      <c r="F7" s="24">
        <f>IF(C7="","",'سجل الأصول'!G7)</f>
        <v>16000</v>
      </c>
      <c r="G7" s="21">
        <f>IF(C7="","",'سجل الأصول'!J7)</f>
        <v>6</v>
      </c>
      <c r="H7" s="21" t="str">
        <f>IF(C7="","",'سجل الأصول'!K7)</f>
        <v>القسط الثابت</v>
      </c>
      <c r="I7" s="32">
        <f>IF(C7="","",'سجل الأصول'!L7)</f>
        <v>16.670000000000002</v>
      </c>
      <c r="J7" s="24">
        <f ca="1">IF(OR(C7="",'سجل الأصول'!I7&gt;TODAY(),G7&lt;=0),0,IF(H7="القسط الثابت",F7/(G7*12),IF(H7="القسط المتناقص",D7*(I7/100)/12,IF(H7="وحدات الإنتاج",F7*I7/100/12,0))))</f>
        <v>222.22222222222223</v>
      </c>
      <c r="K7" s="24">
        <f ca="1">IF(C7="",0,J7*12)</f>
        <v>2666.666666666667</v>
      </c>
      <c r="L7" s="24">
        <f ca="1">IF(OR(C7="",'سجل الأصول'!N7="مهلك"),0,MAX(0,D7-M7))</f>
        <v>6888.8888888888887</v>
      </c>
      <c r="M7" s="24">
        <f ca="1">IF(C7="","",'سجل الأصول'!M7)</f>
        <v>11111.111111111111</v>
      </c>
    </row>
    <row r="8" spans="2:13">
      <c r="B8" s="14">
        <f>IF('سجل الأصول'!B8="","",'سجل الأصول'!B8)</f>
        <v>3</v>
      </c>
      <c r="C8" s="15" t="str">
        <f>IF('سجل الأصول'!C8="","",'سجل الأصول'!C8)</f>
        <v>غسالة صحون صناعية</v>
      </c>
      <c r="D8" s="17">
        <f>IF(C8="","",'سجل الأصول'!E8)</f>
        <v>25000</v>
      </c>
      <c r="E8" s="17">
        <f>IF(C8="","",'سجل الأصول'!F8)</f>
        <v>3000</v>
      </c>
      <c r="F8" s="17">
        <f>IF(C8="","",'سجل الأصول'!G8)</f>
        <v>22000</v>
      </c>
      <c r="G8" s="14">
        <f>IF(C8="","",'سجل الأصول'!J8)</f>
        <v>7</v>
      </c>
      <c r="H8" s="14" t="str">
        <f>IF(C8="","",'سجل الأصول'!K8)</f>
        <v>القسط الثابت</v>
      </c>
      <c r="I8" s="31">
        <f>IF(C8="","",'سجل الأصول'!L8)</f>
        <v>14.29</v>
      </c>
      <c r="J8" s="17">
        <f ca="1">IF(OR(C8="",'سجل الأصول'!I8&gt;TODAY(),G8&lt;=0),0,IF(H8="القسط الثابت",F8/(G8*12),IF(H8="القسط المتناقص",D8*(I8/100)/12,IF(H8="وحدات الإنتاج",F8*I8/100/12,0))))</f>
        <v>261.90476190476193</v>
      </c>
      <c r="K8" s="17">
        <f ca="1">IF(C8="",0,J8*12)</f>
        <v>3142.8571428571431</v>
      </c>
      <c r="L8" s="17">
        <f ca="1">IF(OR(C8="",'سجل الأصول'!N8="مهلك"),0,MAX(0,D8-M8))</f>
        <v>7857.1428571428551</v>
      </c>
      <c r="M8" s="17">
        <f ca="1">IF(C8="","",'سجل الأصول'!M8)</f>
        <v>17142.857142857145</v>
      </c>
    </row>
    <row r="9" spans="2:13">
      <c r="B9" s="21">
        <f>IF('سجل الأصول'!B9="","",'سجل الأصول'!B9)</f>
        <v>4</v>
      </c>
      <c r="C9" s="22" t="str">
        <f>IF('سجل الأصول'!C9="","",'سجل الأصول'!C9)</f>
        <v>شواية غاز مفتوحة</v>
      </c>
      <c r="D9" s="24">
        <f>IF(C9="","",'سجل الأصول'!E9)</f>
        <v>32000</v>
      </c>
      <c r="E9" s="24">
        <f>IF(C9="","",'سجل الأصول'!F9)</f>
        <v>4000</v>
      </c>
      <c r="F9" s="24">
        <f>IF(C9="","",'سجل الأصول'!G9)</f>
        <v>28000</v>
      </c>
      <c r="G9" s="21">
        <f>IF(C9="","",'سجل الأصول'!J9)</f>
        <v>10</v>
      </c>
      <c r="H9" s="21" t="str">
        <f>IF(C9="","",'سجل الأصول'!K9)</f>
        <v>القسط الثابت</v>
      </c>
      <c r="I9" s="32">
        <f>IF(C9="","",'سجل الأصول'!L9)</f>
        <v>10</v>
      </c>
      <c r="J9" s="24">
        <f ca="1">IF(OR(C9="",'سجل الأصول'!I9&gt;TODAY(),G9&lt;=0),0,IF(H9="القسط الثابت",F9/(G9*12),IF(H9="القسط المتناقص",D9*(I9/100)/12,IF(H9="وحدات الإنتاج",F9*I9/100/12,0))))</f>
        <v>233.33333333333334</v>
      </c>
      <c r="K9" s="24">
        <f ca="1">IF(C9="",0,J9*12)</f>
        <v>2800</v>
      </c>
      <c r="L9" s="24">
        <f ca="1">IF(OR(C9="",'سجل الأصول'!N9="مهلك"),0,MAX(0,D9-M9))</f>
        <v>7000</v>
      </c>
      <c r="M9" s="24">
        <f ca="1">IF(C9="","",'سجل الأصول'!M9)</f>
        <v>25000</v>
      </c>
    </row>
    <row r="10" spans="2:13">
      <c r="B10" s="14">
        <f>IF('سجل الأصول'!B10="","",'سجل الأصول'!B10)</f>
        <v>5</v>
      </c>
      <c r="C10" s="15" t="str">
        <f>IF('سجل الأصول'!C10="","",'سجل الأصول'!C10)</f>
        <v>جهاز POS (نقاط البيع)</v>
      </c>
      <c r="D10" s="17">
        <f>IF(C10="","",'سجل الأصول'!E10)</f>
        <v>8000</v>
      </c>
      <c r="E10" s="17">
        <f>IF(C10="","",'سجل الأصول'!F10)</f>
        <v>500</v>
      </c>
      <c r="F10" s="17">
        <f>IF(C10="","",'سجل الأصول'!G10)</f>
        <v>7500</v>
      </c>
      <c r="G10" s="14">
        <f>IF(C10="","",'سجل الأصول'!J10)</f>
        <v>4</v>
      </c>
      <c r="H10" s="14" t="str">
        <f>IF(C10="","",'سجل الأصول'!K10)</f>
        <v>القسط المتناقص</v>
      </c>
      <c r="I10" s="31">
        <f>IF(C10="","",'سجل الأصول'!L10)</f>
        <v>25</v>
      </c>
      <c r="J10" s="17">
        <f ca="1">IF(OR(C10="",'سجل الأصول'!I10&gt;TODAY(),G10&lt;=0),0,IF(H10="القسط الثابت",F10/(G10*12),IF(H10="القسط المتناقص",D10*(I10/100)/12,IF(H10="وحدات الإنتاج",F10*I10/100/12,0))))</f>
        <v>166.66666666666666</v>
      </c>
      <c r="K10" s="17">
        <f ca="1">IF(C10="",0,J10*12)</f>
        <v>2000</v>
      </c>
      <c r="L10" s="17">
        <f ca="1">IF(OR(C10="",'سجل الأصول'!N10="مهلك"),0,MAX(0,D10-M10))</f>
        <v>3500</v>
      </c>
      <c r="M10" s="17">
        <f ca="1">IF(C10="","",'سجل الأصول'!M10)</f>
        <v>4500</v>
      </c>
    </row>
    <row r="11" spans="2:13">
      <c r="B11" s="21">
        <f>IF('سجل الأصول'!B11="","",'سجل الأصول'!B11)</f>
        <v>6</v>
      </c>
      <c r="C11" s="22" t="str">
        <f>IF('سجل الأصول'!C11="","",'سجل الأصول'!C11)</f>
        <v>نظام كاميرات مراقبة</v>
      </c>
      <c r="D11" s="24">
        <f>IF(C11="","",'سجل الأصول'!E11)</f>
        <v>15000</v>
      </c>
      <c r="E11" s="24">
        <f>IF(C11="","",'سجل الأصول'!F11)</f>
        <v>1000</v>
      </c>
      <c r="F11" s="24">
        <f>IF(C11="","",'سجل الأصول'!G11)</f>
        <v>14000</v>
      </c>
      <c r="G11" s="21">
        <f>IF(C11="","",'سجل الأصول'!J11)</f>
        <v>5</v>
      </c>
      <c r="H11" s="21" t="str">
        <f>IF(C11="","",'سجل الأصول'!K11)</f>
        <v>القسط المتناقص</v>
      </c>
      <c r="I11" s="32">
        <f>IF(C11="","",'سجل الأصول'!L11)</f>
        <v>20</v>
      </c>
      <c r="J11" s="24">
        <f ca="1">IF(OR(C11="",'سجل الأصول'!I11&gt;TODAY(),G11&lt;=0),0,IF(H11="القسط الثابت",F11/(G11*12),IF(H11="القسط المتناقص",D11*(I11/100)/12,IF(H11="وحدات الإنتاج",F11*I11/100/12,0))))</f>
        <v>250</v>
      </c>
      <c r="K11" s="24">
        <f ca="1">IF(C11="",0,J11*12)</f>
        <v>3000</v>
      </c>
      <c r="L11" s="24">
        <f ca="1">IF(OR(C11="",'سجل الأصول'!N11="مهلك"),0,MAX(0,D11-M11))</f>
        <v>5399.9999999999982</v>
      </c>
      <c r="M11" s="24">
        <f ca="1">IF(C11="","",'سجل الأصول'!M11)</f>
        <v>9600.0000000000018</v>
      </c>
    </row>
    <row r="12" spans="2:13">
      <c r="B12" s="14">
        <f>IF('سجل الأصول'!B12="","",'سجل الأصول'!B12)</f>
        <v>7</v>
      </c>
      <c r="C12" s="15" t="str">
        <f>IF('سجل الأصول'!C12="","",'سجل الأصول'!C12)</f>
        <v>أثاث صالة الطعام</v>
      </c>
      <c r="D12" s="17">
        <f>IF(C12="","",'سجل الأصول'!E12)</f>
        <v>55000</v>
      </c>
      <c r="E12" s="17">
        <f>IF(C12="","",'سجل الأصول'!F12)</f>
        <v>8000</v>
      </c>
      <c r="F12" s="17">
        <f>IF(C12="","",'سجل الأصول'!G12)</f>
        <v>47000</v>
      </c>
      <c r="G12" s="14">
        <f>IF(C12="","",'سجل الأصول'!J12)</f>
        <v>10</v>
      </c>
      <c r="H12" s="14" t="str">
        <f>IF(C12="","",'سجل الأصول'!K12)</f>
        <v>القسط الثابت</v>
      </c>
      <c r="I12" s="31">
        <f>IF(C12="","",'سجل الأصول'!L12)</f>
        <v>10</v>
      </c>
      <c r="J12" s="17">
        <f ca="1">IF(OR(C12="",'سجل الأصول'!I12&gt;TODAY(),G12&lt;=0),0,IF(H12="القسط الثابت",F12/(G12*12),IF(H12="القسط المتناقص",D12*(I12/100)/12,IF(H12="وحدات الإنتاج",F12*I12/100/12,0))))</f>
        <v>391.66666666666669</v>
      </c>
      <c r="K12" s="17">
        <f ca="1">IF(C12="",0,J12*12)</f>
        <v>4700</v>
      </c>
      <c r="L12" s="17">
        <f ca="1">IF(OR(C12="",'سجل الأصول'!N12="مهلك"),0,MAX(0,D12-M12))</f>
        <v>12141.666666666664</v>
      </c>
      <c r="M12" s="17">
        <f ca="1">IF(C12="","",'سجل الأصول'!M12)</f>
        <v>42858.333333333336</v>
      </c>
    </row>
    <row r="13" spans="2:13">
      <c r="B13" s="21">
        <f>IF('سجل الأصول'!B13="","",'سجل الأصول'!B13)</f>
        <v>8</v>
      </c>
      <c r="C13" s="22" t="str">
        <f>IF('سجل الأصول'!C13="","",'سجل الأصول'!C13)</f>
        <v>إضاءة ديكور داخلي</v>
      </c>
      <c r="D13" s="24">
        <f>IF(C13="","",'سجل الأصول'!E13)</f>
        <v>22000</v>
      </c>
      <c r="E13" s="24">
        <f>IF(C13="","",'سجل الأصول'!F13)</f>
        <v>3000</v>
      </c>
      <c r="F13" s="24">
        <f>IF(C13="","",'سجل الأصول'!G13)</f>
        <v>19000</v>
      </c>
      <c r="G13" s="21">
        <f>IF(C13="","",'سجل الأصول'!J13)</f>
        <v>8</v>
      </c>
      <c r="H13" s="21" t="str">
        <f>IF(C13="","",'سجل الأصول'!K13)</f>
        <v>القسط الثابت</v>
      </c>
      <c r="I13" s="32">
        <f>IF(C13="","",'سجل الأصول'!L13)</f>
        <v>12.5</v>
      </c>
      <c r="J13" s="24">
        <f ca="1">IF(OR(C13="",'سجل الأصول'!I13&gt;TODAY(),G13&lt;=0),0,IF(H13="القسط الثابت",F13/(G13*12),IF(H13="القسط المتناقص",D13*(I13/100)/12,IF(H13="وحدات الإنتاج",F13*I13/100/12,0))))</f>
        <v>197.91666666666666</v>
      </c>
      <c r="K13" s="24">
        <f ca="1">IF(C13="",0,J13*12)</f>
        <v>2375</v>
      </c>
      <c r="L13" s="24">
        <f ca="1">IF(OR(C13="",'سجل الأصول'!N13="مهلك"),0,MAX(0,D13-M13))</f>
        <v>6135.4166666666679</v>
      </c>
      <c r="M13" s="24">
        <f ca="1">IF(C13="","",'سجل الأصول'!M13)</f>
        <v>15864.583333333332</v>
      </c>
    </row>
    <row r="14" spans="2:13">
      <c r="B14" s="14">
        <f>IF('سجل الأصول'!B14="","",'سجل الأصول'!B14)</f>
        <v>9</v>
      </c>
      <c r="C14" s="15" t="str">
        <f>IF('سجل الأصول'!C14="","",'سجل الأصول'!C14)</f>
        <v>مكيفات مركزية HVAC</v>
      </c>
      <c r="D14" s="17">
        <f>IF(C14="","",'سجل الأصول'!E14)</f>
        <v>65000</v>
      </c>
      <c r="E14" s="17">
        <f>IF(C14="","",'سجل الأصول'!F14)</f>
        <v>8000</v>
      </c>
      <c r="F14" s="17">
        <f>IF(C14="","",'سجل الأصول'!G14)</f>
        <v>57000</v>
      </c>
      <c r="G14" s="14">
        <f>IF(C14="","",'سجل الأصول'!J14)</f>
        <v>15</v>
      </c>
      <c r="H14" s="14" t="str">
        <f>IF(C14="","",'سجل الأصول'!K14)</f>
        <v>القسط الثابت</v>
      </c>
      <c r="I14" s="31">
        <f>IF(C14="","",'سجل الأصول'!L14)</f>
        <v>6.67</v>
      </c>
      <c r="J14" s="17">
        <f ca="1">IF(OR(C14="",'سجل الأصول'!I14&gt;TODAY(),G14&lt;=0),0,IF(H14="القسط الثابت",F14/(G14*12),IF(H14="القسط المتناقص",D14*(I14/100)/12,IF(H14="وحدات الإنتاج",F14*I14/100/12,0))))</f>
        <v>316.66666666666669</v>
      </c>
      <c r="K14" s="17">
        <f ca="1">IF(C14="",0,J14*12)</f>
        <v>3800</v>
      </c>
      <c r="L14" s="17">
        <f ca="1">IF(OR(C14="",'سجل الأصول'!N14="مهلك"),0,MAX(0,D14-M14))</f>
        <v>9816.6666666666642</v>
      </c>
      <c r="M14" s="17">
        <f ca="1">IF(C14="","",'سجل الأصول'!M14)</f>
        <v>55183.333333333336</v>
      </c>
    </row>
    <row r="15" spans="2:13">
      <c r="B15" s="21">
        <f>IF('سجل الأصول'!B15="","",'سجل الأصول'!B15)</f>
        <v>10</v>
      </c>
      <c r="C15" s="22" t="str">
        <f>IF('سجل الأصول'!C15="","",'سجل الأصول'!C15)</f>
        <v>سيارة توصيل طلبات</v>
      </c>
      <c r="D15" s="24">
        <f>IF(C15="","",'سجل الأصول'!E15)</f>
        <v>85000</v>
      </c>
      <c r="E15" s="24">
        <f>IF(C15="","",'سجل الأصول'!F15)</f>
        <v>15000</v>
      </c>
      <c r="F15" s="24">
        <f>IF(C15="","",'سجل الأصول'!G15)</f>
        <v>70000</v>
      </c>
      <c r="G15" s="21">
        <f>IF(C15="","",'سجل الأصول'!J15)</f>
        <v>5</v>
      </c>
      <c r="H15" s="21" t="str">
        <f>IF(C15="","",'سجل الأصول'!K15)</f>
        <v>وحدات الإنتاج</v>
      </c>
      <c r="I15" s="32">
        <f>IF(C15="","",'سجل الأصول'!L15)</f>
        <v>20</v>
      </c>
      <c r="J15" s="24">
        <f ca="1">IF(OR(C15="",'سجل الأصول'!I15&gt;TODAY(),G15&lt;=0),0,IF(H15="القسط الثابت",F15/(G15*12),IF(H15="القسط المتناقص",D15*(I15/100)/12,IF(H15="وحدات الإنتاج",F15*I15/100/12,0))))</f>
        <v>1166.6666666666667</v>
      </c>
      <c r="K15" s="24">
        <f ca="1">IF(C15="",0,J15*12)</f>
        <v>14000</v>
      </c>
      <c r="L15" s="24">
        <f ca="1">IF(OR(C15="",'سجل الأصول'!N15="مهلك"),0,MAX(0,D15-M15))</f>
        <v>28000</v>
      </c>
      <c r="M15" s="24">
        <f ca="1">IF(C15="","",'سجل الأصول'!M15)</f>
        <v>57000</v>
      </c>
    </row>
    <row r="16" spans="2:13">
      <c r="B16" s="14">
        <f>IF('سجل الأصول'!B16="","",'سجل الأصول'!B16)</f>
        <v>11</v>
      </c>
      <c r="C16" s="15" t="str">
        <f>IF('سجل الأصول'!C16="","",'سجل الأصول'!C16)</f>
        <v>ماكينة قهوة احترافية</v>
      </c>
      <c r="D16" s="17">
        <f>IF(C16="","",'سجل الأصول'!E16)</f>
        <v>28000</v>
      </c>
      <c r="E16" s="17">
        <f>IF(C16="","",'سجل الأصول'!F16)</f>
        <v>3500</v>
      </c>
      <c r="F16" s="17">
        <f>IF(C16="","",'سجل الأصول'!G16)</f>
        <v>24500</v>
      </c>
      <c r="G16" s="14">
        <f>IF(C16="","",'سجل الأصول'!J16)</f>
        <v>6</v>
      </c>
      <c r="H16" s="14" t="str">
        <f>IF(C16="","",'سجل الأصول'!K16)</f>
        <v>القسط الثابت</v>
      </c>
      <c r="I16" s="31">
        <f>IF(C16="","",'سجل الأصول'!L16)</f>
        <v>16.670000000000002</v>
      </c>
      <c r="J16" s="17">
        <f ca="1">IF(OR(C16="",'سجل الأصول'!I16&gt;TODAY(),G16&lt;=0),0,IF(H16="القسط الثابت",F16/(G16*12),IF(H16="القسط المتناقص",D16*(I16/100)/12,IF(H16="وحدات الإنتاج",F16*I16/100/12,0))))</f>
        <v>340.27777777777777</v>
      </c>
      <c r="K16" s="17">
        <f ca="1">IF(C16="",0,J16*12)</f>
        <v>4083.333333333333</v>
      </c>
      <c r="L16" s="17">
        <f ca="1">IF(OR(C16="",'سجل الأصول'!N16="مهلك"),0,MAX(0,D16-M16))</f>
        <v>10208.333333333336</v>
      </c>
      <c r="M16" s="17">
        <f ca="1">IF(C16="","",'سجل الأصول'!M16)</f>
        <v>17791.666666666664</v>
      </c>
    </row>
    <row r="17" spans="2:13">
      <c r="B17" s="21">
        <f>IF('سجل الأصول'!B17="","",'سجل الأصول'!B17)</f>
        <v>12</v>
      </c>
      <c r="C17" s="22" t="str">
        <f>IF('سجل الأصول'!C17="","",'سجل الأصول'!C17)</f>
        <v>طاولات وكراسي خارجية</v>
      </c>
      <c r="D17" s="24">
        <f>IF(C17="","",'سجل الأصول'!E17)</f>
        <v>18000</v>
      </c>
      <c r="E17" s="24">
        <f>IF(C17="","",'سجل الأصول'!F17)</f>
        <v>2500</v>
      </c>
      <c r="F17" s="24">
        <f>IF(C17="","",'سجل الأصول'!G17)</f>
        <v>15500</v>
      </c>
      <c r="G17" s="21">
        <f>IF(C17="","",'سجل الأصول'!J17)</f>
        <v>7</v>
      </c>
      <c r="H17" s="21" t="str">
        <f>IF(C17="","",'سجل الأصول'!K17)</f>
        <v>القسط الثابت</v>
      </c>
      <c r="I17" s="32">
        <f>IF(C17="","",'سجل الأصول'!L17)</f>
        <v>14.29</v>
      </c>
      <c r="J17" s="24">
        <f ca="1">IF(OR(C17="",'سجل الأصول'!I17&gt;TODAY(),G17&lt;=0),0,IF(H17="القسط الثابت",F17/(G17*12),IF(H17="القسط المتناقص",D17*(I17/100)/12,IF(H17="وحدات الإنتاج",F17*I17/100/12,0))))</f>
        <v>184.52380952380952</v>
      </c>
      <c r="K17" s="24">
        <f ca="1">IF(C17="",0,J17*12)</f>
        <v>2214.2857142857142</v>
      </c>
      <c r="L17" s="24">
        <f ca="1">IF(OR(C17="",'سجل الأصول'!N17="مهلك"),0,MAX(0,D17-M17))</f>
        <v>5351.1904761904771</v>
      </c>
      <c r="M17" s="24">
        <f ca="1">IF(C17="","",'سجل الأصول'!M17)</f>
        <v>12648.809523809523</v>
      </c>
    </row>
    <row r="18" spans="2:13">
      <c r="B18" s="14" t="str">
        <f>IF('سجل الأصول'!B18="","",'سجل الأصول'!B18)</f>
        <v/>
      </c>
      <c r="C18" s="15" t="str">
        <f>IF('سجل الأصول'!C18="","",'سجل الأصول'!C18)</f>
        <v/>
      </c>
      <c r="D18" s="17" t="str">
        <f>IF(C18="","",'سجل الأصول'!E18)</f>
        <v/>
      </c>
      <c r="E18" s="17" t="str">
        <f>IF(C18="","",'سجل الأصول'!F18)</f>
        <v/>
      </c>
      <c r="F18" s="17" t="str">
        <f>IF(C18="","",'سجل الأصول'!G18)</f>
        <v/>
      </c>
      <c r="G18" s="14" t="str">
        <f>IF(C18="","",'سجل الأصول'!J18)</f>
        <v/>
      </c>
      <c r="H18" s="14" t="str">
        <f>IF(C18="","",'سجل الأصول'!K18)</f>
        <v/>
      </c>
      <c r="I18" s="31" t="str">
        <f>IF(C18="","",'سجل الأصول'!L18)</f>
        <v/>
      </c>
      <c r="J18" s="17">
        <f ca="1">IF(OR(C18="",'سجل الأصول'!I18&gt;TODAY(),G18&lt;=0),0,IF(H18="القسط الثابت",F18/(G18*12),IF(H18="القسط المتناقص",D18*(I18/100)/12,IF(H18="وحدات الإنتاج",F18*I18/100/12,0))))</f>
        <v>0</v>
      </c>
      <c r="K18" s="17">
        <f>IF(C18="",0,J18*12)</f>
        <v>0</v>
      </c>
      <c r="L18" s="17">
        <f>IF(OR(C18="",'سجل الأصول'!N18="مهلك"),0,MAX(0,D18-M18))</f>
        <v>0</v>
      </c>
      <c r="M18" s="17" t="str">
        <f>IF(C18="","",'سجل الأصول'!M18)</f>
        <v/>
      </c>
    </row>
    <row r="19" spans="2:13">
      <c r="B19" s="21" t="str">
        <f>IF('سجل الأصول'!B19="","",'سجل الأصول'!B19)</f>
        <v/>
      </c>
      <c r="C19" s="22" t="str">
        <f>IF('سجل الأصول'!C19="","",'سجل الأصول'!C19)</f>
        <v/>
      </c>
      <c r="D19" s="24" t="str">
        <f>IF(C19="","",'سجل الأصول'!E19)</f>
        <v/>
      </c>
      <c r="E19" s="24" t="str">
        <f>IF(C19="","",'سجل الأصول'!F19)</f>
        <v/>
      </c>
      <c r="F19" s="24" t="str">
        <f>IF(C19="","",'سجل الأصول'!G19)</f>
        <v/>
      </c>
      <c r="G19" s="21" t="str">
        <f>IF(C19="","",'سجل الأصول'!J19)</f>
        <v/>
      </c>
      <c r="H19" s="21" t="str">
        <f>IF(C19="","",'سجل الأصول'!K19)</f>
        <v/>
      </c>
      <c r="I19" s="32" t="str">
        <f>IF(C19="","",'سجل الأصول'!L19)</f>
        <v/>
      </c>
      <c r="J19" s="24">
        <f ca="1">IF(OR(C19="",'سجل الأصول'!I19&gt;TODAY(),G19&lt;=0),0,IF(H19="القسط الثابت",F19/(G19*12),IF(H19="القسط المتناقص",D19*(I19/100)/12,IF(H19="وحدات الإنتاج",F19*I19/100/12,0))))</f>
        <v>0</v>
      </c>
      <c r="K19" s="24">
        <f>IF(C19="",0,J19*12)</f>
        <v>0</v>
      </c>
      <c r="L19" s="24">
        <f>IF(OR(C19="",'سجل الأصول'!N19="مهلك"),0,MAX(0,D19-M19))</f>
        <v>0</v>
      </c>
      <c r="M19" s="24" t="str">
        <f>IF(C19="","",'سجل الأصول'!M19)</f>
        <v/>
      </c>
    </row>
    <row r="20" spans="2:13">
      <c r="B20" s="14" t="str">
        <f>IF('سجل الأصول'!B20="","",'سجل الأصول'!B20)</f>
        <v/>
      </c>
      <c r="C20" s="15" t="str">
        <f>IF('سجل الأصول'!C20="","",'سجل الأصول'!C20)</f>
        <v/>
      </c>
      <c r="D20" s="17" t="str">
        <f>IF(C20="","",'سجل الأصول'!E20)</f>
        <v/>
      </c>
      <c r="E20" s="17" t="str">
        <f>IF(C20="","",'سجل الأصول'!F20)</f>
        <v/>
      </c>
      <c r="F20" s="17" t="str">
        <f>IF(C20="","",'سجل الأصول'!G20)</f>
        <v/>
      </c>
      <c r="G20" s="14" t="str">
        <f>IF(C20="","",'سجل الأصول'!J20)</f>
        <v/>
      </c>
      <c r="H20" s="14" t="str">
        <f>IF(C20="","",'سجل الأصول'!K20)</f>
        <v/>
      </c>
      <c r="I20" s="31" t="str">
        <f>IF(C20="","",'سجل الأصول'!L20)</f>
        <v/>
      </c>
      <c r="J20" s="17">
        <f ca="1">IF(OR(C20="",'سجل الأصول'!I20&gt;TODAY(),G20&lt;=0),0,IF(H20="القسط الثابت",F20/(G20*12),IF(H20="القسط المتناقص",D20*(I20/100)/12,IF(H20="وحدات الإنتاج",F20*I20/100/12,0))))</f>
        <v>0</v>
      </c>
      <c r="K20" s="17">
        <f>IF(C20="",0,J20*12)</f>
        <v>0</v>
      </c>
      <c r="L20" s="17">
        <f>IF(OR(C20="",'سجل الأصول'!N20="مهلك"),0,MAX(0,D20-M20))</f>
        <v>0</v>
      </c>
      <c r="M20" s="17" t="str">
        <f>IF(C20="","",'سجل الأصول'!M20)</f>
        <v/>
      </c>
    </row>
    <row r="21" spans="2:13">
      <c r="B21" s="21" t="str">
        <f>IF('سجل الأصول'!B21="","",'سجل الأصول'!B21)</f>
        <v/>
      </c>
      <c r="C21" s="22" t="str">
        <f>IF('سجل الأصول'!C21="","",'سجل الأصول'!C21)</f>
        <v/>
      </c>
      <c r="D21" s="24" t="str">
        <f>IF(C21="","",'سجل الأصول'!E21)</f>
        <v/>
      </c>
      <c r="E21" s="24" t="str">
        <f>IF(C21="","",'سجل الأصول'!F21)</f>
        <v/>
      </c>
      <c r="F21" s="24" t="str">
        <f>IF(C21="","",'سجل الأصول'!G21)</f>
        <v/>
      </c>
      <c r="G21" s="21" t="str">
        <f>IF(C21="","",'سجل الأصول'!J21)</f>
        <v/>
      </c>
      <c r="H21" s="21" t="str">
        <f>IF(C21="","",'سجل الأصول'!K21)</f>
        <v/>
      </c>
      <c r="I21" s="32" t="str">
        <f>IF(C21="","",'سجل الأصول'!L21)</f>
        <v/>
      </c>
      <c r="J21" s="24">
        <f ca="1">IF(OR(C21="",'سجل الأصول'!I21&gt;TODAY(),G21&lt;=0),0,IF(H21="القسط الثابت",F21/(G21*12),IF(H21="القسط المتناقص",D21*(I21/100)/12,IF(H21="وحدات الإنتاج",F21*I21/100/12,0))))</f>
        <v>0</v>
      </c>
      <c r="K21" s="24">
        <f>IF(C21="",0,J21*12)</f>
        <v>0</v>
      </c>
      <c r="L21" s="24">
        <f>IF(OR(C21="",'سجل الأصول'!N21="مهلك"),0,MAX(0,D21-M21))</f>
        <v>0</v>
      </c>
      <c r="M21" s="24" t="str">
        <f>IF(C21="","",'سجل الأصول'!M21)</f>
        <v/>
      </c>
    </row>
    <row r="22" spans="2:13">
      <c r="B22" s="14" t="str">
        <f>IF('سجل الأصول'!B22="","",'سجل الأصول'!B22)</f>
        <v/>
      </c>
      <c r="C22" s="15" t="str">
        <f>IF('سجل الأصول'!C22="","",'سجل الأصول'!C22)</f>
        <v/>
      </c>
      <c r="D22" s="17" t="str">
        <f>IF(C22="","",'سجل الأصول'!E22)</f>
        <v/>
      </c>
      <c r="E22" s="17" t="str">
        <f>IF(C22="","",'سجل الأصول'!F22)</f>
        <v/>
      </c>
      <c r="F22" s="17" t="str">
        <f>IF(C22="","",'سجل الأصول'!G22)</f>
        <v/>
      </c>
      <c r="G22" s="14" t="str">
        <f>IF(C22="","",'سجل الأصول'!J22)</f>
        <v/>
      </c>
      <c r="H22" s="14" t="str">
        <f>IF(C22="","",'سجل الأصول'!K22)</f>
        <v/>
      </c>
      <c r="I22" s="31" t="str">
        <f>IF(C22="","",'سجل الأصول'!L22)</f>
        <v/>
      </c>
      <c r="J22" s="17">
        <f ca="1">IF(OR(C22="",'سجل الأصول'!I22&gt;TODAY(),G22&lt;=0),0,IF(H22="القسط الثابت",F22/(G22*12),IF(H22="القسط المتناقص",D22*(I22/100)/12,IF(H22="وحدات الإنتاج",F22*I22/100/12,0))))</f>
        <v>0</v>
      </c>
      <c r="K22" s="17">
        <f>IF(C22="",0,J22*12)</f>
        <v>0</v>
      </c>
      <c r="L22" s="17">
        <f>IF(OR(C22="",'سجل الأصول'!N22="مهلك"),0,MAX(0,D22-M22))</f>
        <v>0</v>
      </c>
      <c r="M22" s="17" t="str">
        <f>IF(C22="","",'سجل الأصول'!M22)</f>
        <v/>
      </c>
    </row>
    <row r="23" spans="2:13">
      <c r="B23" s="21" t="str">
        <f>IF('سجل الأصول'!B23="","",'سجل الأصول'!B23)</f>
        <v/>
      </c>
      <c r="C23" s="22" t="str">
        <f>IF('سجل الأصول'!C23="","",'سجل الأصول'!C23)</f>
        <v/>
      </c>
      <c r="D23" s="24" t="str">
        <f>IF(C23="","",'سجل الأصول'!E23)</f>
        <v/>
      </c>
      <c r="E23" s="24" t="str">
        <f>IF(C23="","",'سجل الأصول'!F23)</f>
        <v/>
      </c>
      <c r="F23" s="24" t="str">
        <f>IF(C23="","",'سجل الأصول'!G23)</f>
        <v/>
      </c>
      <c r="G23" s="21" t="str">
        <f>IF(C23="","",'سجل الأصول'!J23)</f>
        <v/>
      </c>
      <c r="H23" s="21" t="str">
        <f>IF(C23="","",'سجل الأصول'!K23)</f>
        <v/>
      </c>
      <c r="I23" s="32" t="str">
        <f>IF(C23="","",'سجل الأصول'!L23)</f>
        <v/>
      </c>
      <c r="J23" s="24">
        <f ca="1">IF(OR(C23="",'سجل الأصول'!I23&gt;TODAY(),G23&lt;=0),0,IF(H23="القسط الثابت",F23/(G23*12),IF(H23="القسط المتناقص",D23*(I23/100)/12,IF(H23="وحدات الإنتاج",F23*I23/100/12,0))))</f>
        <v>0</v>
      </c>
      <c r="K23" s="24">
        <f>IF(C23="",0,J23*12)</f>
        <v>0</v>
      </c>
      <c r="L23" s="24">
        <f>IF(OR(C23="",'سجل الأصول'!N23="مهلك"),0,MAX(0,D23-M23))</f>
        <v>0</v>
      </c>
      <c r="M23" s="24" t="str">
        <f>IF(C23="","",'سجل الأصول'!M23)</f>
        <v/>
      </c>
    </row>
    <row r="24" spans="2:13">
      <c r="B24" s="14" t="str">
        <f>IF('سجل الأصول'!B24="","",'سجل الأصول'!B24)</f>
        <v/>
      </c>
      <c r="C24" s="15" t="str">
        <f>IF('سجل الأصول'!C24="","",'سجل الأصول'!C24)</f>
        <v/>
      </c>
      <c r="D24" s="17" t="str">
        <f>IF(C24="","",'سجل الأصول'!E24)</f>
        <v/>
      </c>
      <c r="E24" s="17" t="str">
        <f>IF(C24="","",'سجل الأصول'!F24)</f>
        <v/>
      </c>
      <c r="F24" s="17" t="str">
        <f>IF(C24="","",'سجل الأصول'!G24)</f>
        <v/>
      </c>
      <c r="G24" s="14" t="str">
        <f>IF(C24="","",'سجل الأصول'!J24)</f>
        <v/>
      </c>
      <c r="H24" s="14" t="str">
        <f>IF(C24="","",'سجل الأصول'!K24)</f>
        <v/>
      </c>
      <c r="I24" s="31" t="str">
        <f>IF(C24="","",'سجل الأصول'!L24)</f>
        <v/>
      </c>
      <c r="J24" s="17">
        <f ca="1">IF(OR(C24="",'سجل الأصول'!I24&gt;TODAY(),G24&lt;=0),0,IF(H24="القسط الثابت",F24/(G24*12),IF(H24="القسط المتناقص",D24*(I24/100)/12,IF(H24="وحدات الإنتاج",F24*I24/100/12,0))))</f>
        <v>0</v>
      </c>
      <c r="K24" s="17">
        <f>IF(C24="",0,J24*12)</f>
        <v>0</v>
      </c>
      <c r="L24" s="17">
        <f>IF(OR(C24="",'سجل الأصول'!N24="مهلك"),0,MAX(0,D24-M24))</f>
        <v>0</v>
      </c>
      <c r="M24" s="17" t="str">
        <f>IF(C24="","",'سجل الأصول'!M24)</f>
        <v/>
      </c>
    </row>
    <row r="25" spans="2:13">
      <c r="B25" s="21" t="str">
        <f>IF('سجل الأصول'!B25="","",'سجل الأصول'!B25)</f>
        <v/>
      </c>
      <c r="C25" s="22" t="str">
        <f>IF('سجل الأصول'!C25="","",'سجل الأصول'!C25)</f>
        <v/>
      </c>
      <c r="D25" s="24" t="str">
        <f>IF(C25="","",'سجل الأصول'!E25)</f>
        <v/>
      </c>
      <c r="E25" s="24" t="str">
        <f>IF(C25="","",'سجل الأصول'!F25)</f>
        <v/>
      </c>
      <c r="F25" s="24" t="str">
        <f>IF(C25="","",'سجل الأصول'!G25)</f>
        <v/>
      </c>
      <c r="G25" s="21" t="str">
        <f>IF(C25="","",'سجل الأصول'!J25)</f>
        <v/>
      </c>
      <c r="H25" s="21" t="str">
        <f>IF(C25="","",'سجل الأصول'!K25)</f>
        <v/>
      </c>
      <c r="I25" s="32" t="str">
        <f>IF(C25="","",'سجل الأصول'!L25)</f>
        <v/>
      </c>
      <c r="J25" s="24">
        <f ca="1">IF(OR(C25="",'سجل الأصول'!I25&gt;TODAY(),G25&lt;=0),0,IF(H25="القسط الثابت",F25/(G25*12),IF(H25="القسط المتناقص",D25*(I25/100)/12,IF(H25="وحدات الإنتاج",F25*I25/100/12,0))))</f>
        <v>0</v>
      </c>
      <c r="K25" s="24">
        <f>IF(C25="",0,J25*12)</f>
        <v>0</v>
      </c>
      <c r="L25" s="24">
        <f>IF(OR(C25="",'سجل الأصول'!N25="مهلك"),0,MAX(0,D25-M25))</f>
        <v>0</v>
      </c>
      <c r="M25" s="24" t="str">
        <f>IF(C25="","",'سجل الأصول'!M25)</f>
        <v/>
      </c>
    </row>
    <row r="26" spans="2:13">
      <c r="B26" s="14" t="str">
        <f>IF('سجل الأصول'!B26="","",'سجل الأصول'!B26)</f>
        <v/>
      </c>
      <c r="C26" s="15" t="str">
        <f>IF('سجل الأصول'!C26="","",'سجل الأصول'!C26)</f>
        <v/>
      </c>
      <c r="D26" s="17" t="str">
        <f>IF(C26="","",'سجل الأصول'!E26)</f>
        <v/>
      </c>
      <c r="E26" s="17" t="str">
        <f>IF(C26="","",'سجل الأصول'!F26)</f>
        <v/>
      </c>
      <c r="F26" s="17" t="str">
        <f>IF(C26="","",'سجل الأصول'!G26)</f>
        <v/>
      </c>
      <c r="G26" s="14" t="str">
        <f>IF(C26="","",'سجل الأصول'!J26)</f>
        <v/>
      </c>
      <c r="H26" s="14" t="str">
        <f>IF(C26="","",'سجل الأصول'!K26)</f>
        <v/>
      </c>
      <c r="I26" s="31" t="str">
        <f>IF(C26="","",'سجل الأصول'!L26)</f>
        <v/>
      </c>
      <c r="J26" s="17">
        <f ca="1">IF(OR(C26="",'سجل الأصول'!I26&gt;TODAY(),G26&lt;=0),0,IF(H26="القسط الثابت",F26/(G26*12),IF(H26="القسط المتناقص",D26*(I26/100)/12,IF(H26="وحدات الإنتاج",F26*I26/100/12,0))))</f>
        <v>0</v>
      </c>
      <c r="K26" s="17">
        <f>IF(C26="",0,J26*12)</f>
        <v>0</v>
      </c>
      <c r="L26" s="17">
        <f>IF(OR(C26="",'سجل الأصول'!N26="مهلك"),0,MAX(0,D26-M26))</f>
        <v>0</v>
      </c>
      <c r="M26" s="17" t="str">
        <f>IF(C26="","",'سجل الأصول'!M26)</f>
        <v/>
      </c>
    </row>
    <row r="27" spans="2:13">
      <c r="B27" s="21" t="str">
        <f>IF('سجل الأصول'!B27="","",'سجل الأصول'!B27)</f>
        <v/>
      </c>
      <c r="C27" s="22" t="str">
        <f>IF('سجل الأصول'!C27="","",'سجل الأصول'!C27)</f>
        <v/>
      </c>
      <c r="D27" s="24" t="str">
        <f>IF(C27="","",'سجل الأصول'!E27)</f>
        <v/>
      </c>
      <c r="E27" s="24" t="str">
        <f>IF(C27="","",'سجل الأصول'!F27)</f>
        <v/>
      </c>
      <c r="F27" s="24" t="str">
        <f>IF(C27="","",'سجل الأصول'!G27)</f>
        <v/>
      </c>
      <c r="G27" s="21" t="str">
        <f>IF(C27="","",'سجل الأصول'!J27)</f>
        <v/>
      </c>
      <c r="H27" s="21" t="str">
        <f>IF(C27="","",'سجل الأصول'!K27)</f>
        <v/>
      </c>
      <c r="I27" s="32" t="str">
        <f>IF(C27="","",'سجل الأصول'!L27)</f>
        <v/>
      </c>
      <c r="J27" s="24">
        <f ca="1">IF(OR(C27="",'سجل الأصول'!I27&gt;TODAY(),G27&lt;=0),0,IF(H27="القسط الثابت",F27/(G27*12),IF(H27="القسط المتناقص",D27*(I27/100)/12,IF(H27="وحدات الإنتاج",F27*I27/100/12,0))))</f>
        <v>0</v>
      </c>
      <c r="K27" s="24">
        <f>IF(C27="",0,J27*12)</f>
        <v>0</v>
      </c>
      <c r="L27" s="24">
        <f>IF(OR(C27="",'سجل الأصول'!N27="مهلك"),0,MAX(0,D27-M27))</f>
        <v>0</v>
      </c>
      <c r="M27" s="24" t="str">
        <f>IF(C27="","",'سجل الأصول'!M27)</f>
        <v/>
      </c>
    </row>
    <row r="28" spans="2:13">
      <c r="B28" s="14" t="str">
        <f>IF('سجل الأصول'!B28="","",'سجل الأصول'!B28)</f>
        <v/>
      </c>
      <c r="C28" s="15" t="str">
        <f>IF('سجل الأصول'!C28="","",'سجل الأصول'!C28)</f>
        <v/>
      </c>
      <c r="D28" s="17" t="str">
        <f>IF(C28="","",'سجل الأصول'!E28)</f>
        <v/>
      </c>
      <c r="E28" s="17" t="str">
        <f>IF(C28="","",'سجل الأصول'!F28)</f>
        <v/>
      </c>
      <c r="F28" s="17" t="str">
        <f>IF(C28="","",'سجل الأصول'!G28)</f>
        <v/>
      </c>
      <c r="G28" s="14" t="str">
        <f>IF(C28="","",'سجل الأصول'!J28)</f>
        <v/>
      </c>
      <c r="H28" s="14" t="str">
        <f>IF(C28="","",'سجل الأصول'!K28)</f>
        <v/>
      </c>
      <c r="I28" s="31" t="str">
        <f>IF(C28="","",'سجل الأصول'!L28)</f>
        <v/>
      </c>
      <c r="J28" s="17">
        <f ca="1">IF(OR(C28="",'سجل الأصول'!I28&gt;TODAY(),G28&lt;=0),0,IF(H28="القسط الثابت",F28/(G28*12),IF(H28="القسط المتناقص",D28*(I28/100)/12,IF(H28="وحدات الإنتاج",F28*I28/100/12,0))))</f>
        <v>0</v>
      </c>
      <c r="K28" s="17">
        <f>IF(C28="",0,J28*12)</f>
        <v>0</v>
      </c>
      <c r="L28" s="17">
        <f>IF(OR(C28="",'سجل الأصول'!N28="مهلك"),0,MAX(0,D28-M28))</f>
        <v>0</v>
      </c>
      <c r="M28" s="17" t="str">
        <f>IF(C28="","",'سجل الأصول'!M28)</f>
        <v/>
      </c>
    </row>
    <row r="29" spans="2:13">
      <c r="B29" s="21" t="str">
        <f>IF('سجل الأصول'!B29="","",'سجل الأصول'!B29)</f>
        <v/>
      </c>
      <c r="C29" s="22" t="str">
        <f>IF('سجل الأصول'!C29="","",'سجل الأصول'!C29)</f>
        <v/>
      </c>
      <c r="D29" s="24" t="str">
        <f>IF(C29="","",'سجل الأصول'!E29)</f>
        <v/>
      </c>
      <c r="E29" s="24" t="str">
        <f>IF(C29="","",'سجل الأصول'!F29)</f>
        <v/>
      </c>
      <c r="F29" s="24" t="str">
        <f>IF(C29="","",'سجل الأصول'!G29)</f>
        <v/>
      </c>
      <c r="G29" s="21" t="str">
        <f>IF(C29="","",'سجل الأصول'!J29)</f>
        <v/>
      </c>
      <c r="H29" s="21" t="str">
        <f>IF(C29="","",'سجل الأصول'!K29)</f>
        <v/>
      </c>
      <c r="I29" s="32" t="str">
        <f>IF(C29="","",'سجل الأصول'!L29)</f>
        <v/>
      </c>
      <c r="J29" s="24">
        <f ca="1">IF(OR(C29="",'سجل الأصول'!I29&gt;TODAY(),G29&lt;=0),0,IF(H29="القسط الثابت",F29/(G29*12),IF(H29="القسط المتناقص",D29*(I29/100)/12,IF(H29="وحدات الإنتاج",F29*I29/100/12,0))))</f>
        <v>0</v>
      </c>
      <c r="K29" s="24">
        <f>IF(C29="",0,J29*12)</f>
        <v>0</v>
      </c>
      <c r="L29" s="24">
        <f>IF(OR(C29="",'سجل الأصول'!N29="مهلك"),0,MAX(0,D29-M29))</f>
        <v>0</v>
      </c>
      <c r="M29" s="24" t="str">
        <f>IF(C29="","",'سجل الأصول'!M29)</f>
        <v/>
      </c>
    </row>
    <row r="30" spans="2:13">
      <c r="B30" s="14" t="str">
        <f>IF('سجل الأصول'!B30="","",'سجل الأصول'!B30)</f>
        <v/>
      </c>
      <c r="C30" s="15" t="str">
        <f>IF('سجل الأصول'!C30="","",'سجل الأصول'!C30)</f>
        <v/>
      </c>
      <c r="D30" s="17" t="str">
        <f>IF(C30="","",'سجل الأصول'!E30)</f>
        <v/>
      </c>
      <c r="E30" s="17" t="str">
        <f>IF(C30="","",'سجل الأصول'!F30)</f>
        <v/>
      </c>
      <c r="F30" s="17" t="str">
        <f>IF(C30="","",'سجل الأصول'!G30)</f>
        <v/>
      </c>
      <c r="G30" s="14" t="str">
        <f>IF(C30="","",'سجل الأصول'!J30)</f>
        <v/>
      </c>
      <c r="H30" s="14" t="str">
        <f>IF(C30="","",'سجل الأصول'!K30)</f>
        <v/>
      </c>
      <c r="I30" s="31" t="str">
        <f>IF(C30="","",'سجل الأصول'!L30)</f>
        <v/>
      </c>
      <c r="J30" s="17">
        <f ca="1">IF(OR(C30="",'سجل الأصول'!I30&gt;TODAY(),G30&lt;=0),0,IF(H30="القسط الثابت",F30/(G30*12),IF(H30="القسط المتناقص",D30*(I30/100)/12,IF(H30="وحدات الإنتاج",F30*I30/100/12,0))))</f>
        <v>0</v>
      </c>
      <c r="K30" s="17">
        <f>IF(C30="",0,J30*12)</f>
        <v>0</v>
      </c>
      <c r="L30" s="17">
        <f>IF(OR(C30="",'سجل الأصول'!N30="مهلك"),0,MAX(0,D30-M30))</f>
        <v>0</v>
      </c>
      <c r="M30" s="17" t="str">
        <f>IF(C30="","",'سجل الأصول'!M30)</f>
        <v/>
      </c>
    </row>
    <row r="31" spans="2:13">
      <c r="B31" s="21" t="str">
        <f>IF('سجل الأصول'!B31="","",'سجل الأصول'!B31)</f>
        <v/>
      </c>
      <c r="C31" s="22" t="str">
        <f>IF('سجل الأصول'!C31="","",'سجل الأصول'!C31)</f>
        <v/>
      </c>
      <c r="D31" s="24" t="str">
        <f>IF(C31="","",'سجل الأصول'!E31)</f>
        <v/>
      </c>
      <c r="E31" s="24" t="str">
        <f>IF(C31="","",'سجل الأصول'!F31)</f>
        <v/>
      </c>
      <c r="F31" s="24" t="str">
        <f>IF(C31="","",'سجل الأصول'!G31)</f>
        <v/>
      </c>
      <c r="G31" s="21" t="str">
        <f>IF(C31="","",'سجل الأصول'!J31)</f>
        <v/>
      </c>
      <c r="H31" s="21" t="str">
        <f>IF(C31="","",'سجل الأصول'!K31)</f>
        <v/>
      </c>
      <c r="I31" s="32" t="str">
        <f>IF(C31="","",'سجل الأصول'!L31)</f>
        <v/>
      </c>
      <c r="J31" s="24">
        <f ca="1">IF(OR(C31="",'سجل الأصول'!I31&gt;TODAY(),G31&lt;=0),0,IF(H31="القسط الثابت",F31/(G31*12),IF(H31="القسط المتناقص",D31*(I31/100)/12,IF(H31="وحدات الإنتاج",F31*I31/100/12,0))))</f>
        <v>0</v>
      </c>
      <c r="K31" s="24">
        <f>IF(C31="",0,J31*12)</f>
        <v>0</v>
      </c>
      <c r="L31" s="24">
        <f>IF(OR(C31="",'سجل الأصول'!N31="مهلك"),0,MAX(0,D31-M31))</f>
        <v>0</v>
      </c>
      <c r="M31" s="24" t="str">
        <f>IF(C31="","",'سجل الأصول'!M31)</f>
        <v/>
      </c>
    </row>
    <row r="32" spans="2:13">
      <c r="B32" s="14" t="str">
        <f>IF('سجل الأصول'!B32="","",'سجل الأصول'!B32)</f>
        <v/>
      </c>
      <c r="C32" s="15" t="str">
        <f>IF('سجل الأصول'!C32="","",'سجل الأصول'!C32)</f>
        <v/>
      </c>
      <c r="D32" s="17" t="str">
        <f>IF(C32="","",'سجل الأصول'!E32)</f>
        <v/>
      </c>
      <c r="E32" s="17" t="str">
        <f>IF(C32="","",'سجل الأصول'!F32)</f>
        <v/>
      </c>
      <c r="F32" s="17" t="str">
        <f>IF(C32="","",'سجل الأصول'!G32)</f>
        <v/>
      </c>
      <c r="G32" s="14" t="str">
        <f>IF(C32="","",'سجل الأصول'!J32)</f>
        <v/>
      </c>
      <c r="H32" s="14" t="str">
        <f>IF(C32="","",'سجل الأصول'!K32)</f>
        <v/>
      </c>
      <c r="I32" s="31" t="str">
        <f>IF(C32="","",'سجل الأصول'!L32)</f>
        <v/>
      </c>
      <c r="J32" s="17">
        <f ca="1">IF(OR(C32="",'سجل الأصول'!I32&gt;TODAY(),G32&lt;=0),0,IF(H32="القسط الثابت",F32/(G32*12),IF(H32="القسط المتناقص",D32*(I32/100)/12,IF(H32="وحدات الإنتاج",F32*I32/100/12,0))))</f>
        <v>0</v>
      </c>
      <c r="K32" s="17">
        <f>IF(C32="",0,J32*12)</f>
        <v>0</v>
      </c>
      <c r="L32" s="17">
        <f>IF(OR(C32="",'سجل الأصول'!N32="مهلك"),0,MAX(0,D32-M32))</f>
        <v>0</v>
      </c>
      <c r="M32" s="17" t="str">
        <f>IF(C32="","",'سجل الأصول'!M32)</f>
        <v/>
      </c>
    </row>
    <row r="33" spans="2:13">
      <c r="B33" s="21" t="str">
        <f>IF('سجل الأصول'!B33="","",'سجل الأصول'!B33)</f>
        <v/>
      </c>
      <c r="C33" s="22" t="str">
        <f>IF('سجل الأصول'!C33="","",'سجل الأصول'!C33)</f>
        <v/>
      </c>
      <c r="D33" s="24" t="str">
        <f>IF(C33="","",'سجل الأصول'!E33)</f>
        <v/>
      </c>
      <c r="E33" s="24" t="str">
        <f>IF(C33="","",'سجل الأصول'!F33)</f>
        <v/>
      </c>
      <c r="F33" s="24" t="str">
        <f>IF(C33="","",'سجل الأصول'!G33)</f>
        <v/>
      </c>
      <c r="G33" s="21" t="str">
        <f>IF(C33="","",'سجل الأصول'!J33)</f>
        <v/>
      </c>
      <c r="H33" s="21" t="str">
        <f>IF(C33="","",'سجل الأصول'!K33)</f>
        <v/>
      </c>
      <c r="I33" s="32" t="str">
        <f>IF(C33="","",'سجل الأصول'!L33)</f>
        <v/>
      </c>
      <c r="J33" s="24">
        <f ca="1">IF(OR(C33="",'سجل الأصول'!I33&gt;TODAY(),G33&lt;=0),0,IF(H33="القسط الثابت",F33/(G33*12),IF(H33="القسط المتناقص",D33*(I33/100)/12,IF(H33="وحدات الإنتاج",F33*I33/100/12,0))))</f>
        <v>0</v>
      </c>
      <c r="K33" s="24">
        <f>IF(C33="",0,J33*12)</f>
        <v>0</v>
      </c>
      <c r="L33" s="24">
        <f>IF(OR(C33="",'سجل الأصول'!N33="مهلك"),0,MAX(0,D33-M33))</f>
        <v>0</v>
      </c>
      <c r="M33" s="24" t="str">
        <f>IF(C33="","",'سجل الأصول'!M33)</f>
        <v/>
      </c>
    </row>
    <row r="34" spans="2:13">
      <c r="B34" s="14" t="str">
        <f>IF('سجل الأصول'!B34="","",'سجل الأصول'!B34)</f>
        <v/>
      </c>
      <c r="C34" s="15" t="str">
        <f>IF('سجل الأصول'!C34="","",'سجل الأصول'!C34)</f>
        <v/>
      </c>
      <c r="D34" s="17" t="str">
        <f>IF(C34="","",'سجل الأصول'!E34)</f>
        <v/>
      </c>
      <c r="E34" s="17" t="str">
        <f>IF(C34="","",'سجل الأصول'!F34)</f>
        <v/>
      </c>
      <c r="F34" s="17" t="str">
        <f>IF(C34="","",'سجل الأصول'!G34)</f>
        <v/>
      </c>
      <c r="G34" s="14" t="str">
        <f>IF(C34="","",'سجل الأصول'!J34)</f>
        <v/>
      </c>
      <c r="H34" s="14" t="str">
        <f>IF(C34="","",'سجل الأصول'!K34)</f>
        <v/>
      </c>
      <c r="I34" s="31" t="str">
        <f>IF(C34="","",'سجل الأصول'!L34)</f>
        <v/>
      </c>
      <c r="J34" s="17">
        <f ca="1">IF(OR(C34="",'سجل الأصول'!I34&gt;TODAY(),G34&lt;=0),0,IF(H34="القسط الثابت",F34/(G34*12),IF(H34="القسط المتناقص",D34*(I34/100)/12,IF(H34="وحدات الإنتاج",F34*I34/100/12,0))))</f>
        <v>0</v>
      </c>
      <c r="K34" s="17">
        <f>IF(C34="",0,J34*12)</f>
        <v>0</v>
      </c>
      <c r="L34" s="17">
        <f>IF(OR(C34="",'سجل الأصول'!N34="مهلك"),0,MAX(0,D34-M34))</f>
        <v>0</v>
      </c>
      <c r="M34" s="17" t="str">
        <f>IF(C34="","",'سجل الأصول'!M34)</f>
        <v/>
      </c>
    </row>
    <row r="35" spans="2:13">
      <c r="B35" s="21" t="str">
        <f>IF('سجل الأصول'!B35="","",'سجل الأصول'!B35)</f>
        <v/>
      </c>
      <c r="C35" s="22" t="str">
        <f>IF('سجل الأصول'!C35="","",'سجل الأصول'!C35)</f>
        <v/>
      </c>
      <c r="D35" s="24" t="str">
        <f>IF(C35="","",'سجل الأصول'!E35)</f>
        <v/>
      </c>
      <c r="E35" s="24" t="str">
        <f>IF(C35="","",'سجل الأصول'!F35)</f>
        <v/>
      </c>
      <c r="F35" s="24" t="str">
        <f>IF(C35="","",'سجل الأصول'!G35)</f>
        <v/>
      </c>
      <c r="G35" s="21" t="str">
        <f>IF(C35="","",'سجل الأصول'!J35)</f>
        <v/>
      </c>
      <c r="H35" s="21" t="str">
        <f>IF(C35="","",'سجل الأصول'!K35)</f>
        <v/>
      </c>
      <c r="I35" s="32" t="str">
        <f>IF(C35="","",'سجل الأصول'!L35)</f>
        <v/>
      </c>
      <c r="J35" s="24">
        <f ca="1">IF(OR(C35="",'سجل الأصول'!I35&gt;TODAY(),G35&lt;=0),0,IF(H35="القسط الثابت",F35/(G35*12),IF(H35="القسط المتناقص",D35*(I35/100)/12,IF(H35="وحدات الإنتاج",F35*I35/100/12,0))))</f>
        <v>0</v>
      </c>
      <c r="K35" s="24">
        <f>IF(C35="",0,J35*12)</f>
        <v>0</v>
      </c>
      <c r="L35" s="24">
        <f>IF(OR(C35="",'سجل الأصول'!N35="مهلك"),0,MAX(0,D35-M35))</f>
        <v>0</v>
      </c>
      <c r="M35" s="24" t="str">
        <f>IF(C35="","",'سجل الأصول'!M35)</f>
        <v/>
      </c>
    </row>
    <row r="36" spans="2:13">
      <c r="B36" s="14" t="str">
        <f>IF('سجل الأصول'!B36="","",'سجل الأصول'!B36)</f>
        <v/>
      </c>
      <c r="C36" s="15" t="str">
        <f>IF('سجل الأصول'!C36="","",'سجل الأصول'!C36)</f>
        <v/>
      </c>
      <c r="D36" s="17" t="str">
        <f>IF(C36="","",'سجل الأصول'!E36)</f>
        <v/>
      </c>
      <c r="E36" s="17" t="str">
        <f>IF(C36="","",'سجل الأصول'!F36)</f>
        <v/>
      </c>
      <c r="F36" s="17" t="str">
        <f>IF(C36="","",'سجل الأصول'!G36)</f>
        <v/>
      </c>
      <c r="G36" s="14" t="str">
        <f>IF(C36="","",'سجل الأصول'!J36)</f>
        <v/>
      </c>
      <c r="H36" s="14" t="str">
        <f>IF(C36="","",'سجل الأصول'!K36)</f>
        <v/>
      </c>
      <c r="I36" s="31" t="str">
        <f>IF(C36="","",'سجل الأصول'!L36)</f>
        <v/>
      </c>
      <c r="J36" s="17">
        <f ca="1">IF(OR(C36="",'سجل الأصول'!I36&gt;TODAY(),G36&lt;=0),0,IF(H36="القسط الثابت",F36/(G36*12),IF(H36="القسط المتناقص",D36*(I36/100)/12,IF(H36="وحدات الإنتاج",F36*I36/100/12,0))))</f>
        <v>0</v>
      </c>
      <c r="K36" s="17">
        <f>IF(C36="",0,J36*12)</f>
        <v>0</v>
      </c>
      <c r="L36" s="17">
        <f>IF(OR(C36="",'سجل الأصول'!N36="مهلك"),0,MAX(0,D36-M36))</f>
        <v>0</v>
      </c>
      <c r="M36" s="17" t="str">
        <f>IF(C36="","",'سجل الأصول'!M36)</f>
        <v/>
      </c>
    </row>
    <row r="37" spans="2:13">
      <c r="B37" s="21" t="str">
        <f>IF('سجل الأصول'!B37="","",'سجل الأصول'!B37)</f>
        <v/>
      </c>
      <c r="C37" s="22" t="str">
        <f>IF('سجل الأصول'!C37="","",'سجل الأصول'!C37)</f>
        <v/>
      </c>
      <c r="D37" s="24" t="str">
        <f>IF(C37="","",'سجل الأصول'!E37)</f>
        <v/>
      </c>
      <c r="E37" s="24" t="str">
        <f>IF(C37="","",'سجل الأصول'!F37)</f>
        <v/>
      </c>
      <c r="F37" s="24" t="str">
        <f>IF(C37="","",'سجل الأصول'!G37)</f>
        <v/>
      </c>
      <c r="G37" s="21" t="str">
        <f>IF(C37="","",'سجل الأصول'!J37)</f>
        <v/>
      </c>
      <c r="H37" s="21" t="str">
        <f>IF(C37="","",'سجل الأصول'!K37)</f>
        <v/>
      </c>
      <c r="I37" s="32" t="str">
        <f>IF(C37="","",'سجل الأصول'!L37)</f>
        <v/>
      </c>
      <c r="J37" s="24">
        <f ca="1">IF(OR(C37="",'سجل الأصول'!I37&gt;TODAY(),G37&lt;=0),0,IF(H37="القسط الثابت",F37/(G37*12),IF(H37="القسط المتناقص",D37*(I37/100)/12,IF(H37="وحدات الإنتاج",F37*I37/100/12,0))))</f>
        <v>0</v>
      </c>
      <c r="K37" s="24">
        <f>IF(C37="",0,J37*12)</f>
        <v>0</v>
      </c>
      <c r="L37" s="24">
        <f>IF(OR(C37="",'سجل الأصول'!N37="مهلك"),0,MAX(0,D37-M37))</f>
        <v>0</v>
      </c>
      <c r="M37" s="24" t="str">
        <f>IF(C37="","",'سجل الأصول'!M37)</f>
        <v/>
      </c>
    </row>
    <row r="38" spans="2:13">
      <c r="B38" s="14" t="str">
        <f>IF('سجل الأصول'!B38="","",'سجل الأصول'!B38)</f>
        <v/>
      </c>
      <c r="C38" s="15" t="str">
        <f>IF('سجل الأصول'!C38="","",'سجل الأصول'!C38)</f>
        <v/>
      </c>
      <c r="D38" s="17" t="str">
        <f>IF(C38="","",'سجل الأصول'!E38)</f>
        <v/>
      </c>
      <c r="E38" s="17" t="str">
        <f>IF(C38="","",'سجل الأصول'!F38)</f>
        <v/>
      </c>
      <c r="F38" s="17" t="str">
        <f>IF(C38="","",'سجل الأصول'!G38)</f>
        <v/>
      </c>
      <c r="G38" s="14" t="str">
        <f>IF(C38="","",'سجل الأصول'!J38)</f>
        <v/>
      </c>
      <c r="H38" s="14" t="str">
        <f>IF(C38="","",'سجل الأصول'!K38)</f>
        <v/>
      </c>
      <c r="I38" s="31" t="str">
        <f>IF(C38="","",'سجل الأصول'!L38)</f>
        <v/>
      </c>
      <c r="J38" s="17">
        <f ca="1">IF(OR(C38="",'سجل الأصول'!I38&gt;TODAY(),G38&lt;=0),0,IF(H38="القسط الثابت",F38/(G38*12),IF(H38="القسط المتناقص",D38*(I38/100)/12,IF(H38="وحدات الإنتاج",F38*I38/100/12,0))))</f>
        <v>0</v>
      </c>
      <c r="K38" s="17">
        <f>IF(C38="",0,J38*12)</f>
        <v>0</v>
      </c>
      <c r="L38" s="17">
        <f>IF(OR(C38="",'سجل الأصول'!N38="مهلك"),0,MAX(0,D38-M38))</f>
        <v>0</v>
      </c>
      <c r="M38" s="17" t="str">
        <f>IF(C38="","",'سجل الأصول'!M38)</f>
        <v/>
      </c>
    </row>
    <row r="39" spans="2:13">
      <c r="B39" s="21" t="str">
        <f>IF('سجل الأصول'!B39="","",'سجل الأصول'!B39)</f>
        <v/>
      </c>
      <c r="C39" s="22" t="str">
        <f>IF('سجل الأصول'!C39="","",'سجل الأصول'!C39)</f>
        <v/>
      </c>
      <c r="D39" s="24" t="str">
        <f>IF(C39="","",'سجل الأصول'!E39)</f>
        <v/>
      </c>
      <c r="E39" s="24" t="str">
        <f>IF(C39="","",'سجل الأصول'!F39)</f>
        <v/>
      </c>
      <c r="F39" s="24" t="str">
        <f>IF(C39="","",'سجل الأصول'!G39)</f>
        <v/>
      </c>
      <c r="G39" s="21" t="str">
        <f>IF(C39="","",'سجل الأصول'!J39)</f>
        <v/>
      </c>
      <c r="H39" s="21" t="str">
        <f>IF(C39="","",'سجل الأصول'!K39)</f>
        <v/>
      </c>
      <c r="I39" s="32" t="str">
        <f>IF(C39="","",'سجل الأصول'!L39)</f>
        <v/>
      </c>
      <c r="J39" s="24">
        <f ca="1">IF(OR(C39="",'سجل الأصول'!I39&gt;TODAY(),G39&lt;=0),0,IF(H39="القسط الثابت",F39/(G39*12),IF(H39="القسط المتناقص",D39*(I39/100)/12,IF(H39="وحدات الإنتاج",F39*I39/100/12,0))))</f>
        <v>0</v>
      </c>
      <c r="K39" s="24">
        <f>IF(C39="",0,J39*12)</f>
        <v>0</v>
      </c>
      <c r="L39" s="24">
        <f>IF(OR(C39="",'سجل الأصول'!N39="مهلك"),0,MAX(0,D39-M39))</f>
        <v>0</v>
      </c>
      <c r="M39" s="24" t="str">
        <f>IF(C39="","",'سجل الأصول'!M39)</f>
        <v/>
      </c>
    </row>
    <row r="40" spans="2:13">
      <c r="B40" s="14" t="str">
        <f>IF('سجل الأصول'!B40="","",'سجل الأصول'!B40)</f>
        <v/>
      </c>
      <c r="C40" s="15" t="str">
        <f>IF('سجل الأصول'!C40="","",'سجل الأصول'!C40)</f>
        <v/>
      </c>
      <c r="D40" s="17" t="str">
        <f>IF(C40="","",'سجل الأصول'!E40)</f>
        <v/>
      </c>
      <c r="E40" s="17" t="str">
        <f>IF(C40="","",'سجل الأصول'!F40)</f>
        <v/>
      </c>
      <c r="F40" s="17" t="str">
        <f>IF(C40="","",'سجل الأصول'!G40)</f>
        <v/>
      </c>
      <c r="G40" s="14" t="str">
        <f>IF(C40="","",'سجل الأصول'!J40)</f>
        <v/>
      </c>
      <c r="H40" s="14" t="str">
        <f>IF(C40="","",'سجل الأصول'!K40)</f>
        <v/>
      </c>
      <c r="I40" s="31" t="str">
        <f>IF(C40="","",'سجل الأصول'!L40)</f>
        <v/>
      </c>
      <c r="J40" s="17">
        <f ca="1">IF(OR(C40="",'سجل الأصول'!I40&gt;TODAY(),G40&lt;=0),0,IF(H40="القسط الثابت",F40/(G40*12),IF(H40="القسط المتناقص",D40*(I40/100)/12,IF(H40="وحدات الإنتاج",F40*I40/100/12,0))))</f>
        <v>0</v>
      </c>
      <c r="K40" s="17">
        <f>IF(C40="",0,J40*12)</f>
        <v>0</v>
      </c>
      <c r="L40" s="17">
        <f>IF(OR(C40="",'سجل الأصول'!N40="مهلك"),0,MAX(0,D40-M40))</f>
        <v>0</v>
      </c>
      <c r="M40" s="17" t="str">
        <f>IF(C40="","",'سجل الأصول'!M40)</f>
        <v/>
      </c>
    </row>
    <row r="41" spans="2:13">
      <c r="B41" s="21" t="str">
        <f>IF('سجل الأصول'!B41="","",'سجل الأصول'!B41)</f>
        <v/>
      </c>
      <c r="C41" s="22" t="str">
        <f>IF('سجل الأصول'!C41="","",'سجل الأصول'!C41)</f>
        <v/>
      </c>
      <c r="D41" s="24" t="str">
        <f>IF(C41="","",'سجل الأصول'!E41)</f>
        <v/>
      </c>
      <c r="E41" s="24" t="str">
        <f>IF(C41="","",'سجل الأصول'!F41)</f>
        <v/>
      </c>
      <c r="F41" s="24" t="str">
        <f>IF(C41="","",'سجل الأصول'!G41)</f>
        <v/>
      </c>
      <c r="G41" s="21" t="str">
        <f>IF(C41="","",'سجل الأصول'!J41)</f>
        <v/>
      </c>
      <c r="H41" s="21" t="str">
        <f>IF(C41="","",'سجل الأصول'!K41)</f>
        <v/>
      </c>
      <c r="I41" s="32" t="str">
        <f>IF(C41="","",'سجل الأصول'!L41)</f>
        <v/>
      </c>
      <c r="J41" s="24">
        <f ca="1">IF(OR(C41="",'سجل الأصول'!I41&gt;TODAY(),G41&lt;=0),0,IF(H41="القسط الثابت",F41/(G41*12),IF(H41="القسط المتناقص",D41*(I41/100)/12,IF(H41="وحدات الإنتاج",F41*I41/100/12,0))))</f>
        <v>0</v>
      </c>
      <c r="K41" s="24">
        <f>IF(C41="",0,J41*12)</f>
        <v>0</v>
      </c>
      <c r="L41" s="24">
        <f>IF(OR(C41="",'سجل الأصول'!N41="مهلك"),0,MAX(0,D41-M41))</f>
        <v>0</v>
      </c>
      <c r="M41" s="24" t="str">
        <f>IF(C41="","",'سجل الأصول'!M41)</f>
        <v/>
      </c>
    </row>
    <row r="42" spans="2:13">
      <c r="B42" s="14" t="str">
        <f>IF('سجل الأصول'!B42="","",'سجل الأصول'!B42)</f>
        <v/>
      </c>
      <c r="C42" s="15" t="str">
        <f>IF('سجل الأصول'!C42="","",'سجل الأصول'!C42)</f>
        <v/>
      </c>
      <c r="D42" s="17" t="str">
        <f>IF(C42="","",'سجل الأصول'!E42)</f>
        <v/>
      </c>
      <c r="E42" s="17" t="str">
        <f>IF(C42="","",'سجل الأصول'!F42)</f>
        <v/>
      </c>
      <c r="F42" s="17" t="str">
        <f>IF(C42="","",'سجل الأصول'!G42)</f>
        <v/>
      </c>
      <c r="G42" s="14" t="str">
        <f>IF(C42="","",'سجل الأصول'!J42)</f>
        <v/>
      </c>
      <c r="H42" s="14" t="str">
        <f>IF(C42="","",'سجل الأصول'!K42)</f>
        <v/>
      </c>
      <c r="I42" s="31" t="str">
        <f>IF(C42="","",'سجل الأصول'!L42)</f>
        <v/>
      </c>
      <c r="J42" s="17">
        <f ca="1">IF(OR(C42="",'سجل الأصول'!I42&gt;TODAY(),G42&lt;=0),0,IF(H42="القسط الثابت",F42/(G42*12),IF(H42="القسط المتناقص",D42*(I42/100)/12,IF(H42="وحدات الإنتاج",F42*I42/100/12,0))))</f>
        <v>0</v>
      </c>
      <c r="K42" s="17">
        <f>IF(C42="",0,J42*12)</f>
        <v>0</v>
      </c>
      <c r="L42" s="17">
        <f>IF(OR(C42="",'سجل الأصول'!N42="مهلك"),0,MAX(0,D42-M42))</f>
        <v>0</v>
      </c>
      <c r="M42" s="17" t="str">
        <f>IF(C42="","",'سجل الأصول'!M42)</f>
        <v/>
      </c>
    </row>
    <row r="43" spans="2:13">
      <c r="B43" s="21" t="str">
        <f>IF('سجل الأصول'!B43="","",'سجل الأصول'!B43)</f>
        <v/>
      </c>
      <c r="C43" s="22" t="str">
        <f>IF('سجل الأصول'!C43="","",'سجل الأصول'!C43)</f>
        <v/>
      </c>
      <c r="D43" s="24" t="str">
        <f>IF(C43="","",'سجل الأصول'!E43)</f>
        <v/>
      </c>
      <c r="E43" s="24" t="str">
        <f>IF(C43="","",'سجل الأصول'!F43)</f>
        <v/>
      </c>
      <c r="F43" s="24" t="str">
        <f>IF(C43="","",'سجل الأصول'!G43)</f>
        <v/>
      </c>
      <c r="G43" s="21" t="str">
        <f>IF(C43="","",'سجل الأصول'!J43)</f>
        <v/>
      </c>
      <c r="H43" s="21" t="str">
        <f>IF(C43="","",'سجل الأصول'!K43)</f>
        <v/>
      </c>
      <c r="I43" s="32" t="str">
        <f>IF(C43="","",'سجل الأصول'!L43)</f>
        <v/>
      </c>
      <c r="J43" s="24">
        <f ca="1">IF(OR(C43="",'سجل الأصول'!I43&gt;TODAY(),G43&lt;=0),0,IF(H43="القسط الثابت",F43/(G43*12),IF(H43="القسط المتناقص",D43*(I43/100)/12,IF(H43="وحدات الإنتاج",F43*I43/100/12,0))))</f>
        <v>0</v>
      </c>
      <c r="K43" s="24">
        <f>IF(C43="",0,J43*12)</f>
        <v>0</v>
      </c>
      <c r="L43" s="24">
        <f>IF(OR(C43="",'سجل الأصول'!N43="مهلك"),0,MAX(0,D43-M43))</f>
        <v>0</v>
      </c>
      <c r="M43" s="24" t="str">
        <f>IF(C43="","",'سجل الأصول'!M43)</f>
        <v/>
      </c>
    </row>
    <row r="44" spans="2:13">
      <c r="B44" s="14" t="str">
        <f>IF('سجل الأصول'!B44="","",'سجل الأصول'!B44)</f>
        <v/>
      </c>
      <c r="C44" s="15" t="str">
        <f>IF('سجل الأصول'!C44="","",'سجل الأصول'!C44)</f>
        <v/>
      </c>
      <c r="D44" s="17" t="str">
        <f>IF(C44="","",'سجل الأصول'!E44)</f>
        <v/>
      </c>
      <c r="E44" s="17" t="str">
        <f>IF(C44="","",'سجل الأصول'!F44)</f>
        <v/>
      </c>
      <c r="F44" s="17" t="str">
        <f>IF(C44="","",'سجل الأصول'!G44)</f>
        <v/>
      </c>
      <c r="G44" s="14" t="str">
        <f>IF(C44="","",'سجل الأصول'!J44)</f>
        <v/>
      </c>
      <c r="H44" s="14" t="str">
        <f>IF(C44="","",'سجل الأصول'!K44)</f>
        <v/>
      </c>
      <c r="I44" s="31" t="str">
        <f>IF(C44="","",'سجل الأصول'!L44)</f>
        <v/>
      </c>
      <c r="J44" s="17">
        <f ca="1">IF(OR(C44="",'سجل الأصول'!I44&gt;TODAY(),G44&lt;=0),0,IF(H44="القسط الثابت",F44/(G44*12),IF(H44="القسط المتناقص",D44*(I44/100)/12,IF(H44="وحدات الإنتاج",F44*I44/100/12,0))))</f>
        <v>0</v>
      </c>
      <c r="K44" s="17">
        <f>IF(C44="",0,J44*12)</f>
        <v>0</v>
      </c>
      <c r="L44" s="17">
        <f>IF(OR(C44="",'سجل الأصول'!N44="مهلك"),0,MAX(0,D44-M44))</f>
        <v>0</v>
      </c>
      <c r="M44" s="17" t="str">
        <f>IF(C44="","",'سجل الأصول'!M44)</f>
        <v/>
      </c>
    </row>
    <row r="45" spans="2:13">
      <c r="B45" s="21" t="str">
        <f>IF('سجل الأصول'!B45="","",'سجل الأصول'!B45)</f>
        <v/>
      </c>
      <c r="C45" s="22" t="str">
        <f>IF('سجل الأصول'!C45="","",'سجل الأصول'!C45)</f>
        <v/>
      </c>
      <c r="D45" s="24" t="str">
        <f>IF(C45="","",'سجل الأصول'!E45)</f>
        <v/>
      </c>
      <c r="E45" s="24" t="str">
        <f>IF(C45="","",'سجل الأصول'!F45)</f>
        <v/>
      </c>
      <c r="F45" s="24" t="str">
        <f>IF(C45="","",'سجل الأصول'!G45)</f>
        <v/>
      </c>
      <c r="G45" s="21" t="str">
        <f>IF(C45="","",'سجل الأصول'!J45)</f>
        <v/>
      </c>
      <c r="H45" s="21" t="str">
        <f>IF(C45="","",'سجل الأصول'!K45)</f>
        <v/>
      </c>
      <c r="I45" s="32" t="str">
        <f>IF(C45="","",'سجل الأصول'!L45)</f>
        <v/>
      </c>
      <c r="J45" s="24">
        <f ca="1">IF(OR(C45="",'سجل الأصول'!I45&gt;TODAY(),G45&lt;=0),0,IF(H45="القسط الثابت",F45/(G45*12),IF(H45="القسط المتناقص",D45*(I45/100)/12,IF(H45="وحدات الإنتاج",F45*I45/100/12,0))))</f>
        <v>0</v>
      </c>
      <c r="K45" s="24">
        <f>IF(C45="",0,J45*12)</f>
        <v>0</v>
      </c>
      <c r="L45" s="24">
        <f>IF(OR(C45="",'سجل الأصول'!N45="مهلك"),0,MAX(0,D45-M45))</f>
        <v>0</v>
      </c>
      <c r="M45" s="24" t="str">
        <f>IF(C45="","",'سجل الأصول'!M45)</f>
        <v/>
      </c>
    </row>
    <row r="46" spans="2:13">
      <c r="B46" s="14" t="str">
        <f>IF('سجل الأصول'!B46="","",'سجل الأصول'!B46)</f>
        <v/>
      </c>
      <c r="C46" s="15" t="str">
        <f>IF('سجل الأصول'!C46="","",'سجل الأصول'!C46)</f>
        <v/>
      </c>
      <c r="D46" s="17" t="str">
        <f>IF(C46="","",'سجل الأصول'!E46)</f>
        <v/>
      </c>
      <c r="E46" s="17" t="str">
        <f>IF(C46="","",'سجل الأصول'!F46)</f>
        <v/>
      </c>
      <c r="F46" s="17" t="str">
        <f>IF(C46="","",'سجل الأصول'!G46)</f>
        <v/>
      </c>
      <c r="G46" s="14" t="str">
        <f>IF(C46="","",'سجل الأصول'!J46)</f>
        <v/>
      </c>
      <c r="H46" s="14" t="str">
        <f>IF(C46="","",'سجل الأصول'!K46)</f>
        <v/>
      </c>
      <c r="I46" s="31" t="str">
        <f>IF(C46="","",'سجل الأصول'!L46)</f>
        <v/>
      </c>
      <c r="J46" s="17">
        <f ca="1">IF(OR(C46="",'سجل الأصول'!I46&gt;TODAY(),G46&lt;=0),0,IF(H46="القسط الثابت",F46/(G46*12),IF(H46="القسط المتناقص",D46*(I46/100)/12,IF(H46="وحدات الإنتاج",F46*I46/100/12,0))))</f>
        <v>0</v>
      </c>
      <c r="K46" s="17">
        <f>IF(C46="",0,J46*12)</f>
        <v>0</v>
      </c>
      <c r="L46" s="17">
        <f>IF(OR(C46="",'سجل الأصول'!N46="مهلك"),0,MAX(0,D46-M46))</f>
        <v>0</v>
      </c>
      <c r="M46" s="17" t="str">
        <f>IF(C46="","",'سجل الأصول'!M46)</f>
        <v/>
      </c>
    </row>
    <row r="47" spans="2:13">
      <c r="B47" s="21" t="str">
        <f>IF('سجل الأصول'!B47="","",'سجل الأصول'!B47)</f>
        <v/>
      </c>
      <c r="C47" s="22" t="str">
        <f>IF('سجل الأصول'!C47="","",'سجل الأصول'!C47)</f>
        <v/>
      </c>
      <c r="D47" s="24" t="str">
        <f>IF(C47="","",'سجل الأصول'!E47)</f>
        <v/>
      </c>
      <c r="E47" s="24" t="str">
        <f>IF(C47="","",'سجل الأصول'!F47)</f>
        <v/>
      </c>
      <c r="F47" s="24" t="str">
        <f>IF(C47="","",'سجل الأصول'!G47)</f>
        <v/>
      </c>
      <c r="G47" s="21" t="str">
        <f>IF(C47="","",'سجل الأصول'!J47)</f>
        <v/>
      </c>
      <c r="H47" s="21" t="str">
        <f>IF(C47="","",'سجل الأصول'!K47)</f>
        <v/>
      </c>
      <c r="I47" s="32" t="str">
        <f>IF(C47="","",'سجل الأصول'!L47)</f>
        <v/>
      </c>
      <c r="J47" s="24">
        <f ca="1">IF(OR(C47="",'سجل الأصول'!I47&gt;TODAY(),G47&lt;=0),0,IF(H47="القسط الثابت",F47/(G47*12),IF(H47="القسط المتناقص",D47*(I47/100)/12,IF(H47="وحدات الإنتاج",F47*I47/100/12,0))))</f>
        <v>0</v>
      </c>
      <c r="K47" s="24">
        <f>IF(C47="",0,J47*12)</f>
        <v>0</v>
      </c>
      <c r="L47" s="24">
        <f>IF(OR(C47="",'سجل الأصول'!N47="مهلك"),0,MAX(0,D47-M47))</f>
        <v>0</v>
      </c>
      <c r="M47" s="24" t="str">
        <f>IF(C47="","",'سجل الأصول'!M47)</f>
        <v/>
      </c>
    </row>
    <row r="48" spans="2:13">
      <c r="B48" s="14" t="str">
        <f>IF('سجل الأصول'!B48="","",'سجل الأصول'!B48)</f>
        <v/>
      </c>
      <c r="C48" s="15" t="str">
        <f>IF('سجل الأصول'!C48="","",'سجل الأصول'!C48)</f>
        <v/>
      </c>
      <c r="D48" s="17" t="str">
        <f>IF(C48="","",'سجل الأصول'!E48)</f>
        <v/>
      </c>
      <c r="E48" s="17" t="str">
        <f>IF(C48="","",'سجل الأصول'!F48)</f>
        <v/>
      </c>
      <c r="F48" s="17" t="str">
        <f>IF(C48="","",'سجل الأصول'!G48)</f>
        <v/>
      </c>
      <c r="G48" s="14" t="str">
        <f>IF(C48="","",'سجل الأصول'!J48)</f>
        <v/>
      </c>
      <c r="H48" s="14" t="str">
        <f>IF(C48="","",'سجل الأصول'!K48)</f>
        <v/>
      </c>
      <c r="I48" s="31" t="str">
        <f>IF(C48="","",'سجل الأصول'!L48)</f>
        <v/>
      </c>
      <c r="J48" s="17">
        <f ca="1">IF(OR(C48="",'سجل الأصول'!I48&gt;TODAY(),G48&lt;=0),0,IF(H48="القسط الثابت",F48/(G48*12),IF(H48="القسط المتناقص",D48*(I48/100)/12,IF(H48="وحدات الإنتاج",F48*I48/100/12,0))))</f>
        <v>0</v>
      </c>
      <c r="K48" s="17">
        <f>IF(C48="",0,J48*12)</f>
        <v>0</v>
      </c>
      <c r="L48" s="17">
        <f>IF(OR(C48="",'سجل الأصول'!N48="مهلك"),0,MAX(0,D48-M48))</f>
        <v>0</v>
      </c>
      <c r="M48" s="17" t="str">
        <f>IF(C48="","",'سجل الأصول'!M48)</f>
        <v/>
      </c>
    </row>
    <row r="49" spans="2:13">
      <c r="B49" s="21" t="str">
        <f>IF('سجل الأصول'!B49="","",'سجل الأصول'!B49)</f>
        <v/>
      </c>
      <c r="C49" s="22" t="str">
        <f>IF('سجل الأصول'!C49="","",'سجل الأصول'!C49)</f>
        <v/>
      </c>
      <c r="D49" s="24" t="str">
        <f>IF(C49="","",'سجل الأصول'!E49)</f>
        <v/>
      </c>
      <c r="E49" s="24" t="str">
        <f>IF(C49="","",'سجل الأصول'!F49)</f>
        <v/>
      </c>
      <c r="F49" s="24" t="str">
        <f>IF(C49="","",'سجل الأصول'!G49)</f>
        <v/>
      </c>
      <c r="G49" s="21" t="str">
        <f>IF(C49="","",'سجل الأصول'!J49)</f>
        <v/>
      </c>
      <c r="H49" s="21" t="str">
        <f>IF(C49="","",'سجل الأصول'!K49)</f>
        <v/>
      </c>
      <c r="I49" s="32" t="str">
        <f>IF(C49="","",'سجل الأصول'!L49)</f>
        <v/>
      </c>
      <c r="J49" s="24">
        <f ca="1">IF(OR(C49="",'سجل الأصول'!I49&gt;TODAY(),G49&lt;=0),0,IF(H49="القسط الثابت",F49/(G49*12),IF(H49="القسط المتناقص",D49*(I49/100)/12,IF(H49="وحدات الإنتاج",F49*I49/100/12,0))))</f>
        <v>0</v>
      </c>
      <c r="K49" s="24">
        <f>IF(C49="",0,J49*12)</f>
        <v>0</v>
      </c>
      <c r="L49" s="24">
        <f>IF(OR(C49="",'سجل الأصول'!N49="مهلك"),0,MAX(0,D49-M49))</f>
        <v>0</v>
      </c>
      <c r="M49" s="24" t="str">
        <f>IF(C49="","",'سجل الأصول'!M49)</f>
        <v/>
      </c>
    </row>
    <row r="50" spans="2:13">
      <c r="B50" s="14" t="str">
        <f>IF('سجل الأصول'!B50="","",'سجل الأصول'!B50)</f>
        <v/>
      </c>
      <c r="C50" s="15" t="str">
        <f>IF('سجل الأصول'!C50="","",'سجل الأصول'!C50)</f>
        <v/>
      </c>
      <c r="D50" s="17" t="str">
        <f>IF(C50="","",'سجل الأصول'!E50)</f>
        <v/>
      </c>
      <c r="E50" s="17" t="str">
        <f>IF(C50="","",'سجل الأصول'!F50)</f>
        <v/>
      </c>
      <c r="F50" s="17" t="str">
        <f>IF(C50="","",'سجل الأصول'!G50)</f>
        <v/>
      </c>
      <c r="G50" s="14" t="str">
        <f>IF(C50="","",'سجل الأصول'!J50)</f>
        <v/>
      </c>
      <c r="H50" s="14" t="str">
        <f>IF(C50="","",'سجل الأصول'!K50)</f>
        <v/>
      </c>
      <c r="I50" s="31" t="str">
        <f>IF(C50="","",'سجل الأصول'!L50)</f>
        <v/>
      </c>
      <c r="J50" s="17">
        <f ca="1">IF(OR(C50="",'سجل الأصول'!I50&gt;TODAY(),G50&lt;=0),0,IF(H50="القسط الثابت",F50/(G50*12),IF(H50="القسط المتناقص",D50*(I50/100)/12,IF(H50="وحدات الإنتاج",F50*I50/100/12,0))))</f>
        <v>0</v>
      </c>
      <c r="K50" s="17">
        <f>IF(C50="",0,J50*12)</f>
        <v>0</v>
      </c>
      <c r="L50" s="17">
        <f>IF(OR(C50="",'سجل الأصول'!N50="مهلك"),0,MAX(0,D50-M50))</f>
        <v>0</v>
      </c>
      <c r="M50" s="17" t="str">
        <f>IF(C50="","",'سجل الأصول'!M50)</f>
        <v/>
      </c>
    </row>
    <row r="51" spans="2:13">
      <c r="B51" s="21" t="str">
        <f>IF('سجل الأصول'!B51="","",'سجل الأصول'!B51)</f>
        <v/>
      </c>
      <c r="C51" s="22" t="str">
        <f>IF('سجل الأصول'!C51="","",'سجل الأصول'!C51)</f>
        <v/>
      </c>
      <c r="D51" s="24" t="str">
        <f>IF(C51="","",'سجل الأصول'!E51)</f>
        <v/>
      </c>
      <c r="E51" s="24" t="str">
        <f>IF(C51="","",'سجل الأصول'!F51)</f>
        <v/>
      </c>
      <c r="F51" s="24" t="str">
        <f>IF(C51="","",'سجل الأصول'!G51)</f>
        <v/>
      </c>
      <c r="G51" s="21" t="str">
        <f>IF(C51="","",'سجل الأصول'!J51)</f>
        <v/>
      </c>
      <c r="H51" s="21" t="str">
        <f>IF(C51="","",'سجل الأصول'!K51)</f>
        <v/>
      </c>
      <c r="I51" s="32" t="str">
        <f>IF(C51="","",'سجل الأصول'!L51)</f>
        <v/>
      </c>
      <c r="J51" s="24">
        <f ca="1">IF(OR(C51="",'سجل الأصول'!I51&gt;TODAY(),G51&lt;=0),0,IF(H51="القسط الثابت",F51/(G51*12),IF(H51="القسط المتناقص",D51*(I51/100)/12,IF(H51="وحدات الإنتاج",F51*I51/100/12,0))))</f>
        <v>0</v>
      </c>
      <c r="K51" s="24">
        <f>IF(C51="",0,J51*12)</f>
        <v>0</v>
      </c>
      <c r="L51" s="24">
        <f>IF(OR(C51="",'سجل الأصول'!N51="مهلك"),0,MAX(0,D51-M51))</f>
        <v>0</v>
      </c>
      <c r="M51" s="24" t="str">
        <f>IF(C51="","",'سجل الأصول'!M51)</f>
        <v/>
      </c>
    </row>
    <row r="52" spans="2:13">
      <c r="B52" s="14" t="str">
        <f>IF('سجل الأصول'!B52="","",'سجل الأصول'!B52)</f>
        <v/>
      </c>
      <c r="C52" s="15" t="str">
        <f>IF('سجل الأصول'!C52="","",'سجل الأصول'!C52)</f>
        <v/>
      </c>
      <c r="D52" s="17" t="str">
        <f>IF(C52="","",'سجل الأصول'!E52)</f>
        <v/>
      </c>
      <c r="E52" s="17" t="str">
        <f>IF(C52="","",'سجل الأصول'!F52)</f>
        <v/>
      </c>
      <c r="F52" s="17" t="str">
        <f>IF(C52="","",'سجل الأصول'!G52)</f>
        <v/>
      </c>
      <c r="G52" s="14" t="str">
        <f>IF(C52="","",'سجل الأصول'!J52)</f>
        <v/>
      </c>
      <c r="H52" s="14" t="str">
        <f>IF(C52="","",'سجل الأصول'!K52)</f>
        <v/>
      </c>
      <c r="I52" s="31" t="str">
        <f>IF(C52="","",'سجل الأصول'!L52)</f>
        <v/>
      </c>
      <c r="J52" s="17">
        <f ca="1">IF(OR(C52="",'سجل الأصول'!I52&gt;TODAY(),G52&lt;=0),0,IF(H52="القسط الثابت",F52/(G52*12),IF(H52="القسط المتناقص",D52*(I52/100)/12,IF(H52="وحدات الإنتاج",F52*I52/100/12,0))))</f>
        <v>0</v>
      </c>
      <c r="K52" s="17">
        <f>IF(C52="",0,J52*12)</f>
        <v>0</v>
      </c>
      <c r="L52" s="17">
        <f>IF(OR(C52="",'سجل الأصول'!N52="مهلك"),0,MAX(0,D52-M52))</f>
        <v>0</v>
      </c>
      <c r="M52" s="17" t="str">
        <f>IF(C52="","",'سجل الأصول'!M52)</f>
        <v/>
      </c>
    </row>
    <row r="53" spans="2:13">
      <c r="B53" s="21" t="str">
        <f>IF('سجل الأصول'!B53="","",'سجل الأصول'!B53)</f>
        <v/>
      </c>
      <c r="C53" s="22" t="str">
        <f>IF('سجل الأصول'!C53="","",'سجل الأصول'!C53)</f>
        <v/>
      </c>
      <c r="D53" s="24" t="str">
        <f>IF(C53="","",'سجل الأصول'!E53)</f>
        <v/>
      </c>
      <c r="E53" s="24" t="str">
        <f>IF(C53="","",'سجل الأصول'!F53)</f>
        <v/>
      </c>
      <c r="F53" s="24" t="str">
        <f>IF(C53="","",'سجل الأصول'!G53)</f>
        <v/>
      </c>
      <c r="G53" s="21" t="str">
        <f>IF(C53="","",'سجل الأصول'!J53)</f>
        <v/>
      </c>
      <c r="H53" s="21" t="str">
        <f>IF(C53="","",'سجل الأصول'!K53)</f>
        <v/>
      </c>
      <c r="I53" s="32" t="str">
        <f>IF(C53="","",'سجل الأصول'!L53)</f>
        <v/>
      </c>
      <c r="J53" s="24">
        <f ca="1">IF(OR(C53="",'سجل الأصول'!I53&gt;TODAY(),G53&lt;=0),0,IF(H53="القسط الثابت",F53/(G53*12),IF(H53="القسط المتناقص",D53*(I53/100)/12,IF(H53="وحدات الإنتاج",F53*I53/100/12,0))))</f>
        <v>0</v>
      </c>
      <c r="K53" s="24">
        <f>IF(C53="",0,J53*12)</f>
        <v>0</v>
      </c>
      <c r="L53" s="24">
        <f>IF(OR(C53="",'سجل الأصول'!N53="مهلك"),0,MAX(0,D53-M53))</f>
        <v>0</v>
      </c>
      <c r="M53" s="24" t="str">
        <f>IF(C53="","",'سجل الأصول'!M53)</f>
        <v/>
      </c>
    </row>
    <row r="54" spans="2:13">
      <c r="B54" s="14" t="str">
        <f>IF('سجل الأصول'!B54="","",'سجل الأصول'!B54)</f>
        <v/>
      </c>
      <c r="C54" s="15" t="str">
        <f>IF('سجل الأصول'!C54="","",'سجل الأصول'!C54)</f>
        <v/>
      </c>
      <c r="D54" s="17" t="str">
        <f>IF(C54="","",'سجل الأصول'!E54)</f>
        <v/>
      </c>
      <c r="E54" s="17" t="str">
        <f>IF(C54="","",'سجل الأصول'!F54)</f>
        <v/>
      </c>
      <c r="F54" s="17" t="str">
        <f>IF(C54="","",'سجل الأصول'!G54)</f>
        <v/>
      </c>
      <c r="G54" s="14" t="str">
        <f>IF(C54="","",'سجل الأصول'!J54)</f>
        <v/>
      </c>
      <c r="H54" s="14" t="str">
        <f>IF(C54="","",'سجل الأصول'!K54)</f>
        <v/>
      </c>
      <c r="I54" s="31" t="str">
        <f>IF(C54="","",'سجل الأصول'!L54)</f>
        <v/>
      </c>
      <c r="J54" s="17">
        <f ca="1">IF(OR(C54="",'سجل الأصول'!I54&gt;TODAY(),G54&lt;=0),0,IF(H54="القسط الثابت",F54/(G54*12),IF(H54="القسط المتناقص",D54*(I54/100)/12,IF(H54="وحدات الإنتاج",F54*I54/100/12,0))))</f>
        <v>0</v>
      </c>
      <c r="K54" s="17">
        <f>IF(C54="",0,J54*12)</f>
        <v>0</v>
      </c>
      <c r="L54" s="17">
        <f>IF(OR(C54="",'سجل الأصول'!N54="مهلك"),0,MAX(0,D54-M54))</f>
        <v>0</v>
      </c>
      <c r="M54" s="17" t="str">
        <f>IF(C54="","",'سجل الأصول'!M54)</f>
        <v/>
      </c>
    </row>
    <row r="55" spans="2:13">
      <c r="B55" s="21" t="str">
        <f>IF('سجل الأصول'!B55="","",'سجل الأصول'!B55)</f>
        <v/>
      </c>
      <c r="C55" s="22" t="str">
        <f>IF('سجل الأصول'!C55="","",'سجل الأصول'!C55)</f>
        <v/>
      </c>
      <c r="D55" s="24" t="str">
        <f>IF(C55="","",'سجل الأصول'!E55)</f>
        <v/>
      </c>
      <c r="E55" s="24" t="str">
        <f>IF(C55="","",'سجل الأصول'!F55)</f>
        <v/>
      </c>
      <c r="F55" s="24" t="str">
        <f>IF(C55="","",'سجل الأصول'!G55)</f>
        <v/>
      </c>
      <c r="G55" s="21" t="str">
        <f>IF(C55="","",'سجل الأصول'!J55)</f>
        <v/>
      </c>
      <c r="H55" s="21" t="str">
        <f>IF(C55="","",'سجل الأصول'!K55)</f>
        <v/>
      </c>
      <c r="I55" s="32" t="str">
        <f>IF(C55="","",'سجل الأصول'!L55)</f>
        <v/>
      </c>
      <c r="J55" s="24">
        <f ca="1">IF(OR(C55="",'سجل الأصول'!I55&gt;TODAY(),G55&lt;=0),0,IF(H55="القسط الثابت",F55/(G55*12),IF(H55="القسط المتناقص",D55*(I55/100)/12,IF(H55="وحدات الإنتاج",F55*I55/100/12,0))))</f>
        <v>0</v>
      </c>
      <c r="K55" s="24">
        <f>IF(C55="",0,J55*12)</f>
        <v>0</v>
      </c>
      <c r="L55" s="24">
        <f>IF(OR(C55="",'سجل الأصول'!N55="مهلك"),0,MAX(0,D55-M55))</f>
        <v>0</v>
      </c>
      <c r="M55" s="24" t="str">
        <f>IF(C55="","",'سجل الأصول'!M55)</f>
        <v/>
      </c>
    </row>
    <row r="56" spans="2:13">
      <c r="B56" s="14" t="str">
        <f>IF('سجل الأصول'!B56="","",'سجل الأصول'!B56)</f>
        <v/>
      </c>
      <c r="C56" s="15" t="str">
        <f>IF('سجل الأصول'!C56="","",'سجل الأصول'!C56)</f>
        <v/>
      </c>
      <c r="D56" s="17" t="str">
        <f>IF(C56="","",'سجل الأصول'!E56)</f>
        <v/>
      </c>
      <c r="E56" s="17" t="str">
        <f>IF(C56="","",'سجل الأصول'!F56)</f>
        <v/>
      </c>
      <c r="F56" s="17" t="str">
        <f>IF(C56="","",'سجل الأصول'!G56)</f>
        <v/>
      </c>
      <c r="G56" s="14" t="str">
        <f>IF(C56="","",'سجل الأصول'!J56)</f>
        <v/>
      </c>
      <c r="H56" s="14" t="str">
        <f>IF(C56="","",'سجل الأصول'!K56)</f>
        <v/>
      </c>
      <c r="I56" s="31" t="str">
        <f>IF(C56="","",'سجل الأصول'!L56)</f>
        <v/>
      </c>
      <c r="J56" s="17">
        <f ca="1">IF(OR(C56="",'سجل الأصول'!I56&gt;TODAY(),G56&lt;=0),0,IF(H56="القسط الثابت",F56/(G56*12),IF(H56="القسط المتناقص",D56*(I56/100)/12,IF(H56="وحدات الإنتاج",F56*I56/100/12,0))))</f>
        <v>0</v>
      </c>
      <c r="K56" s="17">
        <f>IF(C56="",0,J56*12)</f>
        <v>0</v>
      </c>
      <c r="L56" s="17">
        <f>IF(OR(C56="",'سجل الأصول'!N56="مهلك"),0,MAX(0,D56-M56))</f>
        <v>0</v>
      </c>
      <c r="M56" s="17" t="str">
        <f>IF(C56="","",'سجل الأصول'!M56)</f>
        <v/>
      </c>
    </row>
    <row r="57" spans="2:13">
      <c r="B57" s="21" t="str">
        <f>IF('سجل الأصول'!B57="","",'سجل الأصول'!B57)</f>
        <v/>
      </c>
      <c r="C57" s="22" t="str">
        <f>IF('سجل الأصول'!C57="","",'سجل الأصول'!C57)</f>
        <v/>
      </c>
      <c r="D57" s="24" t="str">
        <f>IF(C57="","",'سجل الأصول'!E57)</f>
        <v/>
      </c>
      <c r="E57" s="24" t="str">
        <f>IF(C57="","",'سجل الأصول'!F57)</f>
        <v/>
      </c>
      <c r="F57" s="24" t="str">
        <f>IF(C57="","",'سجل الأصول'!G57)</f>
        <v/>
      </c>
      <c r="G57" s="21" t="str">
        <f>IF(C57="","",'سجل الأصول'!J57)</f>
        <v/>
      </c>
      <c r="H57" s="21" t="str">
        <f>IF(C57="","",'سجل الأصول'!K57)</f>
        <v/>
      </c>
      <c r="I57" s="32" t="str">
        <f>IF(C57="","",'سجل الأصول'!L57)</f>
        <v/>
      </c>
      <c r="J57" s="24">
        <f ca="1">IF(OR(C57="",'سجل الأصول'!I57&gt;TODAY(),G57&lt;=0),0,IF(H57="القسط الثابت",F57/(G57*12),IF(H57="القسط المتناقص",D57*(I57/100)/12,IF(H57="وحدات الإنتاج",F57*I57/100/12,0))))</f>
        <v>0</v>
      </c>
      <c r="K57" s="24">
        <f>IF(C57="",0,J57*12)</f>
        <v>0</v>
      </c>
      <c r="L57" s="24">
        <f>IF(OR(C57="",'سجل الأصول'!N57="مهلك"),0,MAX(0,D57-M57))</f>
        <v>0</v>
      </c>
      <c r="M57" s="24" t="str">
        <f>IF(C57="","",'سجل الأصول'!M57)</f>
        <v/>
      </c>
    </row>
    <row r="58" spans="2:13">
      <c r="B58" s="14" t="str">
        <f>IF('سجل الأصول'!B58="","",'سجل الأصول'!B58)</f>
        <v/>
      </c>
      <c r="C58" s="15" t="str">
        <f>IF('سجل الأصول'!C58="","",'سجل الأصول'!C58)</f>
        <v/>
      </c>
      <c r="D58" s="17" t="str">
        <f>IF(C58="","",'سجل الأصول'!E58)</f>
        <v/>
      </c>
      <c r="E58" s="17" t="str">
        <f>IF(C58="","",'سجل الأصول'!F58)</f>
        <v/>
      </c>
      <c r="F58" s="17" t="str">
        <f>IF(C58="","",'سجل الأصول'!G58)</f>
        <v/>
      </c>
      <c r="G58" s="14" t="str">
        <f>IF(C58="","",'سجل الأصول'!J58)</f>
        <v/>
      </c>
      <c r="H58" s="14" t="str">
        <f>IF(C58="","",'سجل الأصول'!K58)</f>
        <v/>
      </c>
      <c r="I58" s="31" t="str">
        <f>IF(C58="","",'سجل الأصول'!L58)</f>
        <v/>
      </c>
      <c r="J58" s="17">
        <f ca="1">IF(OR(C58="",'سجل الأصول'!I58&gt;TODAY(),G58&lt;=0),0,IF(H58="القسط الثابت",F58/(G58*12),IF(H58="القسط المتناقص",D58*(I58/100)/12,IF(H58="وحدات الإنتاج",F58*I58/100/12,0))))</f>
        <v>0</v>
      </c>
      <c r="K58" s="17">
        <f>IF(C58="",0,J58*12)</f>
        <v>0</v>
      </c>
      <c r="L58" s="17">
        <f>IF(OR(C58="",'سجل الأصول'!N58="مهلك"),0,MAX(0,D58-M58))</f>
        <v>0</v>
      </c>
      <c r="M58" s="17" t="str">
        <f>IF(C58="","",'سجل الأصول'!M58)</f>
        <v/>
      </c>
    </row>
    <row r="59" spans="2:13">
      <c r="B59" s="21" t="str">
        <f>IF('سجل الأصول'!B59="","",'سجل الأصول'!B59)</f>
        <v/>
      </c>
      <c r="C59" s="22" t="str">
        <f>IF('سجل الأصول'!C59="","",'سجل الأصول'!C59)</f>
        <v/>
      </c>
      <c r="D59" s="24" t="str">
        <f>IF(C59="","",'سجل الأصول'!E59)</f>
        <v/>
      </c>
      <c r="E59" s="24" t="str">
        <f>IF(C59="","",'سجل الأصول'!F59)</f>
        <v/>
      </c>
      <c r="F59" s="24" t="str">
        <f>IF(C59="","",'سجل الأصول'!G59)</f>
        <v/>
      </c>
      <c r="G59" s="21" t="str">
        <f>IF(C59="","",'سجل الأصول'!J59)</f>
        <v/>
      </c>
      <c r="H59" s="21" t="str">
        <f>IF(C59="","",'سجل الأصول'!K59)</f>
        <v/>
      </c>
      <c r="I59" s="32" t="str">
        <f>IF(C59="","",'سجل الأصول'!L59)</f>
        <v/>
      </c>
      <c r="J59" s="24">
        <f ca="1">IF(OR(C59="",'سجل الأصول'!I59&gt;TODAY(),G59&lt;=0),0,IF(H59="القسط الثابت",F59/(G59*12),IF(H59="القسط المتناقص",D59*(I59/100)/12,IF(H59="وحدات الإنتاج",F59*I59/100/12,0))))</f>
        <v>0</v>
      </c>
      <c r="K59" s="24">
        <f>IF(C59="",0,J59*12)</f>
        <v>0</v>
      </c>
      <c r="L59" s="24">
        <f>IF(OR(C59="",'سجل الأصول'!N59="مهلك"),0,MAX(0,D59-M59))</f>
        <v>0</v>
      </c>
      <c r="M59" s="24" t="str">
        <f>IF(C59="","",'سجل الأصول'!M59)</f>
        <v/>
      </c>
    </row>
    <row r="60" spans="2:13">
      <c r="B60" s="14" t="str">
        <f>IF('سجل الأصول'!B60="","",'سجل الأصول'!B60)</f>
        <v/>
      </c>
      <c r="C60" s="15" t="str">
        <f>IF('سجل الأصول'!C60="","",'سجل الأصول'!C60)</f>
        <v/>
      </c>
      <c r="D60" s="17" t="str">
        <f>IF(C60="","",'سجل الأصول'!E60)</f>
        <v/>
      </c>
      <c r="E60" s="17" t="str">
        <f>IF(C60="","",'سجل الأصول'!F60)</f>
        <v/>
      </c>
      <c r="F60" s="17" t="str">
        <f>IF(C60="","",'سجل الأصول'!G60)</f>
        <v/>
      </c>
      <c r="G60" s="14" t="str">
        <f>IF(C60="","",'سجل الأصول'!J60)</f>
        <v/>
      </c>
      <c r="H60" s="14" t="str">
        <f>IF(C60="","",'سجل الأصول'!K60)</f>
        <v/>
      </c>
      <c r="I60" s="31" t="str">
        <f>IF(C60="","",'سجل الأصول'!L60)</f>
        <v/>
      </c>
      <c r="J60" s="17">
        <f ca="1">IF(OR(C60="",'سجل الأصول'!I60&gt;TODAY(),G60&lt;=0),0,IF(H60="القسط الثابت",F60/(G60*12),IF(H60="القسط المتناقص",D60*(I60/100)/12,IF(H60="وحدات الإنتاج",F60*I60/100/12,0))))</f>
        <v>0</v>
      </c>
      <c r="K60" s="17">
        <f>IF(C60="",0,J60*12)</f>
        <v>0</v>
      </c>
      <c r="L60" s="17">
        <f>IF(OR(C60="",'سجل الأصول'!N60="مهلك"),0,MAX(0,D60-M60))</f>
        <v>0</v>
      </c>
      <c r="M60" s="17" t="str">
        <f>IF(C60="","",'سجل الأصول'!M60)</f>
        <v/>
      </c>
    </row>
    <row r="61" spans="2:13">
      <c r="B61" s="21" t="str">
        <f>IF('سجل الأصول'!B61="","",'سجل الأصول'!B61)</f>
        <v/>
      </c>
      <c r="C61" s="22" t="str">
        <f>IF('سجل الأصول'!C61="","",'سجل الأصول'!C61)</f>
        <v/>
      </c>
      <c r="D61" s="24" t="str">
        <f>IF(C61="","",'سجل الأصول'!E61)</f>
        <v/>
      </c>
      <c r="E61" s="24" t="str">
        <f>IF(C61="","",'سجل الأصول'!F61)</f>
        <v/>
      </c>
      <c r="F61" s="24" t="str">
        <f>IF(C61="","",'سجل الأصول'!G61)</f>
        <v/>
      </c>
      <c r="G61" s="21" t="str">
        <f>IF(C61="","",'سجل الأصول'!J61)</f>
        <v/>
      </c>
      <c r="H61" s="21" t="str">
        <f>IF(C61="","",'سجل الأصول'!K61)</f>
        <v/>
      </c>
      <c r="I61" s="32" t="str">
        <f>IF(C61="","",'سجل الأصول'!L61)</f>
        <v/>
      </c>
      <c r="J61" s="24">
        <f ca="1">IF(OR(C61="",'سجل الأصول'!I61&gt;TODAY(),G61&lt;=0),0,IF(H61="القسط الثابت",F61/(G61*12),IF(H61="القسط المتناقص",D61*(I61/100)/12,IF(H61="وحدات الإنتاج",F61*I61/100/12,0))))</f>
        <v>0</v>
      </c>
      <c r="K61" s="24">
        <f>IF(C61="",0,J61*12)</f>
        <v>0</v>
      </c>
      <c r="L61" s="24">
        <f>IF(OR(C61="",'سجل الأصول'!N61="مهلك"),0,MAX(0,D61-M61))</f>
        <v>0</v>
      </c>
      <c r="M61" s="24" t="str">
        <f>IF(C61="","",'سجل الأصول'!M61)</f>
        <v/>
      </c>
    </row>
    <row r="62" spans="2:13">
      <c r="B62" s="14" t="str">
        <f>IF('سجل الأصول'!B62="","",'سجل الأصول'!B62)</f>
        <v/>
      </c>
      <c r="C62" s="15" t="str">
        <f>IF('سجل الأصول'!C62="","",'سجل الأصول'!C62)</f>
        <v/>
      </c>
      <c r="D62" s="17" t="str">
        <f>IF(C62="","",'سجل الأصول'!E62)</f>
        <v/>
      </c>
      <c r="E62" s="17" t="str">
        <f>IF(C62="","",'سجل الأصول'!F62)</f>
        <v/>
      </c>
      <c r="F62" s="17" t="str">
        <f>IF(C62="","",'سجل الأصول'!G62)</f>
        <v/>
      </c>
      <c r="G62" s="14" t="str">
        <f>IF(C62="","",'سجل الأصول'!J62)</f>
        <v/>
      </c>
      <c r="H62" s="14" t="str">
        <f>IF(C62="","",'سجل الأصول'!K62)</f>
        <v/>
      </c>
      <c r="I62" s="31" t="str">
        <f>IF(C62="","",'سجل الأصول'!L62)</f>
        <v/>
      </c>
      <c r="J62" s="17">
        <f ca="1">IF(OR(C62="",'سجل الأصول'!I62&gt;TODAY(),G62&lt;=0),0,IF(H62="القسط الثابت",F62/(G62*12),IF(H62="القسط المتناقص",D62*(I62/100)/12,IF(H62="وحدات الإنتاج",F62*I62/100/12,0))))</f>
        <v>0</v>
      </c>
      <c r="K62" s="17">
        <f>IF(C62="",0,J62*12)</f>
        <v>0</v>
      </c>
      <c r="L62" s="17">
        <f>IF(OR(C62="",'سجل الأصول'!N62="مهلك"),0,MAX(0,D62-M62))</f>
        <v>0</v>
      </c>
      <c r="M62" s="17" t="str">
        <f>IF(C62="","",'سجل الأصول'!M62)</f>
        <v/>
      </c>
    </row>
    <row r="63" spans="2:13">
      <c r="B63" s="21" t="str">
        <f>IF('سجل الأصول'!B63="","",'سجل الأصول'!B63)</f>
        <v/>
      </c>
      <c r="C63" s="22" t="str">
        <f>IF('سجل الأصول'!C63="","",'سجل الأصول'!C63)</f>
        <v/>
      </c>
      <c r="D63" s="24" t="str">
        <f>IF(C63="","",'سجل الأصول'!E63)</f>
        <v/>
      </c>
      <c r="E63" s="24" t="str">
        <f>IF(C63="","",'سجل الأصول'!F63)</f>
        <v/>
      </c>
      <c r="F63" s="24" t="str">
        <f>IF(C63="","",'سجل الأصول'!G63)</f>
        <v/>
      </c>
      <c r="G63" s="21" t="str">
        <f>IF(C63="","",'سجل الأصول'!J63)</f>
        <v/>
      </c>
      <c r="H63" s="21" t="str">
        <f>IF(C63="","",'سجل الأصول'!K63)</f>
        <v/>
      </c>
      <c r="I63" s="32" t="str">
        <f>IF(C63="","",'سجل الأصول'!L63)</f>
        <v/>
      </c>
      <c r="J63" s="24">
        <f ca="1">IF(OR(C63="",'سجل الأصول'!I63&gt;TODAY(),G63&lt;=0),0,IF(H63="القسط الثابت",F63/(G63*12),IF(H63="القسط المتناقص",D63*(I63/100)/12,IF(H63="وحدات الإنتاج",F63*I63/100/12,0))))</f>
        <v>0</v>
      </c>
      <c r="K63" s="24">
        <f>IF(C63="",0,J63*12)</f>
        <v>0</v>
      </c>
      <c r="L63" s="24">
        <f>IF(OR(C63="",'سجل الأصول'!N63="مهلك"),0,MAX(0,D63-M63))</f>
        <v>0</v>
      </c>
      <c r="M63" s="24" t="str">
        <f>IF(C63="","",'سجل الأصول'!M63)</f>
        <v/>
      </c>
    </row>
    <row r="64" spans="2:13">
      <c r="B64" s="14" t="str">
        <f>IF('سجل الأصول'!B64="","",'سجل الأصول'!B64)</f>
        <v/>
      </c>
      <c r="C64" s="15" t="str">
        <f>IF('سجل الأصول'!C64="","",'سجل الأصول'!C64)</f>
        <v/>
      </c>
      <c r="D64" s="17" t="str">
        <f>IF(C64="","",'سجل الأصول'!E64)</f>
        <v/>
      </c>
      <c r="E64" s="17" t="str">
        <f>IF(C64="","",'سجل الأصول'!F64)</f>
        <v/>
      </c>
      <c r="F64" s="17" t="str">
        <f>IF(C64="","",'سجل الأصول'!G64)</f>
        <v/>
      </c>
      <c r="G64" s="14" t="str">
        <f>IF(C64="","",'سجل الأصول'!J64)</f>
        <v/>
      </c>
      <c r="H64" s="14" t="str">
        <f>IF(C64="","",'سجل الأصول'!K64)</f>
        <v/>
      </c>
      <c r="I64" s="31" t="str">
        <f>IF(C64="","",'سجل الأصول'!L64)</f>
        <v/>
      </c>
      <c r="J64" s="17">
        <f ca="1">IF(OR(C64="",'سجل الأصول'!I64&gt;TODAY(),G64&lt;=0),0,IF(H64="القسط الثابت",F64/(G64*12),IF(H64="القسط المتناقص",D64*(I64/100)/12,IF(H64="وحدات الإنتاج",F64*I64/100/12,0))))</f>
        <v>0</v>
      </c>
      <c r="K64" s="17">
        <f>IF(C64="",0,J64*12)</f>
        <v>0</v>
      </c>
      <c r="L64" s="17">
        <f>IF(OR(C64="",'سجل الأصول'!N64="مهلك"),0,MAX(0,D64-M64))</f>
        <v>0</v>
      </c>
      <c r="M64" s="17" t="str">
        <f>IF(C64="","",'سجل الأصول'!M64)</f>
        <v/>
      </c>
    </row>
    <row r="65" spans="2:13">
      <c r="B65" s="21" t="str">
        <f>IF('سجل الأصول'!B65="","",'سجل الأصول'!B65)</f>
        <v/>
      </c>
      <c r="C65" s="22" t="str">
        <f>IF('سجل الأصول'!C65="","",'سجل الأصول'!C65)</f>
        <v/>
      </c>
      <c r="D65" s="24" t="str">
        <f>IF(C65="","",'سجل الأصول'!E65)</f>
        <v/>
      </c>
      <c r="E65" s="24" t="str">
        <f>IF(C65="","",'سجل الأصول'!F65)</f>
        <v/>
      </c>
      <c r="F65" s="24" t="str">
        <f>IF(C65="","",'سجل الأصول'!G65)</f>
        <v/>
      </c>
      <c r="G65" s="21" t="str">
        <f>IF(C65="","",'سجل الأصول'!J65)</f>
        <v/>
      </c>
      <c r="H65" s="21" t="str">
        <f>IF(C65="","",'سجل الأصول'!K65)</f>
        <v/>
      </c>
      <c r="I65" s="32" t="str">
        <f>IF(C65="","",'سجل الأصول'!L65)</f>
        <v/>
      </c>
      <c r="J65" s="24">
        <f ca="1">IF(OR(C65="",'سجل الأصول'!I65&gt;TODAY(),G65&lt;=0),0,IF(H65="القسط الثابت",F65/(G65*12),IF(H65="القسط المتناقص",D65*(I65/100)/12,IF(H65="وحدات الإنتاج",F65*I65/100/12,0))))</f>
        <v>0</v>
      </c>
      <c r="K65" s="24">
        <f>IF(C65="",0,J65*12)</f>
        <v>0</v>
      </c>
      <c r="L65" s="24">
        <f>IF(OR(C65="",'سجل الأصول'!N65="مهلك"),0,MAX(0,D65-M65))</f>
        <v>0</v>
      </c>
      <c r="M65" s="24" t="str">
        <f>IF(C65="","",'سجل الأصول'!M65)</f>
        <v/>
      </c>
    </row>
    <row r="66" spans="2:13">
      <c r="B66" s="14" t="str">
        <f>IF('سجل الأصول'!B66="","",'سجل الأصول'!B66)</f>
        <v/>
      </c>
      <c r="C66" s="15" t="str">
        <f>IF('سجل الأصول'!C66="","",'سجل الأصول'!C66)</f>
        <v/>
      </c>
      <c r="D66" s="17" t="str">
        <f>IF(C66="","",'سجل الأصول'!E66)</f>
        <v/>
      </c>
      <c r="E66" s="17" t="str">
        <f>IF(C66="","",'سجل الأصول'!F66)</f>
        <v/>
      </c>
      <c r="F66" s="17" t="str">
        <f>IF(C66="","",'سجل الأصول'!G66)</f>
        <v/>
      </c>
      <c r="G66" s="14" t="str">
        <f>IF(C66="","",'سجل الأصول'!J66)</f>
        <v/>
      </c>
      <c r="H66" s="14" t="str">
        <f>IF(C66="","",'سجل الأصول'!K66)</f>
        <v/>
      </c>
      <c r="I66" s="31" t="str">
        <f>IF(C66="","",'سجل الأصول'!L66)</f>
        <v/>
      </c>
      <c r="J66" s="17">
        <f ca="1">IF(OR(C66="",'سجل الأصول'!I66&gt;TODAY(),G66&lt;=0),0,IF(H66="القسط الثابت",F66/(G66*12),IF(H66="القسط المتناقص",D66*(I66/100)/12,IF(H66="وحدات الإنتاج",F66*I66/100/12,0))))</f>
        <v>0</v>
      </c>
      <c r="K66" s="17">
        <f>IF(C66="",0,J66*12)</f>
        <v>0</v>
      </c>
      <c r="L66" s="17">
        <f>IF(OR(C66="",'سجل الأصول'!N66="مهلك"),0,MAX(0,D66-M66))</f>
        <v>0</v>
      </c>
      <c r="M66" s="17" t="str">
        <f>IF(C66="","",'سجل الأصول'!M66)</f>
        <v/>
      </c>
    </row>
    <row r="67" spans="2:13">
      <c r="B67" s="21" t="str">
        <f>IF('سجل الأصول'!B67="","",'سجل الأصول'!B67)</f>
        <v/>
      </c>
      <c r="C67" s="22" t="str">
        <f>IF('سجل الأصول'!C67="","",'سجل الأصول'!C67)</f>
        <v/>
      </c>
      <c r="D67" s="24" t="str">
        <f>IF(C67="","",'سجل الأصول'!E67)</f>
        <v/>
      </c>
      <c r="E67" s="24" t="str">
        <f>IF(C67="","",'سجل الأصول'!F67)</f>
        <v/>
      </c>
      <c r="F67" s="24" t="str">
        <f>IF(C67="","",'سجل الأصول'!G67)</f>
        <v/>
      </c>
      <c r="G67" s="21" t="str">
        <f>IF(C67="","",'سجل الأصول'!J67)</f>
        <v/>
      </c>
      <c r="H67" s="21" t="str">
        <f>IF(C67="","",'سجل الأصول'!K67)</f>
        <v/>
      </c>
      <c r="I67" s="32" t="str">
        <f>IF(C67="","",'سجل الأصول'!L67)</f>
        <v/>
      </c>
      <c r="J67" s="24">
        <f ca="1">IF(OR(C67="",'سجل الأصول'!I67&gt;TODAY(),G67&lt;=0),0,IF(H67="القسط الثابت",F67/(G67*12),IF(H67="القسط المتناقص",D67*(I67/100)/12,IF(H67="وحدات الإنتاج",F67*I67/100/12,0))))</f>
        <v>0</v>
      </c>
      <c r="K67" s="24">
        <f>IF(C67="",0,J67*12)</f>
        <v>0</v>
      </c>
      <c r="L67" s="24">
        <f>IF(OR(C67="",'سجل الأصول'!N67="مهلك"),0,MAX(0,D67-M67))</f>
        <v>0</v>
      </c>
      <c r="M67" s="24" t="str">
        <f>IF(C67="","",'سجل الأصول'!M67)</f>
        <v/>
      </c>
    </row>
    <row r="68" spans="2:13">
      <c r="B68" s="14" t="str">
        <f>IF('سجل الأصول'!B68="","",'سجل الأصول'!B68)</f>
        <v/>
      </c>
      <c r="C68" s="15" t="str">
        <f>IF('سجل الأصول'!C68="","",'سجل الأصول'!C68)</f>
        <v/>
      </c>
      <c r="D68" s="17" t="str">
        <f>IF(C68="","",'سجل الأصول'!E68)</f>
        <v/>
      </c>
      <c r="E68" s="17" t="str">
        <f>IF(C68="","",'سجل الأصول'!F68)</f>
        <v/>
      </c>
      <c r="F68" s="17" t="str">
        <f>IF(C68="","",'سجل الأصول'!G68)</f>
        <v/>
      </c>
      <c r="G68" s="14" t="str">
        <f>IF(C68="","",'سجل الأصول'!J68)</f>
        <v/>
      </c>
      <c r="H68" s="14" t="str">
        <f>IF(C68="","",'سجل الأصول'!K68)</f>
        <v/>
      </c>
      <c r="I68" s="31" t="str">
        <f>IF(C68="","",'سجل الأصول'!L68)</f>
        <v/>
      </c>
      <c r="J68" s="17">
        <f ca="1">IF(OR(C68="",'سجل الأصول'!I68&gt;TODAY(),G68&lt;=0),0,IF(H68="القسط الثابت",F68/(G68*12),IF(H68="القسط المتناقص",D68*(I68/100)/12,IF(H68="وحدات الإنتاج",F68*I68/100/12,0))))</f>
        <v>0</v>
      </c>
      <c r="K68" s="17">
        <f>IF(C68="",0,J68*12)</f>
        <v>0</v>
      </c>
      <c r="L68" s="17">
        <f>IF(OR(C68="",'سجل الأصول'!N68="مهلك"),0,MAX(0,D68-M68))</f>
        <v>0</v>
      </c>
      <c r="M68" s="17" t="str">
        <f>IF(C68="","",'سجل الأصول'!M68)</f>
        <v/>
      </c>
    </row>
    <row r="69" spans="2:13">
      <c r="B69" s="21" t="str">
        <f>IF('سجل الأصول'!B69="","",'سجل الأصول'!B69)</f>
        <v/>
      </c>
      <c r="C69" s="22" t="str">
        <f>IF('سجل الأصول'!C69="","",'سجل الأصول'!C69)</f>
        <v/>
      </c>
      <c r="D69" s="24" t="str">
        <f>IF(C69="","",'سجل الأصول'!E69)</f>
        <v/>
      </c>
      <c r="E69" s="24" t="str">
        <f>IF(C69="","",'سجل الأصول'!F69)</f>
        <v/>
      </c>
      <c r="F69" s="24" t="str">
        <f>IF(C69="","",'سجل الأصول'!G69)</f>
        <v/>
      </c>
      <c r="G69" s="21" t="str">
        <f>IF(C69="","",'سجل الأصول'!J69)</f>
        <v/>
      </c>
      <c r="H69" s="21" t="str">
        <f>IF(C69="","",'سجل الأصول'!K69)</f>
        <v/>
      </c>
      <c r="I69" s="32" t="str">
        <f>IF(C69="","",'سجل الأصول'!L69)</f>
        <v/>
      </c>
      <c r="J69" s="24">
        <f ca="1">IF(OR(C69="",'سجل الأصول'!I69&gt;TODAY(),G69&lt;=0),0,IF(H69="القسط الثابت",F69/(G69*12),IF(H69="القسط المتناقص",D69*(I69/100)/12,IF(H69="وحدات الإنتاج",F69*I69/100/12,0))))</f>
        <v>0</v>
      </c>
      <c r="K69" s="24">
        <f>IF(C69="",0,J69*12)</f>
        <v>0</v>
      </c>
      <c r="L69" s="24">
        <f>IF(OR(C69="",'سجل الأصول'!N69="مهلك"),0,MAX(0,D69-M69))</f>
        <v>0</v>
      </c>
      <c r="M69" s="24" t="str">
        <f>IF(C69="","",'سجل الأصول'!M69)</f>
        <v/>
      </c>
    </row>
    <row r="70" spans="2:13">
      <c r="B70" s="14" t="str">
        <f>IF('سجل الأصول'!B70="","",'سجل الأصول'!B70)</f>
        <v/>
      </c>
      <c r="C70" s="15" t="str">
        <f>IF('سجل الأصول'!C70="","",'سجل الأصول'!C70)</f>
        <v/>
      </c>
      <c r="D70" s="17" t="str">
        <f>IF(C70="","",'سجل الأصول'!E70)</f>
        <v/>
      </c>
      <c r="E70" s="17" t="str">
        <f>IF(C70="","",'سجل الأصول'!F70)</f>
        <v/>
      </c>
      <c r="F70" s="17" t="str">
        <f>IF(C70="","",'سجل الأصول'!G70)</f>
        <v/>
      </c>
      <c r="G70" s="14" t="str">
        <f>IF(C70="","",'سجل الأصول'!J70)</f>
        <v/>
      </c>
      <c r="H70" s="14" t="str">
        <f>IF(C70="","",'سجل الأصول'!K70)</f>
        <v/>
      </c>
      <c r="I70" s="31" t="str">
        <f>IF(C70="","",'سجل الأصول'!L70)</f>
        <v/>
      </c>
      <c r="J70" s="17">
        <f ca="1">IF(OR(C70="",'سجل الأصول'!I70&gt;TODAY(),G70&lt;=0),0,IF(H70="القسط الثابت",F70/(G70*12),IF(H70="القسط المتناقص",D70*(I70/100)/12,IF(H70="وحدات الإنتاج",F70*I70/100/12,0))))</f>
        <v>0</v>
      </c>
      <c r="K70" s="17">
        <f>IF(C70="",0,J70*12)</f>
        <v>0</v>
      </c>
      <c r="L70" s="17">
        <f>IF(OR(C70="",'سجل الأصول'!N70="مهلك"),0,MAX(0,D70-M70))</f>
        <v>0</v>
      </c>
      <c r="M70" s="17" t="str">
        <f>IF(C70="","",'سجل الأصول'!M70)</f>
        <v/>
      </c>
    </row>
    <row r="71" spans="2:13">
      <c r="B71" s="21" t="str">
        <f>IF('سجل الأصول'!B71="","",'سجل الأصول'!B71)</f>
        <v/>
      </c>
      <c r="C71" s="22" t="str">
        <f>IF('سجل الأصول'!C71="","",'سجل الأصول'!C71)</f>
        <v/>
      </c>
      <c r="D71" s="24" t="str">
        <f>IF(C71="","",'سجل الأصول'!E71)</f>
        <v/>
      </c>
      <c r="E71" s="24" t="str">
        <f>IF(C71="","",'سجل الأصول'!F71)</f>
        <v/>
      </c>
      <c r="F71" s="24" t="str">
        <f>IF(C71="","",'سجل الأصول'!G71)</f>
        <v/>
      </c>
      <c r="G71" s="21" t="str">
        <f>IF(C71="","",'سجل الأصول'!J71)</f>
        <v/>
      </c>
      <c r="H71" s="21" t="str">
        <f>IF(C71="","",'سجل الأصول'!K71)</f>
        <v/>
      </c>
      <c r="I71" s="32" t="str">
        <f>IF(C71="","",'سجل الأصول'!L71)</f>
        <v/>
      </c>
      <c r="J71" s="24">
        <f ca="1">IF(OR(C71="",'سجل الأصول'!I71&gt;TODAY(),G71&lt;=0),0,IF(H71="القسط الثابت",F71/(G71*12),IF(H71="القسط المتناقص",D71*(I71/100)/12,IF(H71="وحدات الإنتاج",F71*I71/100/12,0))))</f>
        <v>0</v>
      </c>
      <c r="K71" s="24">
        <f>IF(C71="",0,J71*12)</f>
        <v>0</v>
      </c>
      <c r="L71" s="24">
        <f>IF(OR(C71="",'سجل الأصول'!N71="مهلك"),0,MAX(0,D71-M71))</f>
        <v>0</v>
      </c>
      <c r="M71" s="24" t="str">
        <f>IF(C71="","",'سجل الأصول'!M71)</f>
        <v/>
      </c>
    </row>
    <row r="72" spans="2:13">
      <c r="B72" s="14" t="str">
        <f>IF('سجل الأصول'!B72="","",'سجل الأصول'!B72)</f>
        <v/>
      </c>
      <c r="C72" s="15" t="str">
        <f>IF('سجل الأصول'!C72="","",'سجل الأصول'!C72)</f>
        <v/>
      </c>
      <c r="D72" s="17" t="str">
        <f>IF(C72="","",'سجل الأصول'!E72)</f>
        <v/>
      </c>
      <c r="E72" s="17" t="str">
        <f>IF(C72="","",'سجل الأصول'!F72)</f>
        <v/>
      </c>
      <c r="F72" s="17" t="str">
        <f>IF(C72="","",'سجل الأصول'!G72)</f>
        <v/>
      </c>
      <c r="G72" s="14" t="str">
        <f>IF(C72="","",'سجل الأصول'!J72)</f>
        <v/>
      </c>
      <c r="H72" s="14" t="str">
        <f>IF(C72="","",'سجل الأصول'!K72)</f>
        <v/>
      </c>
      <c r="I72" s="31" t="str">
        <f>IF(C72="","",'سجل الأصول'!L72)</f>
        <v/>
      </c>
      <c r="J72" s="17">
        <f ca="1">IF(OR(C72="",'سجل الأصول'!I72&gt;TODAY(),G72&lt;=0),0,IF(H72="القسط الثابت",F72/(G72*12),IF(H72="القسط المتناقص",D72*(I72/100)/12,IF(H72="وحدات الإنتاج",F72*I72/100/12,0))))</f>
        <v>0</v>
      </c>
      <c r="K72" s="17">
        <f>IF(C72="",0,J72*12)</f>
        <v>0</v>
      </c>
      <c r="L72" s="17">
        <f>IF(OR(C72="",'سجل الأصول'!N72="مهلك"),0,MAX(0,D72-M72))</f>
        <v>0</v>
      </c>
      <c r="M72" s="17" t="str">
        <f>IF(C72="","",'سجل الأصول'!M72)</f>
        <v/>
      </c>
    </row>
    <row r="73" spans="2:13">
      <c r="B73" s="21" t="str">
        <f>IF('سجل الأصول'!B73="","",'سجل الأصول'!B73)</f>
        <v/>
      </c>
      <c r="C73" s="22" t="str">
        <f>IF('سجل الأصول'!C73="","",'سجل الأصول'!C73)</f>
        <v/>
      </c>
      <c r="D73" s="24" t="str">
        <f>IF(C73="","",'سجل الأصول'!E73)</f>
        <v/>
      </c>
      <c r="E73" s="24" t="str">
        <f>IF(C73="","",'سجل الأصول'!F73)</f>
        <v/>
      </c>
      <c r="F73" s="24" t="str">
        <f>IF(C73="","",'سجل الأصول'!G73)</f>
        <v/>
      </c>
      <c r="G73" s="21" t="str">
        <f>IF(C73="","",'سجل الأصول'!J73)</f>
        <v/>
      </c>
      <c r="H73" s="21" t="str">
        <f>IF(C73="","",'سجل الأصول'!K73)</f>
        <v/>
      </c>
      <c r="I73" s="32" t="str">
        <f>IF(C73="","",'سجل الأصول'!L73)</f>
        <v/>
      </c>
      <c r="J73" s="24">
        <f ca="1">IF(OR(C73="",'سجل الأصول'!I73&gt;TODAY(),G73&lt;=0),0,IF(H73="القسط الثابت",F73/(G73*12),IF(H73="القسط المتناقص",D73*(I73/100)/12,IF(H73="وحدات الإنتاج",F73*I73/100/12,0))))</f>
        <v>0</v>
      </c>
      <c r="K73" s="24">
        <f>IF(C73="",0,J73*12)</f>
        <v>0</v>
      </c>
      <c r="L73" s="24">
        <f>IF(OR(C73="",'سجل الأصول'!N73="مهلك"),0,MAX(0,D73-M73))</f>
        <v>0</v>
      </c>
      <c r="M73" s="24" t="str">
        <f>IF(C73="","",'سجل الأصول'!M73)</f>
        <v/>
      </c>
    </row>
    <row r="74" spans="2:13">
      <c r="B74" s="14" t="str">
        <f>IF('سجل الأصول'!B74="","",'سجل الأصول'!B74)</f>
        <v/>
      </c>
      <c r="C74" s="15" t="str">
        <f>IF('سجل الأصول'!C74="","",'سجل الأصول'!C74)</f>
        <v/>
      </c>
      <c r="D74" s="17" t="str">
        <f>IF(C74="","",'سجل الأصول'!E74)</f>
        <v/>
      </c>
      <c r="E74" s="17" t="str">
        <f>IF(C74="","",'سجل الأصول'!F74)</f>
        <v/>
      </c>
      <c r="F74" s="17" t="str">
        <f>IF(C74="","",'سجل الأصول'!G74)</f>
        <v/>
      </c>
      <c r="G74" s="14" t="str">
        <f>IF(C74="","",'سجل الأصول'!J74)</f>
        <v/>
      </c>
      <c r="H74" s="14" t="str">
        <f>IF(C74="","",'سجل الأصول'!K74)</f>
        <v/>
      </c>
      <c r="I74" s="31" t="str">
        <f>IF(C74="","",'سجل الأصول'!L74)</f>
        <v/>
      </c>
      <c r="J74" s="17">
        <f ca="1">IF(OR(C74="",'سجل الأصول'!I74&gt;TODAY(),G74&lt;=0),0,IF(H74="القسط الثابت",F74/(G74*12),IF(H74="القسط المتناقص",D74*(I74/100)/12,IF(H74="وحدات الإنتاج",F74*I74/100/12,0))))</f>
        <v>0</v>
      </c>
      <c r="K74" s="17">
        <f>IF(C74="",0,J74*12)</f>
        <v>0</v>
      </c>
      <c r="L74" s="17">
        <f>IF(OR(C74="",'سجل الأصول'!N74="مهلك"),0,MAX(0,D74-M74))</f>
        <v>0</v>
      </c>
      <c r="M74" s="17" t="str">
        <f>IF(C74="","",'سجل الأصول'!M74)</f>
        <v/>
      </c>
    </row>
    <row r="75" spans="2:13">
      <c r="B75" s="21" t="str">
        <f>IF('سجل الأصول'!B75="","",'سجل الأصول'!B75)</f>
        <v/>
      </c>
      <c r="C75" s="22" t="str">
        <f>IF('سجل الأصول'!C75="","",'سجل الأصول'!C75)</f>
        <v/>
      </c>
      <c r="D75" s="24" t="str">
        <f>IF(C75="","",'سجل الأصول'!E75)</f>
        <v/>
      </c>
      <c r="E75" s="24" t="str">
        <f>IF(C75="","",'سجل الأصول'!F75)</f>
        <v/>
      </c>
      <c r="F75" s="24" t="str">
        <f>IF(C75="","",'سجل الأصول'!G75)</f>
        <v/>
      </c>
      <c r="G75" s="21" t="str">
        <f>IF(C75="","",'سجل الأصول'!J75)</f>
        <v/>
      </c>
      <c r="H75" s="21" t="str">
        <f>IF(C75="","",'سجل الأصول'!K75)</f>
        <v/>
      </c>
      <c r="I75" s="32" t="str">
        <f>IF(C75="","",'سجل الأصول'!L75)</f>
        <v/>
      </c>
      <c r="J75" s="24">
        <f ca="1">IF(OR(C75="",'سجل الأصول'!I75&gt;TODAY(),G75&lt;=0),0,IF(H75="القسط الثابت",F75/(G75*12),IF(H75="القسط المتناقص",D75*(I75/100)/12,IF(H75="وحدات الإنتاج",F75*I75/100/12,0))))</f>
        <v>0</v>
      </c>
      <c r="K75" s="24">
        <f>IF(C75="",0,J75*12)</f>
        <v>0</v>
      </c>
      <c r="L75" s="24">
        <f>IF(OR(C75="",'سجل الأصول'!N75="مهلك"),0,MAX(0,D75-M75))</f>
        <v>0</v>
      </c>
      <c r="M75" s="24" t="str">
        <f>IF(C75="","",'سجل الأصول'!M75)</f>
        <v/>
      </c>
    </row>
    <row r="76" spans="2:13">
      <c r="B76" s="14" t="str">
        <f>IF('سجل الأصول'!B76="","",'سجل الأصول'!B76)</f>
        <v/>
      </c>
      <c r="C76" s="15" t="str">
        <f>IF('سجل الأصول'!C76="","",'سجل الأصول'!C76)</f>
        <v/>
      </c>
      <c r="D76" s="17" t="str">
        <f>IF(C76="","",'سجل الأصول'!E76)</f>
        <v/>
      </c>
      <c r="E76" s="17" t="str">
        <f>IF(C76="","",'سجل الأصول'!F76)</f>
        <v/>
      </c>
      <c r="F76" s="17" t="str">
        <f>IF(C76="","",'سجل الأصول'!G76)</f>
        <v/>
      </c>
      <c r="G76" s="14" t="str">
        <f>IF(C76="","",'سجل الأصول'!J76)</f>
        <v/>
      </c>
      <c r="H76" s="14" t="str">
        <f>IF(C76="","",'سجل الأصول'!K76)</f>
        <v/>
      </c>
      <c r="I76" s="31" t="str">
        <f>IF(C76="","",'سجل الأصول'!L76)</f>
        <v/>
      </c>
      <c r="J76" s="17">
        <f ca="1">IF(OR(C76="",'سجل الأصول'!I76&gt;TODAY(),G76&lt;=0),0,IF(H76="القسط الثابت",F76/(G76*12),IF(H76="القسط المتناقص",D76*(I76/100)/12,IF(H76="وحدات الإنتاج",F76*I76/100/12,0))))</f>
        <v>0</v>
      </c>
      <c r="K76" s="17">
        <f>IF(C76="",0,J76*12)</f>
        <v>0</v>
      </c>
      <c r="L76" s="17">
        <f>IF(OR(C76="",'سجل الأصول'!N76="مهلك"),0,MAX(0,D76-M76))</f>
        <v>0</v>
      </c>
      <c r="M76" s="17" t="str">
        <f>IF(C76="","",'سجل الأصول'!M76)</f>
        <v/>
      </c>
    </row>
    <row r="77" spans="2:13">
      <c r="B77" s="21" t="str">
        <f>IF('سجل الأصول'!B77="","",'سجل الأصول'!B77)</f>
        <v/>
      </c>
      <c r="C77" s="22" t="str">
        <f>IF('سجل الأصول'!C77="","",'سجل الأصول'!C77)</f>
        <v/>
      </c>
      <c r="D77" s="24" t="str">
        <f>IF(C77="","",'سجل الأصول'!E77)</f>
        <v/>
      </c>
      <c r="E77" s="24" t="str">
        <f>IF(C77="","",'سجل الأصول'!F77)</f>
        <v/>
      </c>
      <c r="F77" s="24" t="str">
        <f>IF(C77="","",'سجل الأصول'!G77)</f>
        <v/>
      </c>
      <c r="G77" s="21" t="str">
        <f>IF(C77="","",'سجل الأصول'!J77)</f>
        <v/>
      </c>
      <c r="H77" s="21" t="str">
        <f>IF(C77="","",'سجل الأصول'!K77)</f>
        <v/>
      </c>
      <c r="I77" s="32" t="str">
        <f>IF(C77="","",'سجل الأصول'!L77)</f>
        <v/>
      </c>
      <c r="J77" s="24">
        <f ca="1">IF(OR(C77="",'سجل الأصول'!I77&gt;TODAY(),G77&lt;=0),0,IF(H77="القسط الثابت",F77/(G77*12),IF(H77="القسط المتناقص",D77*(I77/100)/12,IF(H77="وحدات الإنتاج",F77*I77/100/12,0))))</f>
        <v>0</v>
      </c>
      <c r="K77" s="24">
        <f>IF(C77="",0,J77*12)</f>
        <v>0</v>
      </c>
      <c r="L77" s="24">
        <f>IF(OR(C77="",'سجل الأصول'!N77="مهلك"),0,MAX(0,D77-M77))</f>
        <v>0</v>
      </c>
      <c r="M77" s="24" t="str">
        <f>IF(C77="","",'سجل الأصول'!M77)</f>
        <v/>
      </c>
    </row>
    <row r="78" spans="2:13">
      <c r="B78" s="14" t="str">
        <f>IF('سجل الأصول'!B78="","",'سجل الأصول'!B78)</f>
        <v/>
      </c>
      <c r="C78" s="15" t="str">
        <f>IF('سجل الأصول'!C78="","",'سجل الأصول'!C78)</f>
        <v/>
      </c>
      <c r="D78" s="17" t="str">
        <f>IF(C78="","",'سجل الأصول'!E78)</f>
        <v/>
      </c>
      <c r="E78" s="17" t="str">
        <f>IF(C78="","",'سجل الأصول'!F78)</f>
        <v/>
      </c>
      <c r="F78" s="17" t="str">
        <f>IF(C78="","",'سجل الأصول'!G78)</f>
        <v/>
      </c>
      <c r="G78" s="14" t="str">
        <f>IF(C78="","",'سجل الأصول'!J78)</f>
        <v/>
      </c>
      <c r="H78" s="14" t="str">
        <f>IF(C78="","",'سجل الأصول'!K78)</f>
        <v/>
      </c>
      <c r="I78" s="31" t="str">
        <f>IF(C78="","",'سجل الأصول'!L78)</f>
        <v/>
      </c>
      <c r="J78" s="17">
        <f ca="1">IF(OR(C78="",'سجل الأصول'!I78&gt;TODAY(),G78&lt;=0),0,IF(H78="القسط الثابت",F78/(G78*12),IF(H78="القسط المتناقص",D78*(I78/100)/12,IF(H78="وحدات الإنتاج",F78*I78/100/12,0))))</f>
        <v>0</v>
      </c>
      <c r="K78" s="17">
        <f>IF(C78="",0,J78*12)</f>
        <v>0</v>
      </c>
      <c r="L78" s="17">
        <f>IF(OR(C78="",'سجل الأصول'!N78="مهلك"),0,MAX(0,D78-M78))</f>
        <v>0</v>
      </c>
      <c r="M78" s="17" t="str">
        <f>IF(C78="","",'سجل الأصول'!M78)</f>
        <v/>
      </c>
    </row>
    <row r="79" spans="2:13">
      <c r="B79" s="21" t="str">
        <f>IF('سجل الأصول'!B79="","",'سجل الأصول'!B79)</f>
        <v/>
      </c>
      <c r="C79" s="22" t="str">
        <f>IF('سجل الأصول'!C79="","",'سجل الأصول'!C79)</f>
        <v/>
      </c>
      <c r="D79" s="24" t="str">
        <f>IF(C79="","",'سجل الأصول'!E79)</f>
        <v/>
      </c>
      <c r="E79" s="24" t="str">
        <f>IF(C79="","",'سجل الأصول'!F79)</f>
        <v/>
      </c>
      <c r="F79" s="24" t="str">
        <f>IF(C79="","",'سجل الأصول'!G79)</f>
        <v/>
      </c>
      <c r="G79" s="21" t="str">
        <f>IF(C79="","",'سجل الأصول'!J79)</f>
        <v/>
      </c>
      <c r="H79" s="21" t="str">
        <f>IF(C79="","",'سجل الأصول'!K79)</f>
        <v/>
      </c>
      <c r="I79" s="32" t="str">
        <f>IF(C79="","",'سجل الأصول'!L79)</f>
        <v/>
      </c>
      <c r="J79" s="24">
        <f ca="1">IF(OR(C79="",'سجل الأصول'!I79&gt;TODAY(),G79&lt;=0),0,IF(H79="القسط الثابت",F79/(G79*12),IF(H79="القسط المتناقص",D79*(I79/100)/12,IF(H79="وحدات الإنتاج",F79*I79/100/12,0))))</f>
        <v>0</v>
      </c>
      <c r="K79" s="24">
        <f>IF(C79="",0,J79*12)</f>
        <v>0</v>
      </c>
      <c r="L79" s="24">
        <f>IF(OR(C79="",'سجل الأصول'!N79="مهلك"),0,MAX(0,D79-M79))</f>
        <v>0</v>
      </c>
      <c r="M79" s="24" t="str">
        <f>IF(C79="","",'سجل الأصول'!M79)</f>
        <v/>
      </c>
    </row>
    <row r="80" spans="2:13">
      <c r="B80" s="14" t="str">
        <f>IF('سجل الأصول'!B80="","",'سجل الأصول'!B80)</f>
        <v/>
      </c>
      <c r="C80" s="15" t="str">
        <f>IF('سجل الأصول'!C80="","",'سجل الأصول'!C80)</f>
        <v/>
      </c>
      <c r="D80" s="17" t="str">
        <f>IF(C80="","",'سجل الأصول'!E80)</f>
        <v/>
      </c>
      <c r="E80" s="17" t="str">
        <f>IF(C80="","",'سجل الأصول'!F80)</f>
        <v/>
      </c>
      <c r="F80" s="17" t="str">
        <f>IF(C80="","",'سجل الأصول'!G80)</f>
        <v/>
      </c>
      <c r="G80" s="14" t="str">
        <f>IF(C80="","",'سجل الأصول'!J80)</f>
        <v/>
      </c>
      <c r="H80" s="14" t="str">
        <f>IF(C80="","",'سجل الأصول'!K80)</f>
        <v/>
      </c>
      <c r="I80" s="31" t="str">
        <f>IF(C80="","",'سجل الأصول'!L80)</f>
        <v/>
      </c>
      <c r="J80" s="17">
        <f ca="1">IF(OR(C80="",'سجل الأصول'!I80&gt;TODAY(),G80&lt;=0),0,IF(H80="القسط الثابت",F80/(G80*12),IF(H80="القسط المتناقص",D80*(I80/100)/12,IF(H80="وحدات الإنتاج",F80*I80/100/12,0))))</f>
        <v>0</v>
      </c>
      <c r="K80" s="17">
        <f>IF(C80="",0,J80*12)</f>
        <v>0</v>
      </c>
      <c r="L80" s="17">
        <f>IF(OR(C80="",'سجل الأصول'!N80="مهلك"),0,MAX(0,D80-M80))</f>
        <v>0</v>
      </c>
      <c r="M80" s="17" t="str">
        <f>IF(C80="","",'سجل الأصول'!M80)</f>
        <v/>
      </c>
    </row>
    <row r="81" spans="2:13">
      <c r="B81" s="21" t="str">
        <f>IF('سجل الأصول'!B81="","",'سجل الأصول'!B81)</f>
        <v/>
      </c>
      <c r="C81" s="22" t="str">
        <f>IF('سجل الأصول'!C81="","",'سجل الأصول'!C81)</f>
        <v/>
      </c>
      <c r="D81" s="24" t="str">
        <f>IF(C81="","",'سجل الأصول'!E81)</f>
        <v/>
      </c>
      <c r="E81" s="24" t="str">
        <f>IF(C81="","",'سجل الأصول'!F81)</f>
        <v/>
      </c>
      <c r="F81" s="24" t="str">
        <f>IF(C81="","",'سجل الأصول'!G81)</f>
        <v/>
      </c>
      <c r="G81" s="21" t="str">
        <f>IF(C81="","",'سجل الأصول'!J81)</f>
        <v/>
      </c>
      <c r="H81" s="21" t="str">
        <f>IF(C81="","",'سجل الأصول'!K81)</f>
        <v/>
      </c>
      <c r="I81" s="32" t="str">
        <f>IF(C81="","",'سجل الأصول'!L81)</f>
        <v/>
      </c>
      <c r="J81" s="24">
        <f ca="1">IF(OR(C81="",'سجل الأصول'!I81&gt;TODAY(),G81&lt;=0),0,IF(H81="القسط الثابت",F81/(G81*12),IF(H81="القسط المتناقص",D81*(I81/100)/12,IF(H81="وحدات الإنتاج",F81*I81/100/12,0))))</f>
        <v>0</v>
      </c>
      <c r="K81" s="24">
        <f>IF(C81="",0,J81*12)</f>
        <v>0</v>
      </c>
      <c r="L81" s="24">
        <f>IF(OR(C81="",'سجل الأصول'!N81="مهلك"),0,MAX(0,D81-M81))</f>
        <v>0</v>
      </c>
      <c r="M81" s="24" t="str">
        <f>IF(C81="","",'سجل الأصول'!M81)</f>
        <v/>
      </c>
    </row>
    <row r="82" spans="2:13">
      <c r="B82" s="14" t="str">
        <f>IF('سجل الأصول'!B82="","",'سجل الأصول'!B82)</f>
        <v/>
      </c>
      <c r="C82" s="15" t="str">
        <f>IF('سجل الأصول'!C82="","",'سجل الأصول'!C82)</f>
        <v/>
      </c>
      <c r="D82" s="17" t="str">
        <f>IF(C82="","",'سجل الأصول'!E82)</f>
        <v/>
      </c>
      <c r="E82" s="17" t="str">
        <f>IF(C82="","",'سجل الأصول'!F82)</f>
        <v/>
      </c>
      <c r="F82" s="17" t="str">
        <f>IF(C82="","",'سجل الأصول'!G82)</f>
        <v/>
      </c>
      <c r="G82" s="14" t="str">
        <f>IF(C82="","",'سجل الأصول'!J82)</f>
        <v/>
      </c>
      <c r="H82" s="14" t="str">
        <f>IF(C82="","",'سجل الأصول'!K82)</f>
        <v/>
      </c>
      <c r="I82" s="31" t="str">
        <f>IF(C82="","",'سجل الأصول'!L82)</f>
        <v/>
      </c>
      <c r="J82" s="17">
        <f ca="1">IF(OR(C82="",'سجل الأصول'!I82&gt;TODAY(),G82&lt;=0),0,IF(H82="القسط الثابت",F82/(G82*12),IF(H82="القسط المتناقص",D82*(I82/100)/12,IF(H82="وحدات الإنتاج",F82*I82/100/12,0))))</f>
        <v>0</v>
      </c>
      <c r="K82" s="17">
        <f>IF(C82="",0,J82*12)</f>
        <v>0</v>
      </c>
      <c r="L82" s="17">
        <f>IF(OR(C82="",'سجل الأصول'!N82="مهلك"),0,MAX(0,D82-M82))</f>
        <v>0</v>
      </c>
      <c r="M82" s="17" t="str">
        <f>IF(C82="","",'سجل الأصول'!M82)</f>
        <v/>
      </c>
    </row>
    <row r="83" spans="2:13">
      <c r="B83" s="21" t="str">
        <f>IF('سجل الأصول'!B83="","",'سجل الأصول'!B83)</f>
        <v/>
      </c>
      <c r="C83" s="22" t="str">
        <f>IF('سجل الأصول'!C83="","",'سجل الأصول'!C83)</f>
        <v/>
      </c>
      <c r="D83" s="24" t="str">
        <f>IF(C83="","",'سجل الأصول'!E83)</f>
        <v/>
      </c>
      <c r="E83" s="24" t="str">
        <f>IF(C83="","",'سجل الأصول'!F83)</f>
        <v/>
      </c>
      <c r="F83" s="24" t="str">
        <f>IF(C83="","",'سجل الأصول'!G83)</f>
        <v/>
      </c>
      <c r="G83" s="21" t="str">
        <f>IF(C83="","",'سجل الأصول'!J83)</f>
        <v/>
      </c>
      <c r="H83" s="21" t="str">
        <f>IF(C83="","",'سجل الأصول'!K83)</f>
        <v/>
      </c>
      <c r="I83" s="32" t="str">
        <f>IF(C83="","",'سجل الأصول'!L83)</f>
        <v/>
      </c>
      <c r="J83" s="24">
        <f ca="1">IF(OR(C83="",'سجل الأصول'!I83&gt;TODAY(),G83&lt;=0),0,IF(H83="القسط الثابت",F83/(G83*12),IF(H83="القسط المتناقص",D83*(I83/100)/12,IF(H83="وحدات الإنتاج",F83*I83/100/12,0))))</f>
        <v>0</v>
      </c>
      <c r="K83" s="24">
        <f>IF(C83="",0,J83*12)</f>
        <v>0</v>
      </c>
      <c r="L83" s="24">
        <f>IF(OR(C83="",'سجل الأصول'!N83="مهلك"),0,MAX(0,D83-M83))</f>
        <v>0</v>
      </c>
      <c r="M83" s="24" t="str">
        <f>IF(C83="","",'سجل الأصول'!M83)</f>
        <v/>
      </c>
    </row>
    <row r="84" spans="2:13">
      <c r="B84" s="14" t="str">
        <f>IF('سجل الأصول'!B84="","",'سجل الأصول'!B84)</f>
        <v/>
      </c>
      <c r="C84" s="15" t="str">
        <f>IF('سجل الأصول'!C84="","",'سجل الأصول'!C84)</f>
        <v/>
      </c>
      <c r="D84" s="17" t="str">
        <f>IF(C84="","",'سجل الأصول'!E84)</f>
        <v/>
      </c>
      <c r="E84" s="17" t="str">
        <f>IF(C84="","",'سجل الأصول'!F84)</f>
        <v/>
      </c>
      <c r="F84" s="17" t="str">
        <f>IF(C84="","",'سجل الأصول'!G84)</f>
        <v/>
      </c>
      <c r="G84" s="14" t="str">
        <f>IF(C84="","",'سجل الأصول'!J84)</f>
        <v/>
      </c>
      <c r="H84" s="14" t="str">
        <f>IF(C84="","",'سجل الأصول'!K84)</f>
        <v/>
      </c>
      <c r="I84" s="31" t="str">
        <f>IF(C84="","",'سجل الأصول'!L84)</f>
        <v/>
      </c>
      <c r="J84" s="17">
        <f ca="1">IF(OR(C84="",'سجل الأصول'!I84&gt;TODAY(),G84&lt;=0),0,IF(H84="القسط الثابت",F84/(G84*12),IF(H84="القسط المتناقص",D84*(I84/100)/12,IF(H84="وحدات الإنتاج",F84*I84/100/12,0))))</f>
        <v>0</v>
      </c>
      <c r="K84" s="17">
        <f>IF(C84="",0,J84*12)</f>
        <v>0</v>
      </c>
      <c r="L84" s="17">
        <f>IF(OR(C84="",'سجل الأصول'!N84="مهلك"),0,MAX(0,D84-M84))</f>
        <v>0</v>
      </c>
      <c r="M84" s="17" t="str">
        <f>IF(C84="","",'سجل الأصول'!M84)</f>
        <v/>
      </c>
    </row>
    <row r="85" spans="2:13">
      <c r="B85" s="21" t="str">
        <f>IF('سجل الأصول'!B85="","",'سجل الأصول'!B85)</f>
        <v/>
      </c>
      <c r="C85" s="22" t="str">
        <f>IF('سجل الأصول'!C85="","",'سجل الأصول'!C85)</f>
        <v/>
      </c>
      <c r="D85" s="24" t="str">
        <f>IF(C85="","",'سجل الأصول'!E85)</f>
        <v/>
      </c>
      <c r="E85" s="24" t="str">
        <f>IF(C85="","",'سجل الأصول'!F85)</f>
        <v/>
      </c>
      <c r="F85" s="24" t="str">
        <f>IF(C85="","",'سجل الأصول'!G85)</f>
        <v/>
      </c>
      <c r="G85" s="21" t="str">
        <f>IF(C85="","",'سجل الأصول'!J85)</f>
        <v/>
      </c>
      <c r="H85" s="21" t="str">
        <f>IF(C85="","",'سجل الأصول'!K85)</f>
        <v/>
      </c>
      <c r="I85" s="32" t="str">
        <f>IF(C85="","",'سجل الأصول'!L85)</f>
        <v/>
      </c>
      <c r="J85" s="24">
        <f ca="1">IF(OR(C85="",'سجل الأصول'!I85&gt;TODAY(),G85&lt;=0),0,IF(H85="القسط الثابت",F85/(G85*12),IF(H85="القسط المتناقص",D85*(I85/100)/12,IF(H85="وحدات الإنتاج",F85*I85/100/12,0))))</f>
        <v>0</v>
      </c>
      <c r="K85" s="24">
        <f>IF(C85="",0,J85*12)</f>
        <v>0</v>
      </c>
      <c r="L85" s="24">
        <f>IF(OR(C85="",'سجل الأصول'!N85="مهلك"),0,MAX(0,D85-M85))</f>
        <v>0</v>
      </c>
      <c r="M85" s="24" t="str">
        <f>IF(C85="","",'سجل الأصول'!M85)</f>
        <v/>
      </c>
    </row>
    <row r="86" spans="2:13">
      <c r="B86" s="14" t="str">
        <f>IF('سجل الأصول'!B86="","",'سجل الأصول'!B86)</f>
        <v/>
      </c>
      <c r="C86" s="15" t="str">
        <f>IF('سجل الأصول'!C86="","",'سجل الأصول'!C86)</f>
        <v/>
      </c>
      <c r="D86" s="17" t="str">
        <f>IF(C86="","",'سجل الأصول'!E86)</f>
        <v/>
      </c>
      <c r="E86" s="17" t="str">
        <f>IF(C86="","",'سجل الأصول'!F86)</f>
        <v/>
      </c>
      <c r="F86" s="17" t="str">
        <f>IF(C86="","",'سجل الأصول'!G86)</f>
        <v/>
      </c>
      <c r="G86" s="14" t="str">
        <f>IF(C86="","",'سجل الأصول'!J86)</f>
        <v/>
      </c>
      <c r="H86" s="14" t="str">
        <f>IF(C86="","",'سجل الأصول'!K86)</f>
        <v/>
      </c>
      <c r="I86" s="31" t="str">
        <f>IF(C86="","",'سجل الأصول'!L86)</f>
        <v/>
      </c>
      <c r="J86" s="17">
        <f ca="1">IF(OR(C86="",'سجل الأصول'!I86&gt;TODAY(),G86&lt;=0),0,IF(H86="القسط الثابت",F86/(G86*12),IF(H86="القسط المتناقص",D86*(I86/100)/12,IF(H86="وحدات الإنتاج",F86*I86/100/12,0))))</f>
        <v>0</v>
      </c>
      <c r="K86" s="17">
        <f>IF(C86="",0,J86*12)</f>
        <v>0</v>
      </c>
      <c r="L86" s="17">
        <f>IF(OR(C86="",'سجل الأصول'!N86="مهلك"),0,MAX(0,D86-M86))</f>
        <v>0</v>
      </c>
      <c r="M86" s="17" t="str">
        <f>IF(C86="","",'سجل الأصول'!M86)</f>
        <v/>
      </c>
    </row>
    <row r="87" spans="2:13">
      <c r="B87" s="21" t="str">
        <f>IF('سجل الأصول'!B87="","",'سجل الأصول'!B87)</f>
        <v/>
      </c>
      <c r="C87" s="22" t="str">
        <f>IF('سجل الأصول'!C87="","",'سجل الأصول'!C87)</f>
        <v/>
      </c>
      <c r="D87" s="24" t="str">
        <f>IF(C87="","",'سجل الأصول'!E87)</f>
        <v/>
      </c>
      <c r="E87" s="24" t="str">
        <f>IF(C87="","",'سجل الأصول'!F87)</f>
        <v/>
      </c>
      <c r="F87" s="24" t="str">
        <f>IF(C87="","",'سجل الأصول'!G87)</f>
        <v/>
      </c>
      <c r="G87" s="21" t="str">
        <f>IF(C87="","",'سجل الأصول'!J87)</f>
        <v/>
      </c>
      <c r="H87" s="21" t="str">
        <f>IF(C87="","",'سجل الأصول'!K87)</f>
        <v/>
      </c>
      <c r="I87" s="32" t="str">
        <f>IF(C87="","",'سجل الأصول'!L87)</f>
        <v/>
      </c>
      <c r="J87" s="24">
        <f ca="1">IF(OR(C87="",'سجل الأصول'!I87&gt;TODAY(),G87&lt;=0),0,IF(H87="القسط الثابت",F87/(G87*12),IF(H87="القسط المتناقص",D87*(I87/100)/12,IF(H87="وحدات الإنتاج",F87*I87/100/12,0))))</f>
        <v>0</v>
      </c>
      <c r="K87" s="24">
        <f>IF(C87="",0,J87*12)</f>
        <v>0</v>
      </c>
      <c r="L87" s="24">
        <f>IF(OR(C87="",'سجل الأصول'!N87="مهلك"),0,MAX(0,D87-M87))</f>
        <v>0</v>
      </c>
      <c r="M87" s="24" t="str">
        <f>IF(C87="","",'سجل الأصول'!M87)</f>
        <v/>
      </c>
    </row>
    <row r="88" spans="2:13">
      <c r="B88" s="14" t="str">
        <f>IF('سجل الأصول'!B88="","",'سجل الأصول'!B88)</f>
        <v/>
      </c>
      <c r="C88" s="15" t="str">
        <f>IF('سجل الأصول'!C88="","",'سجل الأصول'!C88)</f>
        <v/>
      </c>
      <c r="D88" s="17" t="str">
        <f>IF(C88="","",'سجل الأصول'!E88)</f>
        <v/>
      </c>
      <c r="E88" s="17" t="str">
        <f>IF(C88="","",'سجل الأصول'!F88)</f>
        <v/>
      </c>
      <c r="F88" s="17" t="str">
        <f>IF(C88="","",'سجل الأصول'!G88)</f>
        <v/>
      </c>
      <c r="G88" s="14" t="str">
        <f>IF(C88="","",'سجل الأصول'!J88)</f>
        <v/>
      </c>
      <c r="H88" s="14" t="str">
        <f>IF(C88="","",'سجل الأصول'!K88)</f>
        <v/>
      </c>
      <c r="I88" s="31" t="str">
        <f>IF(C88="","",'سجل الأصول'!L88)</f>
        <v/>
      </c>
      <c r="J88" s="17">
        <f ca="1">IF(OR(C88="",'سجل الأصول'!I88&gt;TODAY(),G88&lt;=0),0,IF(H88="القسط الثابت",F88/(G88*12),IF(H88="القسط المتناقص",D88*(I88/100)/12,IF(H88="وحدات الإنتاج",F88*I88/100/12,0))))</f>
        <v>0</v>
      </c>
      <c r="K88" s="17">
        <f>IF(C88="",0,J88*12)</f>
        <v>0</v>
      </c>
      <c r="L88" s="17">
        <f>IF(OR(C88="",'سجل الأصول'!N88="مهلك"),0,MAX(0,D88-M88))</f>
        <v>0</v>
      </c>
      <c r="M88" s="17" t="str">
        <f>IF(C88="","",'سجل الأصول'!M88)</f>
        <v/>
      </c>
    </row>
    <row r="89" spans="2:13">
      <c r="B89" s="21" t="str">
        <f>IF('سجل الأصول'!B89="","",'سجل الأصول'!B89)</f>
        <v/>
      </c>
      <c r="C89" s="22" t="str">
        <f>IF('سجل الأصول'!C89="","",'سجل الأصول'!C89)</f>
        <v/>
      </c>
      <c r="D89" s="24" t="str">
        <f>IF(C89="","",'سجل الأصول'!E89)</f>
        <v/>
      </c>
      <c r="E89" s="24" t="str">
        <f>IF(C89="","",'سجل الأصول'!F89)</f>
        <v/>
      </c>
      <c r="F89" s="24" t="str">
        <f>IF(C89="","",'سجل الأصول'!G89)</f>
        <v/>
      </c>
      <c r="G89" s="21" t="str">
        <f>IF(C89="","",'سجل الأصول'!J89)</f>
        <v/>
      </c>
      <c r="H89" s="21" t="str">
        <f>IF(C89="","",'سجل الأصول'!K89)</f>
        <v/>
      </c>
      <c r="I89" s="32" t="str">
        <f>IF(C89="","",'سجل الأصول'!L89)</f>
        <v/>
      </c>
      <c r="J89" s="24">
        <f ca="1">IF(OR(C89="",'سجل الأصول'!I89&gt;TODAY(),G89&lt;=0),0,IF(H89="القسط الثابت",F89/(G89*12),IF(H89="القسط المتناقص",D89*(I89/100)/12,IF(H89="وحدات الإنتاج",F89*I89/100/12,0))))</f>
        <v>0</v>
      </c>
      <c r="K89" s="24">
        <f>IF(C89="",0,J89*12)</f>
        <v>0</v>
      </c>
      <c r="L89" s="24">
        <f>IF(OR(C89="",'سجل الأصول'!N89="مهلك"),0,MAX(0,D89-M89))</f>
        <v>0</v>
      </c>
      <c r="M89" s="24" t="str">
        <f>IF(C89="","",'سجل الأصول'!M89)</f>
        <v/>
      </c>
    </row>
    <row r="90" spans="2:13">
      <c r="B90" s="14" t="str">
        <f>IF('سجل الأصول'!B90="","",'سجل الأصول'!B90)</f>
        <v/>
      </c>
      <c r="C90" s="15" t="str">
        <f>IF('سجل الأصول'!C90="","",'سجل الأصول'!C90)</f>
        <v/>
      </c>
      <c r="D90" s="17" t="str">
        <f>IF(C90="","",'سجل الأصول'!E90)</f>
        <v/>
      </c>
      <c r="E90" s="17" t="str">
        <f>IF(C90="","",'سجل الأصول'!F90)</f>
        <v/>
      </c>
      <c r="F90" s="17" t="str">
        <f>IF(C90="","",'سجل الأصول'!G90)</f>
        <v/>
      </c>
      <c r="G90" s="14" t="str">
        <f>IF(C90="","",'سجل الأصول'!J90)</f>
        <v/>
      </c>
      <c r="H90" s="14" t="str">
        <f>IF(C90="","",'سجل الأصول'!K90)</f>
        <v/>
      </c>
      <c r="I90" s="31" t="str">
        <f>IF(C90="","",'سجل الأصول'!L90)</f>
        <v/>
      </c>
      <c r="J90" s="17">
        <f ca="1">IF(OR(C90="",'سجل الأصول'!I90&gt;TODAY(),G90&lt;=0),0,IF(H90="القسط الثابت",F90/(G90*12),IF(H90="القسط المتناقص",D90*(I90/100)/12,IF(H90="وحدات الإنتاج",F90*I90/100/12,0))))</f>
        <v>0</v>
      </c>
      <c r="K90" s="17">
        <f>IF(C90="",0,J90*12)</f>
        <v>0</v>
      </c>
      <c r="L90" s="17">
        <f>IF(OR(C90="",'سجل الأصول'!N90="مهلك"),0,MAX(0,D90-M90))</f>
        <v>0</v>
      </c>
      <c r="M90" s="17" t="str">
        <f>IF(C90="","",'سجل الأصول'!M90)</f>
        <v/>
      </c>
    </row>
    <row r="91" spans="2:13">
      <c r="B91" s="21" t="str">
        <f>IF('سجل الأصول'!B91="","",'سجل الأصول'!B91)</f>
        <v/>
      </c>
      <c r="C91" s="22" t="str">
        <f>IF('سجل الأصول'!C91="","",'سجل الأصول'!C91)</f>
        <v/>
      </c>
      <c r="D91" s="24" t="str">
        <f>IF(C91="","",'سجل الأصول'!E91)</f>
        <v/>
      </c>
      <c r="E91" s="24" t="str">
        <f>IF(C91="","",'سجل الأصول'!F91)</f>
        <v/>
      </c>
      <c r="F91" s="24" t="str">
        <f>IF(C91="","",'سجل الأصول'!G91)</f>
        <v/>
      </c>
      <c r="G91" s="21" t="str">
        <f>IF(C91="","",'سجل الأصول'!J91)</f>
        <v/>
      </c>
      <c r="H91" s="21" t="str">
        <f>IF(C91="","",'سجل الأصول'!K91)</f>
        <v/>
      </c>
      <c r="I91" s="32" t="str">
        <f>IF(C91="","",'سجل الأصول'!L91)</f>
        <v/>
      </c>
      <c r="J91" s="24">
        <f ca="1">IF(OR(C91="",'سجل الأصول'!I91&gt;TODAY(),G91&lt;=0),0,IF(H91="القسط الثابت",F91/(G91*12),IF(H91="القسط المتناقص",D91*(I91/100)/12,IF(H91="وحدات الإنتاج",F91*I91/100/12,0))))</f>
        <v>0</v>
      </c>
      <c r="K91" s="24">
        <f>IF(C91="",0,J91*12)</f>
        <v>0</v>
      </c>
      <c r="L91" s="24">
        <f>IF(OR(C91="",'سجل الأصول'!N91="مهلك"),0,MAX(0,D91-M91))</f>
        <v>0</v>
      </c>
      <c r="M91" s="24" t="str">
        <f>IF(C91="","",'سجل الأصول'!M91)</f>
        <v/>
      </c>
    </row>
    <row r="92" spans="2:13">
      <c r="B92" s="14" t="str">
        <f>IF('سجل الأصول'!B92="","",'سجل الأصول'!B92)</f>
        <v/>
      </c>
      <c r="C92" s="15" t="str">
        <f>IF('سجل الأصول'!C92="","",'سجل الأصول'!C92)</f>
        <v/>
      </c>
      <c r="D92" s="17" t="str">
        <f>IF(C92="","",'سجل الأصول'!E92)</f>
        <v/>
      </c>
      <c r="E92" s="17" t="str">
        <f>IF(C92="","",'سجل الأصول'!F92)</f>
        <v/>
      </c>
      <c r="F92" s="17" t="str">
        <f>IF(C92="","",'سجل الأصول'!G92)</f>
        <v/>
      </c>
      <c r="G92" s="14" t="str">
        <f>IF(C92="","",'سجل الأصول'!J92)</f>
        <v/>
      </c>
      <c r="H92" s="14" t="str">
        <f>IF(C92="","",'سجل الأصول'!K92)</f>
        <v/>
      </c>
      <c r="I92" s="31" t="str">
        <f>IF(C92="","",'سجل الأصول'!L92)</f>
        <v/>
      </c>
      <c r="J92" s="17">
        <f ca="1">IF(OR(C92="",'سجل الأصول'!I92&gt;TODAY(),G92&lt;=0),0,IF(H92="القسط الثابت",F92/(G92*12),IF(H92="القسط المتناقص",D92*(I92/100)/12,IF(H92="وحدات الإنتاج",F92*I92/100/12,0))))</f>
        <v>0</v>
      </c>
      <c r="K92" s="17">
        <f>IF(C92="",0,J92*12)</f>
        <v>0</v>
      </c>
      <c r="L92" s="17">
        <f>IF(OR(C92="",'سجل الأصول'!N92="مهلك"),0,MAX(0,D92-M92))</f>
        <v>0</v>
      </c>
      <c r="M92" s="17" t="str">
        <f>IF(C92="","",'سجل الأصول'!M92)</f>
        <v/>
      </c>
    </row>
    <row r="93" spans="2:13">
      <c r="B93" s="21" t="str">
        <f>IF('سجل الأصول'!B93="","",'سجل الأصول'!B93)</f>
        <v/>
      </c>
      <c r="C93" s="22" t="str">
        <f>IF('سجل الأصول'!C93="","",'سجل الأصول'!C93)</f>
        <v/>
      </c>
      <c r="D93" s="24" t="str">
        <f>IF(C93="","",'سجل الأصول'!E93)</f>
        <v/>
      </c>
      <c r="E93" s="24" t="str">
        <f>IF(C93="","",'سجل الأصول'!F93)</f>
        <v/>
      </c>
      <c r="F93" s="24" t="str">
        <f>IF(C93="","",'سجل الأصول'!G93)</f>
        <v/>
      </c>
      <c r="G93" s="21" t="str">
        <f>IF(C93="","",'سجل الأصول'!J93)</f>
        <v/>
      </c>
      <c r="H93" s="21" t="str">
        <f>IF(C93="","",'سجل الأصول'!K93)</f>
        <v/>
      </c>
      <c r="I93" s="32" t="str">
        <f>IF(C93="","",'سجل الأصول'!L93)</f>
        <v/>
      </c>
      <c r="J93" s="24">
        <f ca="1">IF(OR(C93="",'سجل الأصول'!I93&gt;TODAY(),G93&lt;=0),0,IF(H93="القسط الثابت",F93/(G93*12),IF(H93="القسط المتناقص",D93*(I93/100)/12,IF(H93="وحدات الإنتاج",F93*I93/100/12,0))))</f>
        <v>0</v>
      </c>
      <c r="K93" s="24">
        <f>IF(C93="",0,J93*12)</f>
        <v>0</v>
      </c>
      <c r="L93" s="24">
        <f>IF(OR(C93="",'سجل الأصول'!N93="مهلك"),0,MAX(0,D93-M93))</f>
        <v>0</v>
      </c>
      <c r="M93" s="24" t="str">
        <f>IF(C93="","",'سجل الأصول'!M93)</f>
        <v/>
      </c>
    </row>
    <row r="94" spans="2:13">
      <c r="B94" s="14" t="str">
        <f>IF('سجل الأصول'!B94="","",'سجل الأصول'!B94)</f>
        <v/>
      </c>
      <c r="C94" s="15" t="str">
        <f>IF('سجل الأصول'!C94="","",'سجل الأصول'!C94)</f>
        <v/>
      </c>
      <c r="D94" s="17" t="str">
        <f>IF(C94="","",'سجل الأصول'!E94)</f>
        <v/>
      </c>
      <c r="E94" s="17" t="str">
        <f>IF(C94="","",'سجل الأصول'!F94)</f>
        <v/>
      </c>
      <c r="F94" s="17" t="str">
        <f>IF(C94="","",'سجل الأصول'!G94)</f>
        <v/>
      </c>
      <c r="G94" s="14" t="str">
        <f>IF(C94="","",'سجل الأصول'!J94)</f>
        <v/>
      </c>
      <c r="H94" s="14" t="str">
        <f>IF(C94="","",'سجل الأصول'!K94)</f>
        <v/>
      </c>
      <c r="I94" s="31" t="str">
        <f>IF(C94="","",'سجل الأصول'!L94)</f>
        <v/>
      </c>
      <c r="J94" s="17">
        <f ca="1">IF(OR(C94="",'سجل الأصول'!I94&gt;TODAY(),G94&lt;=0),0,IF(H94="القسط الثابت",F94/(G94*12),IF(H94="القسط المتناقص",D94*(I94/100)/12,IF(H94="وحدات الإنتاج",F94*I94/100/12,0))))</f>
        <v>0</v>
      </c>
      <c r="K94" s="17">
        <f>IF(C94="",0,J94*12)</f>
        <v>0</v>
      </c>
      <c r="L94" s="17">
        <f>IF(OR(C94="",'سجل الأصول'!N94="مهلك"),0,MAX(0,D94-M94))</f>
        <v>0</v>
      </c>
      <c r="M94" s="17" t="str">
        <f>IF(C94="","",'سجل الأصول'!M94)</f>
        <v/>
      </c>
    </row>
    <row r="95" spans="2:13">
      <c r="B95" s="21" t="str">
        <f>IF('سجل الأصول'!B95="","",'سجل الأصول'!B95)</f>
        <v/>
      </c>
      <c r="C95" s="22" t="str">
        <f>IF('سجل الأصول'!C95="","",'سجل الأصول'!C95)</f>
        <v/>
      </c>
      <c r="D95" s="24" t="str">
        <f>IF(C95="","",'سجل الأصول'!E95)</f>
        <v/>
      </c>
      <c r="E95" s="24" t="str">
        <f>IF(C95="","",'سجل الأصول'!F95)</f>
        <v/>
      </c>
      <c r="F95" s="24" t="str">
        <f>IF(C95="","",'سجل الأصول'!G95)</f>
        <v/>
      </c>
      <c r="G95" s="21" t="str">
        <f>IF(C95="","",'سجل الأصول'!J95)</f>
        <v/>
      </c>
      <c r="H95" s="21" t="str">
        <f>IF(C95="","",'سجل الأصول'!K95)</f>
        <v/>
      </c>
      <c r="I95" s="32" t="str">
        <f>IF(C95="","",'سجل الأصول'!L95)</f>
        <v/>
      </c>
      <c r="J95" s="24">
        <f ca="1">IF(OR(C95="",'سجل الأصول'!I95&gt;TODAY(),G95&lt;=0),0,IF(H95="القسط الثابت",F95/(G95*12),IF(H95="القسط المتناقص",D95*(I95/100)/12,IF(H95="وحدات الإنتاج",F95*I95/100/12,0))))</f>
        <v>0</v>
      </c>
      <c r="K95" s="24">
        <f>IF(C95="",0,J95*12)</f>
        <v>0</v>
      </c>
      <c r="L95" s="24">
        <f>IF(OR(C95="",'سجل الأصول'!N95="مهلك"),0,MAX(0,D95-M95))</f>
        <v>0</v>
      </c>
      <c r="M95" s="24" t="str">
        <f>IF(C95="","",'سجل الأصول'!M95)</f>
        <v/>
      </c>
    </row>
    <row r="96" spans="2:13">
      <c r="B96" s="14" t="str">
        <f>IF('سجل الأصول'!B96="","",'سجل الأصول'!B96)</f>
        <v/>
      </c>
      <c r="C96" s="15" t="str">
        <f>IF('سجل الأصول'!C96="","",'سجل الأصول'!C96)</f>
        <v/>
      </c>
      <c r="D96" s="17" t="str">
        <f>IF(C96="","",'سجل الأصول'!E96)</f>
        <v/>
      </c>
      <c r="E96" s="17" t="str">
        <f>IF(C96="","",'سجل الأصول'!F96)</f>
        <v/>
      </c>
      <c r="F96" s="17" t="str">
        <f>IF(C96="","",'سجل الأصول'!G96)</f>
        <v/>
      </c>
      <c r="G96" s="14" t="str">
        <f>IF(C96="","",'سجل الأصول'!J96)</f>
        <v/>
      </c>
      <c r="H96" s="14" t="str">
        <f>IF(C96="","",'سجل الأصول'!K96)</f>
        <v/>
      </c>
      <c r="I96" s="31" t="str">
        <f>IF(C96="","",'سجل الأصول'!L96)</f>
        <v/>
      </c>
      <c r="J96" s="17">
        <f ca="1">IF(OR(C96="",'سجل الأصول'!I96&gt;TODAY(),G96&lt;=0),0,IF(H96="القسط الثابت",F96/(G96*12),IF(H96="القسط المتناقص",D96*(I96/100)/12,IF(H96="وحدات الإنتاج",F96*I96/100/12,0))))</f>
        <v>0</v>
      </c>
      <c r="K96" s="17">
        <f>IF(C96="",0,J96*12)</f>
        <v>0</v>
      </c>
      <c r="L96" s="17">
        <f>IF(OR(C96="",'سجل الأصول'!N96="مهلك"),0,MAX(0,D96-M96))</f>
        <v>0</v>
      </c>
      <c r="M96" s="17" t="str">
        <f>IF(C96="","",'سجل الأصول'!M96)</f>
        <v/>
      </c>
    </row>
    <row r="97" spans="2:13">
      <c r="B97" s="21" t="str">
        <f>IF('سجل الأصول'!B97="","",'سجل الأصول'!B97)</f>
        <v/>
      </c>
      <c r="C97" s="22" t="str">
        <f>IF('سجل الأصول'!C97="","",'سجل الأصول'!C97)</f>
        <v/>
      </c>
      <c r="D97" s="24" t="str">
        <f>IF(C97="","",'سجل الأصول'!E97)</f>
        <v/>
      </c>
      <c r="E97" s="24" t="str">
        <f>IF(C97="","",'سجل الأصول'!F97)</f>
        <v/>
      </c>
      <c r="F97" s="24" t="str">
        <f>IF(C97="","",'سجل الأصول'!G97)</f>
        <v/>
      </c>
      <c r="G97" s="21" t="str">
        <f>IF(C97="","",'سجل الأصول'!J97)</f>
        <v/>
      </c>
      <c r="H97" s="21" t="str">
        <f>IF(C97="","",'سجل الأصول'!K97)</f>
        <v/>
      </c>
      <c r="I97" s="32" t="str">
        <f>IF(C97="","",'سجل الأصول'!L97)</f>
        <v/>
      </c>
      <c r="J97" s="24">
        <f ca="1">IF(OR(C97="",'سجل الأصول'!I97&gt;TODAY(),G97&lt;=0),0,IF(H97="القسط الثابت",F97/(G97*12),IF(H97="القسط المتناقص",D97*(I97/100)/12,IF(H97="وحدات الإنتاج",F97*I97/100/12,0))))</f>
        <v>0</v>
      </c>
      <c r="K97" s="24">
        <f>IF(C97="",0,J97*12)</f>
        <v>0</v>
      </c>
      <c r="L97" s="24">
        <f>IF(OR(C97="",'سجل الأصول'!N97="مهلك"),0,MAX(0,D97-M97))</f>
        <v>0</v>
      </c>
      <c r="M97" s="24" t="str">
        <f>IF(C97="","",'سجل الأصول'!M97)</f>
        <v/>
      </c>
    </row>
    <row r="98" spans="2:13">
      <c r="B98" s="14" t="str">
        <f>IF('سجل الأصول'!B98="","",'سجل الأصول'!B98)</f>
        <v/>
      </c>
      <c r="C98" s="15" t="str">
        <f>IF('سجل الأصول'!C98="","",'سجل الأصول'!C98)</f>
        <v/>
      </c>
      <c r="D98" s="17" t="str">
        <f>IF(C98="","",'سجل الأصول'!E98)</f>
        <v/>
      </c>
      <c r="E98" s="17" t="str">
        <f>IF(C98="","",'سجل الأصول'!F98)</f>
        <v/>
      </c>
      <c r="F98" s="17" t="str">
        <f>IF(C98="","",'سجل الأصول'!G98)</f>
        <v/>
      </c>
      <c r="G98" s="14" t="str">
        <f>IF(C98="","",'سجل الأصول'!J98)</f>
        <v/>
      </c>
      <c r="H98" s="14" t="str">
        <f>IF(C98="","",'سجل الأصول'!K98)</f>
        <v/>
      </c>
      <c r="I98" s="31" t="str">
        <f>IF(C98="","",'سجل الأصول'!L98)</f>
        <v/>
      </c>
      <c r="J98" s="17">
        <f ca="1">IF(OR(C98="",'سجل الأصول'!I98&gt;TODAY(),G98&lt;=0),0,IF(H98="القسط الثابت",F98/(G98*12),IF(H98="القسط المتناقص",D98*(I98/100)/12,IF(H98="وحدات الإنتاج",F98*I98/100/12,0))))</f>
        <v>0</v>
      </c>
      <c r="K98" s="17">
        <f>IF(C98="",0,J98*12)</f>
        <v>0</v>
      </c>
      <c r="L98" s="17">
        <f>IF(OR(C98="",'سجل الأصول'!N98="مهلك"),0,MAX(0,D98-M98))</f>
        <v>0</v>
      </c>
      <c r="M98" s="17" t="str">
        <f>IF(C98="","",'سجل الأصول'!M98)</f>
        <v/>
      </c>
    </row>
    <row r="99" spans="2:13">
      <c r="B99" s="21" t="str">
        <f>IF('سجل الأصول'!B99="","",'سجل الأصول'!B99)</f>
        <v/>
      </c>
      <c r="C99" s="22" t="str">
        <f>IF('سجل الأصول'!C99="","",'سجل الأصول'!C99)</f>
        <v/>
      </c>
      <c r="D99" s="24" t="str">
        <f>IF(C99="","",'سجل الأصول'!E99)</f>
        <v/>
      </c>
      <c r="E99" s="24" t="str">
        <f>IF(C99="","",'سجل الأصول'!F99)</f>
        <v/>
      </c>
      <c r="F99" s="24" t="str">
        <f>IF(C99="","",'سجل الأصول'!G99)</f>
        <v/>
      </c>
      <c r="G99" s="21" t="str">
        <f>IF(C99="","",'سجل الأصول'!J99)</f>
        <v/>
      </c>
      <c r="H99" s="21" t="str">
        <f>IF(C99="","",'سجل الأصول'!K99)</f>
        <v/>
      </c>
      <c r="I99" s="32" t="str">
        <f>IF(C99="","",'سجل الأصول'!L99)</f>
        <v/>
      </c>
      <c r="J99" s="24">
        <f ca="1">IF(OR(C99="",'سجل الأصول'!I99&gt;TODAY(),G99&lt;=0),0,IF(H99="القسط الثابت",F99/(G99*12),IF(H99="القسط المتناقص",D99*(I99/100)/12,IF(H99="وحدات الإنتاج",F99*I99/100/12,0))))</f>
        <v>0</v>
      </c>
      <c r="K99" s="24">
        <f>IF(C99="",0,J99*12)</f>
        <v>0</v>
      </c>
      <c r="L99" s="24">
        <f>IF(OR(C99="",'سجل الأصول'!N99="مهلك"),0,MAX(0,D99-M99))</f>
        <v>0</v>
      </c>
      <c r="M99" s="24" t="str">
        <f>IF(C99="","",'سجل الأصول'!M99)</f>
        <v/>
      </c>
    </row>
    <row r="100" spans="2:13">
      <c r="B100" s="14" t="str">
        <f>IF('سجل الأصول'!B100="","",'سجل الأصول'!B100)</f>
        <v/>
      </c>
      <c r="C100" s="15" t="str">
        <f>IF('سجل الأصول'!C100="","",'سجل الأصول'!C100)</f>
        <v/>
      </c>
      <c r="D100" s="17" t="str">
        <f>IF(C100="","",'سجل الأصول'!E100)</f>
        <v/>
      </c>
      <c r="E100" s="17" t="str">
        <f>IF(C100="","",'سجل الأصول'!F100)</f>
        <v/>
      </c>
      <c r="F100" s="17" t="str">
        <f>IF(C100="","",'سجل الأصول'!G100)</f>
        <v/>
      </c>
      <c r="G100" s="14" t="str">
        <f>IF(C100="","",'سجل الأصول'!J100)</f>
        <v/>
      </c>
      <c r="H100" s="14" t="str">
        <f>IF(C100="","",'سجل الأصول'!K100)</f>
        <v/>
      </c>
      <c r="I100" s="31" t="str">
        <f>IF(C100="","",'سجل الأصول'!L100)</f>
        <v/>
      </c>
      <c r="J100" s="17">
        <f ca="1">IF(OR(C100="",'سجل الأصول'!I100&gt;TODAY(),G100&lt;=0),0,IF(H100="القسط الثابت",F100/(G100*12),IF(H100="القسط المتناقص",D100*(I100/100)/12,IF(H100="وحدات الإنتاج",F100*I100/100/12,0))))</f>
        <v>0</v>
      </c>
      <c r="K100" s="17">
        <f>IF(C100="",0,J100*12)</f>
        <v>0</v>
      </c>
      <c r="L100" s="17">
        <f>IF(OR(C100="",'سجل الأصول'!N100="مهلك"),0,MAX(0,D100-M100))</f>
        <v>0</v>
      </c>
      <c r="M100" s="17" t="str">
        <f>IF(C100="","",'سجل الأصول'!M100)</f>
        <v/>
      </c>
    </row>
    <row r="101" spans="2:13" ht="76.150000000000006" customHeight="1">
      <c r="B101" s="10" t="s">
        <v>57</v>
      </c>
      <c r="C101" s="10"/>
      <c r="D101" s="28">
        <f>SUM(D6:D100)</f>
        <v>431000</v>
      </c>
      <c r="E101" s="28">
        <f>SUM(E6:E100)</f>
        <v>55500</v>
      </c>
      <c r="F101" s="28">
        <f>SUM(F6:F100)</f>
        <v>375500</v>
      </c>
      <c r="G101" s="29">
        <f>SUM(G6:G100)</f>
        <v>91</v>
      </c>
      <c r="H101" s="29"/>
      <c r="I101" s="29">
        <f>SUM(I6:I100)</f>
        <v>178.59</v>
      </c>
      <c r="J101" s="28">
        <f ca="1">SUM(J6:J100)</f>
        <v>4304.7619047619037</v>
      </c>
      <c r="K101" s="28">
        <f ca="1">SUM(K6:K100)</f>
        <v>51657.142857142862</v>
      </c>
      <c r="L101" s="28">
        <f ca="1">SUM(L6:L100)</f>
        <v>120059.72222222222</v>
      </c>
      <c r="M101" s="28">
        <f ca="1">SUM(M6:M100)</f>
        <v>310940.27777777781</v>
      </c>
    </row>
  </sheetData>
  <mergeCells count="3">
    <mergeCell ref="B2:L2"/>
    <mergeCell ref="B3:L3"/>
    <mergeCell ref="B101:C10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G30"/>
  <sheetViews>
    <sheetView topLeftCell="A5" zoomScaleNormal="100" workbookViewId="0">
      <selection activeCell="D53" sqref="D53"/>
    </sheetView>
  </sheetViews>
  <sheetFormatPr defaultColWidth="8.609375" defaultRowHeight="15"/>
  <cols>
    <col min="1" max="1" width="2.95703125" customWidth="1"/>
    <col min="2" max="2" width="22.05859375" customWidth="1"/>
    <col min="3" max="7" width="18.0234375" customWidth="1"/>
    <col min="8" max="8" width="2.95703125" customWidth="1"/>
  </cols>
  <sheetData>
    <row r="2" spans="2:7" ht="30" customHeight="1">
      <c r="B2" s="12" t="s">
        <v>65</v>
      </c>
      <c r="C2" s="12"/>
      <c r="D2" s="12"/>
      <c r="E2" s="12"/>
      <c r="F2" s="12"/>
      <c r="G2" s="12"/>
    </row>
    <row r="3" spans="2:7" ht="15" customHeight="1">
      <c r="B3" s="11" t="s">
        <v>66</v>
      </c>
      <c r="C3" s="11"/>
      <c r="D3" s="11"/>
      <c r="E3" s="11"/>
      <c r="F3" s="11"/>
      <c r="G3" s="11"/>
    </row>
    <row r="4" spans="2:7">
      <c r="B4" s="33" t="s">
        <v>67</v>
      </c>
    </row>
    <row r="5" spans="2:7" ht="24.75" customHeight="1">
      <c r="B5" s="9" t="s">
        <v>68</v>
      </c>
      <c r="C5" s="9"/>
      <c r="D5" s="9"/>
      <c r="E5" s="9"/>
      <c r="F5" s="9"/>
      <c r="G5" s="9"/>
    </row>
    <row r="7" spans="2:7" ht="16.350000000000001" customHeight="1">
      <c r="B7" s="8" t="s">
        <v>69</v>
      </c>
      <c r="C7" s="8"/>
      <c r="D7" s="7" t="s">
        <v>70</v>
      </c>
      <c r="E7" s="7"/>
      <c r="F7" s="6" t="s">
        <v>71</v>
      </c>
      <c r="G7" s="6"/>
    </row>
    <row r="8" spans="2:7" ht="18">
      <c r="B8" s="5">
        <f>SUM('سجل الأصول'!E6:E100)</f>
        <v>431000</v>
      </c>
      <c r="C8" s="5"/>
      <c r="D8" s="4">
        <f ca="1">SUM('جدول الإهلاك'!L6:L100)</f>
        <v>120059.72222222222</v>
      </c>
      <c r="E8" s="4"/>
      <c r="F8" s="3">
        <f ca="1">B8-D8</f>
        <v>310940.27777777775</v>
      </c>
      <c r="G8" s="3"/>
    </row>
    <row r="10" spans="2:7" ht="16.350000000000001" customHeight="1">
      <c r="B10" s="2" t="s">
        <v>72</v>
      </c>
      <c r="C10" s="2"/>
      <c r="D10" s="1" t="s">
        <v>73</v>
      </c>
      <c r="E10" s="1"/>
      <c r="F10" s="61" t="s">
        <v>74</v>
      </c>
      <c r="G10" s="61"/>
    </row>
    <row r="11" spans="2:7" ht="18">
      <c r="B11" s="62">
        <f ca="1">SUM('جدول الإهلاك'!J6:J100)</f>
        <v>4304.7619047619037</v>
      </c>
      <c r="C11" s="62"/>
      <c r="D11" s="63">
        <f ca="1">SUM('جدول الإهلاك'!K6:K100)</f>
        <v>51657.142857142862</v>
      </c>
      <c r="E11" s="63"/>
      <c r="F11" s="64">
        <f>COUNTIF('سجل الأصول'!N6:N100,"نشط")</f>
        <v>12</v>
      </c>
      <c r="G11" s="64"/>
    </row>
    <row r="13" spans="2:7" ht="24.75" customHeight="1">
      <c r="B13" s="9" t="s">
        <v>75</v>
      </c>
      <c r="C13" s="9"/>
      <c r="D13" s="9"/>
      <c r="E13" s="9"/>
      <c r="F13" s="9"/>
      <c r="G13" s="9"/>
    </row>
    <row r="14" spans="2:7" ht="30" customHeight="1">
      <c r="B14" s="13" t="s">
        <v>25</v>
      </c>
      <c r="C14" s="13" t="s">
        <v>76</v>
      </c>
      <c r="D14" s="13" t="s">
        <v>77</v>
      </c>
      <c r="E14" s="13" t="s">
        <v>78</v>
      </c>
      <c r="F14" s="13" t="s">
        <v>79</v>
      </c>
      <c r="G14" s="13" t="s">
        <v>80</v>
      </c>
    </row>
    <row r="15" spans="2:7">
      <c r="B15" s="34" t="s">
        <v>37</v>
      </c>
      <c r="C15" s="21">
        <f>COUNTIF('سجل الأصول'!D6:D100,B15)</f>
        <v>5</v>
      </c>
      <c r="D15" s="24">
        <f>SUMIF('سجل الأصول'!D6:D100,B15,'سجل الأصول'!E6:E100)</f>
        <v>163000</v>
      </c>
      <c r="E15" s="24">
        <f ca="1">SUMIF('سجل الأصول'!D6:D100,B15,'جدول الإهلاك'!L6:L100)</f>
        <v>49714.781746031753</v>
      </c>
      <c r="F15" s="24">
        <f ca="1">D15-E15</f>
        <v>113285.21825396825</v>
      </c>
      <c r="G15" s="35">
        <f ca="1">IFERROR(E15/D15,0)</f>
        <v>0.30499866101859974</v>
      </c>
    </row>
    <row r="16" spans="2:7">
      <c r="B16" s="36" t="s">
        <v>44</v>
      </c>
      <c r="C16" s="14">
        <f>COUNTIF('سجل الأصول'!D6:D100,B16)</f>
        <v>2</v>
      </c>
      <c r="D16" s="17">
        <f>SUMIF('سجل الأصول'!D6:D100,B16,'سجل الأصول'!E6:E100)</f>
        <v>23000</v>
      </c>
      <c r="E16" s="17">
        <f ca="1">SUMIF('سجل الأصول'!D6:D100,B16,'جدول الإهلاك'!L6:L100)</f>
        <v>8899.9999999999982</v>
      </c>
      <c r="F16" s="17">
        <f ca="1">D16-E16</f>
        <v>14100.000000000002</v>
      </c>
      <c r="G16" s="37">
        <f ca="1">IFERROR(E16/D16,0)</f>
        <v>0.38695652173913037</v>
      </c>
    </row>
    <row r="17" spans="2:7">
      <c r="B17" s="34" t="s">
        <v>48</v>
      </c>
      <c r="C17" s="21">
        <f>COUNTIF('سجل الأصول'!D6:D100,B17)</f>
        <v>3</v>
      </c>
      <c r="D17" s="24">
        <f>SUMIF('سجل الأصول'!D6:D100,B17,'سجل الأصول'!E6:E100)</f>
        <v>95000</v>
      </c>
      <c r="E17" s="24">
        <f ca="1">SUMIF('سجل الأصول'!D6:D100,B17,'جدول الإهلاك'!L6:L100)</f>
        <v>23628.273809523809</v>
      </c>
      <c r="F17" s="24">
        <f ca="1">D17-E17</f>
        <v>71371.726190476184</v>
      </c>
      <c r="G17" s="35">
        <f ca="1">IFERROR(E17/D17,0)</f>
        <v>0.24871867167919798</v>
      </c>
    </row>
    <row r="18" spans="2:7">
      <c r="B18" s="36" t="s">
        <v>51</v>
      </c>
      <c r="C18" s="14">
        <f>COUNTIF('سجل الأصول'!D6:D100,B18)</f>
        <v>1</v>
      </c>
      <c r="D18" s="17">
        <f>SUMIF('سجل الأصول'!D6:D100,B18,'سجل الأصول'!E6:E100)</f>
        <v>65000</v>
      </c>
      <c r="E18" s="17">
        <f ca="1">SUMIF('سجل الأصول'!D6:D100,B18,'جدول الإهلاك'!L6:L100)</f>
        <v>9816.6666666666642</v>
      </c>
      <c r="F18" s="17">
        <f ca="1">D18-E18</f>
        <v>55183.333333333336</v>
      </c>
      <c r="G18" s="37">
        <f ca="1">IFERROR(E18/D18,0)</f>
        <v>0.15102564102564098</v>
      </c>
    </row>
    <row r="19" spans="2:7">
      <c r="B19" s="34" t="s">
        <v>53</v>
      </c>
      <c r="C19" s="21">
        <f>COUNTIF('سجل الأصول'!D6:D100,B19)</f>
        <v>1</v>
      </c>
      <c r="D19" s="24">
        <f>SUMIF('سجل الأصول'!D6:D100,B19,'سجل الأصول'!E6:E100)</f>
        <v>85000</v>
      </c>
      <c r="E19" s="24">
        <f ca="1">SUMIF('سجل الأصول'!D6:D100,B19,'جدول الإهلاك'!L6:L100)</f>
        <v>28000</v>
      </c>
      <c r="F19" s="24">
        <f ca="1">D19-E19</f>
        <v>57000</v>
      </c>
      <c r="G19" s="35">
        <f ca="1">IFERROR(E19/D19,0)</f>
        <v>0.32941176470588235</v>
      </c>
    </row>
    <row r="20" spans="2:7">
      <c r="B20" s="27" t="s">
        <v>57</v>
      </c>
      <c r="C20" s="30">
        <f>SUM(C15:C19)</f>
        <v>12</v>
      </c>
      <c r="D20" s="28">
        <f>SUM(D15:D19)</f>
        <v>431000</v>
      </c>
      <c r="E20" s="28">
        <f ca="1">SUM(E15:E19)</f>
        <v>120059.72222222222</v>
      </c>
      <c r="F20" s="28">
        <f ca="1">SUM(F15:F19)</f>
        <v>310940.27777777775</v>
      </c>
      <c r="G20" s="38">
        <f ca="1">SUM(G15:G19)</f>
        <v>1.4211112601684515</v>
      </c>
    </row>
    <row r="22" spans="2:7" ht="24.75" customHeight="1">
      <c r="B22" s="9" t="s">
        <v>81</v>
      </c>
      <c r="C22" s="9"/>
      <c r="D22" s="9"/>
      <c r="E22" s="9"/>
      <c r="F22" s="9"/>
      <c r="G22" s="9"/>
    </row>
    <row r="23" spans="2:7">
      <c r="B23" s="13" t="s">
        <v>23</v>
      </c>
      <c r="C23" s="13" t="s">
        <v>82</v>
      </c>
      <c r="D23" s="13" t="s">
        <v>35</v>
      </c>
      <c r="E23" s="13" t="s">
        <v>83</v>
      </c>
    </row>
    <row r="24" spans="2:7" ht="23.85" customHeight="1">
      <c r="B24" s="21">
        <v>1</v>
      </c>
      <c r="C24" s="39" t="s">
        <v>84</v>
      </c>
      <c r="D24" s="40" t="s">
        <v>85</v>
      </c>
      <c r="E24" s="65" t="s">
        <v>86</v>
      </c>
      <c r="F24" s="65"/>
      <c r="G24" s="65"/>
    </row>
    <row r="25" spans="2:7" ht="23.85" customHeight="1">
      <c r="B25" s="21">
        <v>2</v>
      </c>
      <c r="C25" s="41" t="s">
        <v>87</v>
      </c>
      <c r="D25" s="40" t="s">
        <v>85</v>
      </c>
      <c r="E25" s="65" t="s">
        <v>88</v>
      </c>
      <c r="F25" s="65"/>
      <c r="G25" s="65"/>
    </row>
    <row r="26" spans="2:7" ht="23.85" customHeight="1">
      <c r="B26" s="21">
        <v>3</v>
      </c>
      <c r="C26" s="39" t="s">
        <v>89</v>
      </c>
      <c r="D26" s="40" t="s">
        <v>85</v>
      </c>
      <c r="E26" s="65" t="s">
        <v>90</v>
      </c>
      <c r="F26" s="65"/>
      <c r="G26" s="65"/>
    </row>
    <row r="27" spans="2:7" ht="23.85" customHeight="1">
      <c r="B27" s="21">
        <v>4</v>
      </c>
      <c r="C27" s="41" t="s">
        <v>91</v>
      </c>
      <c r="D27" s="40" t="s">
        <v>85</v>
      </c>
      <c r="E27" s="65" t="s">
        <v>92</v>
      </c>
      <c r="F27" s="65"/>
      <c r="G27" s="65"/>
    </row>
    <row r="28" spans="2:7" ht="23.85" customHeight="1">
      <c r="B28" s="21">
        <v>5</v>
      </c>
      <c r="C28" s="39" t="s">
        <v>93</v>
      </c>
      <c r="D28" s="40" t="s">
        <v>85</v>
      </c>
      <c r="E28" s="65" t="s">
        <v>94</v>
      </c>
      <c r="F28" s="65"/>
      <c r="G28" s="65"/>
    </row>
    <row r="29" spans="2:7" ht="23.85" customHeight="1">
      <c r="B29" s="21">
        <v>6</v>
      </c>
      <c r="C29" s="41" t="s">
        <v>95</v>
      </c>
      <c r="D29" s="40" t="s">
        <v>85</v>
      </c>
      <c r="E29" s="65" t="s">
        <v>96</v>
      </c>
      <c r="F29" s="65"/>
      <c r="G29" s="65"/>
    </row>
    <row r="30" spans="2:7" ht="23.85" customHeight="1">
      <c r="B30" s="21">
        <v>7</v>
      </c>
      <c r="C30" s="39" t="s">
        <v>97</v>
      </c>
      <c r="D30" s="40" t="s">
        <v>85</v>
      </c>
      <c r="E30" s="65" t="s">
        <v>98</v>
      </c>
      <c r="F30" s="65"/>
      <c r="G30" s="65"/>
    </row>
  </sheetData>
  <mergeCells count="24">
    <mergeCell ref="E29:G29"/>
    <mergeCell ref="E30:G30"/>
    <mergeCell ref="E24:G24"/>
    <mergeCell ref="E25:G25"/>
    <mergeCell ref="E26:G26"/>
    <mergeCell ref="E27:G27"/>
    <mergeCell ref="E28:G28"/>
    <mergeCell ref="B11:C11"/>
    <mergeCell ref="D11:E11"/>
    <mergeCell ref="F11:G11"/>
    <mergeCell ref="B13:G13"/>
    <mergeCell ref="B22:G22"/>
    <mergeCell ref="B8:C8"/>
    <mergeCell ref="D8:E8"/>
    <mergeCell ref="F8:G8"/>
    <mergeCell ref="B10:C10"/>
    <mergeCell ref="D10:E10"/>
    <mergeCell ref="F10:G10"/>
    <mergeCell ref="B2:G2"/>
    <mergeCell ref="B3:G3"/>
    <mergeCell ref="B5:G5"/>
    <mergeCell ref="B7:C7"/>
    <mergeCell ref="D7:E7"/>
    <mergeCell ref="F7:G7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I56"/>
  <sheetViews>
    <sheetView zoomScaleNormal="100" workbookViewId="0"/>
  </sheetViews>
  <sheetFormatPr defaultColWidth="8.609375" defaultRowHeight="15"/>
  <cols>
    <col min="1" max="1" width="2.95703125" customWidth="1"/>
    <col min="2" max="2" width="7.93359375" customWidth="1"/>
    <col min="3" max="3" width="18.0234375" customWidth="1"/>
    <col min="4" max="4" width="20.04296875" customWidth="1"/>
    <col min="5" max="6" width="18.0234375" customWidth="1"/>
    <col min="7" max="8" width="25.01953125" customWidth="1"/>
    <col min="9" max="9" width="2.95703125" customWidth="1"/>
  </cols>
  <sheetData>
    <row r="2" spans="2:9" ht="30" customHeight="1">
      <c r="B2" s="12" t="s">
        <v>99</v>
      </c>
      <c r="C2" s="12"/>
      <c r="D2" s="12"/>
      <c r="E2" s="12"/>
      <c r="F2" s="12"/>
      <c r="G2" s="12"/>
      <c r="H2" s="12"/>
    </row>
    <row r="3" spans="2:9" ht="15" customHeight="1">
      <c r="B3" s="66" t="s">
        <v>100</v>
      </c>
      <c r="C3" s="66"/>
      <c r="D3" s="66"/>
      <c r="E3" s="66"/>
      <c r="F3" s="66"/>
      <c r="G3" s="66"/>
      <c r="H3" s="66"/>
    </row>
    <row r="5" spans="2:9" ht="24.75" customHeight="1">
      <c r="B5" s="67" t="s">
        <v>101</v>
      </c>
      <c r="C5" s="67"/>
      <c r="D5" s="67"/>
      <c r="E5" s="67"/>
      <c r="F5" s="67"/>
      <c r="G5" s="67"/>
      <c r="H5" s="67"/>
    </row>
    <row r="7" spans="2:9" ht="30" customHeight="1">
      <c r="B7" s="13" t="s">
        <v>23</v>
      </c>
      <c r="C7" s="13" t="s">
        <v>102</v>
      </c>
      <c r="D7" s="13" t="s">
        <v>24</v>
      </c>
      <c r="E7" s="13" t="s">
        <v>103</v>
      </c>
      <c r="F7" s="13" t="s">
        <v>104</v>
      </c>
      <c r="G7" s="13" t="s">
        <v>105</v>
      </c>
      <c r="H7" s="13" t="s">
        <v>106</v>
      </c>
      <c r="I7" s="13" t="s">
        <v>107</v>
      </c>
    </row>
    <row r="8" spans="2:9" ht="59.25">
      <c r="B8" s="42">
        <v>1</v>
      </c>
      <c r="C8" s="42" t="s">
        <v>108</v>
      </c>
      <c r="D8" s="42" t="s">
        <v>36</v>
      </c>
      <c r="E8" s="20" t="s">
        <v>109</v>
      </c>
      <c r="F8" s="42" t="s">
        <v>110</v>
      </c>
      <c r="G8" s="39" t="s">
        <v>110</v>
      </c>
      <c r="H8" s="42" t="s">
        <v>111</v>
      </c>
      <c r="I8" s="42" t="s">
        <v>112</v>
      </c>
    </row>
    <row r="9" spans="2:9" ht="59.25">
      <c r="B9" s="43">
        <v>2</v>
      </c>
      <c r="C9" s="43" t="s">
        <v>113</v>
      </c>
      <c r="D9" s="43" t="s">
        <v>41</v>
      </c>
      <c r="E9" s="43" t="s">
        <v>114</v>
      </c>
      <c r="F9" s="43" t="s">
        <v>115</v>
      </c>
      <c r="G9" s="41" t="s">
        <v>116</v>
      </c>
      <c r="H9" s="43" t="s">
        <v>113</v>
      </c>
      <c r="I9" s="43" t="s">
        <v>112</v>
      </c>
    </row>
    <row r="10" spans="2:9" ht="70.5">
      <c r="B10" s="42">
        <v>3</v>
      </c>
      <c r="C10" s="42" t="s">
        <v>117</v>
      </c>
      <c r="D10" s="42" t="s">
        <v>118</v>
      </c>
      <c r="E10" s="44" t="s">
        <v>119</v>
      </c>
      <c r="F10" s="42" t="s">
        <v>120</v>
      </c>
      <c r="G10" s="39" t="s">
        <v>38</v>
      </c>
      <c r="H10" s="42" t="s">
        <v>45</v>
      </c>
      <c r="I10" s="42" t="s">
        <v>121</v>
      </c>
    </row>
    <row r="11" spans="2:9" ht="59.25">
      <c r="B11" s="43">
        <v>4</v>
      </c>
      <c r="C11" s="43" t="s">
        <v>122</v>
      </c>
      <c r="D11" s="43" t="s">
        <v>52</v>
      </c>
      <c r="E11" s="43" t="s">
        <v>123</v>
      </c>
      <c r="F11" s="43" t="s">
        <v>124</v>
      </c>
      <c r="G11" s="41" t="s">
        <v>125</v>
      </c>
      <c r="H11" s="43" t="s">
        <v>126</v>
      </c>
      <c r="I11" s="43" t="s">
        <v>112</v>
      </c>
    </row>
    <row r="12" spans="2:9">
      <c r="B12" s="14"/>
      <c r="C12" s="14"/>
      <c r="D12" s="14"/>
      <c r="E12" s="14"/>
      <c r="F12" s="14"/>
      <c r="G12" s="15"/>
      <c r="H12" s="14"/>
    </row>
    <row r="13" spans="2:9">
      <c r="B13" s="21"/>
      <c r="C13" s="21"/>
      <c r="D13" s="21"/>
      <c r="E13" s="21"/>
      <c r="F13" s="21"/>
      <c r="G13" s="22"/>
      <c r="H13" s="21"/>
    </row>
    <row r="14" spans="2:9">
      <c r="B14" s="14"/>
      <c r="C14" s="14"/>
      <c r="D14" s="14"/>
      <c r="E14" s="14"/>
      <c r="F14" s="14"/>
      <c r="G14" s="15"/>
      <c r="H14" s="14"/>
    </row>
    <row r="15" spans="2:9">
      <c r="B15" s="21"/>
      <c r="C15" s="21"/>
      <c r="D15" s="21"/>
      <c r="E15" s="21"/>
      <c r="F15" s="21"/>
      <c r="G15" s="22"/>
      <c r="H15" s="21"/>
    </row>
    <row r="16" spans="2:9">
      <c r="B16" s="14"/>
      <c r="C16" s="14"/>
      <c r="D16" s="14"/>
      <c r="E16" s="14"/>
      <c r="F16" s="14"/>
      <c r="G16" s="15"/>
      <c r="H16" s="14"/>
    </row>
    <row r="17" spans="2:8">
      <c r="B17" s="21"/>
      <c r="C17" s="21"/>
      <c r="D17" s="21"/>
      <c r="E17" s="21"/>
      <c r="F17" s="21"/>
      <c r="G17" s="22"/>
      <c r="H17" s="21"/>
    </row>
    <row r="18" spans="2:8">
      <c r="B18" s="14"/>
      <c r="C18" s="14"/>
      <c r="D18" s="14"/>
      <c r="E18" s="14"/>
      <c r="F18" s="14"/>
      <c r="G18" s="15"/>
      <c r="H18" s="14"/>
    </row>
    <row r="19" spans="2:8">
      <c r="B19" s="21"/>
      <c r="C19" s="21"/>
      <c r="D19" s="21"/>
      <c r="E19" s="21"/>
      <c r="F19" s="21"/>
      <c r="G19" s="22"/>
      <c r="H19" s="21"/>
    </row>
    <row r="20" spans="2:8">
      <c r="B20" s="14"/>
      <c r="C20" s="14"/>
      <c r="D20" s="14"/>
      <c r="E20" s="14"/>
      <c r="F20" s="14"/>
      <c r="G20" s="15"/>
      <c r="H20" s="14"/>
    </row>
    <row r="21" spans="2:8">
      <c r="B21" s="21"/>
      <c r="C21" s="21"/>
      <c r="D21" s="21"/>
      <c r="E21" s="21"/>
      <c r="F21" s="21"/>
      <c r="G21" s="22"/>
      <c r="H21" s="21"/>
    </row>
    <row r="22" spans="2:8">
      <c r="B22" s="14"/>
      <c r="C22" s="14"/>
      <c r="D22" s="14"/>
      <c r="E22" s="14"/>
      <c r="F22" s="14"/>
      <c r="G22" s="15"/>
      <c r="H22" s="14"/>
    </row>
    <row r="23" spans="2:8">
      <c r="B23" s="21"/>
      <c r="C23" s="21"/>
      <c r="D23" s="21"/>
      <c r="E23" s="21"/>
      <c r="F23" s="21"/>
      <c r="G23" s="22"/>
      <c r="H23" s="21"/>
    </row>
    <row r="24" spans="2:8">
      <c r="B24" s="14"/>
      <c r="C24" s="14"/>
      <c r="D24" s="14"/>
      <c r="E24" s="14"/>
      <c r="F24" s="14"/>
      <c r="G24" s="15"/>
      <c r="H24" s="14"/>
    </row>
    <row r="25" spans="2:8">
      <c r="B25" s="21"/>
      <c r="C25" s="21"/>
      <c r="D25" s="21"/>
      <c r="E25" s="21"/>
      <c r="F25" s="21"/>
      <c r="G25" s="22"/>
      <c r="H25" s="21"/>
    </row>
    <row r="26" spans="2:8">
      <c r="B26" s="14"/>
      <c r="C26" s="14"/>
      <c r="D26" s="14"/>
      <c r="E26" s="14"/>
      <c r="F26" s="14"/>
      <c r="G26" s="15"/>
      <c r="H26" s="14"/>
    </row>
    <row r="27" spans="2:8">
      <c r="B27" s="21"/>
      <c r="C27" s="21"/>
      <c r="D27" s="21"/>
      <c r="E27" s="21"/>
      <c r="F27" s="21"/>
      <c r="G27" s="22"/>
      <c r="H27" s="21"/>
    </row>
    <row r="28" spans="2:8">
      <c r="B28" s="14"/>
      <c r="C28" s="14"/>
      <c r="D28" s="14"/>
      <c r="E28" s="14"/>
      <c r="F28" s="14"/>
      <c r="G28" s="15"/>
      <c r="H28" s="14"/>
    </row>
    <row r="29" spans="2:8">
      <c r="B29" s="21"/>
      <c r="C29" s="21"/>
      <c r="D29" s="21"/>
      <c r="E29" s="21"/>
      <c r="F29" s="21"/>
      <c r="G29" s="22"/>
      <c r="H29" s="21"/>
    </row>
    <row r="30" spans="2:8">
      <c r="B30" s="14"/>
      <c r="C30" s="14"/>
      <c r="D30" s="14"/>
      <c r="E30" s="14"/>
      <c r="F30" s="14"/>
      <c r="G30" s="15"/>
      <c r="H30" s="14"/>
    </row>
    <row r="31" spans="2:8">
      <c r="B31" s="21"/>
      <c r="C31" s="21"/>
      <c r="D31" s="21"/>
      <c r="E31" s="21"/>
      <c r="F31" s="21"/>
      <c r="G31" s="22"/>
      <c r="H31" s="21"/>
    </row>
    <row r="32" spans="2:8">
      <c r="B32" s="14"/>
      <c r="C32" s="14"/>
      <c r="D32" s="14"/>
      <c r="E32" s="14"/>
      <c r="F32" s="14"/>
      <c r="G32" s="15"/>
      <c r="H32" s="14"/>
    </row>
    <row r="33" spans="2:8">
      <c r="B33" s="21"/>
      <c r="C33" s="21"/>
      <c r="D33" s="21"/>
      <c r="E33" s="21"/>
      <c r="F33" s="21"/>
      <c r="G33" s="22"/>
      <c r="H33" s="21"/>
    </row>
    <row r="34" spans="2:8">
      <c r="B34" s="14"/>
      <c r="C34" s="14"/>
      <c r="D34" s="14"/>
      <c r="E34" s="14"/>
      <c r="F34" s="14"/>
      <c r="G34" s="15"/>
      <c r="H34" s="14"/>
    </row>
    <row r="35" spans="2:8">
      <c r="B35" s="21"/>
      <c r="C35" s="21"/>
      <c r="D35" s="21"/>
      <c r="E35" s="21"/>
      <c r="F35" s="21"/>
      <c r="G35" s="22"/>
      <c r="H35" s="21"/>
    </row>
    <row r="36" spans="2:8">
      <c r="B36" s="14"/>
      <c r="C36" s="14"/>
      <c r="D36" s="14"/>
      <c r="E36" s="14"/>
      <c r="F36" s="14"/>
      <c r="G36" s="15"/>
      <c r="H36" s="14"/>
    </row>
    <row r="37" spans="2:8">
      <c r="B37" s="21"/>
      <c r="C37" s="21"/>
      <c r="D37" s="21"/>
      <c r="E37" s="21"/>
      <c r="F37" s="21"/>
      <c r="G37" s="22"/>
      <c r="H37" s="21"/>
    </row>
    <row r="38" spans="2:8">
      <c r="B38" s="14"/>
      <c r="C38" s="14"/>
      <c r="D38" s="14"/>
      <c r="E38" s="14"/>
      <c r="F38" s="14"/>
      <c r="G38" s="15"/>
      <c r="H38" s="14"/>
    </row>
    <row r="39" spans="2:8">
      <c r="B39" s="21"/>
      <c r="C39" s="21"/>
      <c r="D39" s="21"/>
      <c r="E39" s="21"/>
      <c r="F39" s="21"/>
      <c r="G39" s="22"/>
      <c r="H39" s="21"/>
    </row>
    <row r="40" spans="2:8">
      <c r="B40" s="14"/>
      <c r="C40" s="14"/>
      <c r="D40" s="14"/>
      <c r="E40" s="14"/>
      <c r="F40" s="14"/>
      <c r="G40" s="15"/>
      <c r="H40" s="14"/>
    </row>
    <row r="41" spans="2:8">
      <c r="B41" s="21"/>
      <c r="C41" s="21"/>
      <c r="D41" s="21"/>
      <c r="E41" s="21"/>
      <c r="F41" s="21"/>
      <c r="G41" s="22"/>
      <c r="H41" s="21"/>
    </row>
    <row r="42" spans="2:8">
      <c r="B42" s="14"/>
      <c r="C42" s="14"/>
      <c r="D42" s="14"/>
      <c r="E42" s="14"/>
      <c r="F42" s="14"/>
      <c r="G42" s="15"/>
      <c r="H42" s="14"/>
    </row>
    <row r="43" spans="2:8">
      <c r="B43" s="21"/>
      <c r="C43" s="21"/>
      <c r="D43" s="21"/>
      <c r="E43" s="21"/>
      <c r="F43" s="21"/>
      <c r="G43" s="22"/>
      <c r="H43" s="21"/>
    </row>
    <row r="44" spans="2:8">
      <c r="B44" s="14"/>
      <c r="C44" s="14"/>
      <c r="D44" s="14"/>
      <c r="E44" s="14"/>
      <c r="F44" s="14"/>
      <c r="G44" s="15"/>
      <c r="H44" s="14"/>
    </row>
    <row r="45" spans="2:8">
      <c r="B45" s="21"/>
      <c r="C45" s="21"/>
      <c r="D45" s="21"/>
      <c r="E45" s="21"/>
      <c r="F45" s="21"/>
      <c r="G45" s="22"/>
      <c r="H45" s="21"/>
    </row>
    <row r="46" spans="2:8">
      <c r="B46" s="14"/>
      <c r="C46" s="14"/>
      <c r="D46" s="14"/>
      <c r="E46" s="14"/>
      <c r="F46" s="14"/>
      <c r="G46" s="15"/>
      <c r="H46" s="14"/>
    </row>
    <row r="47" spans="2:8">
      <c r="B47" s="21"/>
      <c r="C47" s="21"/>
      <c r="D47" s="21"/>
      <c r="E47" s="21"/>
      <c r="F47" s="21"/>
      <c r="G47" s="22"/>
      <c r="H47" s="21"/>
    </row>
    <row r="48" spans="2:8">
      <c r="B48" s="14"/>
      <c r="C48" s="14"/>
      <c r="D48" s="14"/>
      <c r="E48" s="14"/>
      <c r="F48" s="14"/>
      <c r="G48" s="15"/>
      <c r="H48" s="14"/>
    </row>
    <row r="49" spans="2:8">
      <c r="B49" s="21"/>
      <c r="C49" s="21"/>
      <c r="D49" s="21"/>
      <c r="E49" s="21"/>
      <c r="F49" s="21"/>
      <c r="G49" s="22"/>
      <c r="H49" s="21"/>
    </row>
    <row r="50" spans="2:8">
      <c r="B50" s="14"/>
      <c r="C50" s="14"/>
      <c r="D50" s="14"/>
      <c r="E50" s="14"/>
      <c r="F50" s="14"/>
      <c r="G50" s="15"/>
      <c r="H50" s="14"/>
    </row>
    <row r="51" spans="2:8">
      <c r="B51" s="21"/>
      <c r="C51" s="21"/>
      <c r="D51" s="21"/>
      <c r="E51" s="21"/>
      <c r="F51" s="21"/>
      <c r="G51" s="22"/>
      <c r="H51" s="21"/>
    </row>
    <row r="54" spans="2:8" ht="15" customHeight="1">
      <c r="B54" s="9" t="s">
        <v>127</v>
      </c>
      <c r="C54" s="9"/>
      <c r="D54" s="9"/>
      <c r="E54" s="9"/>
      <c r="F54" s="9"/>
      <c r="G54" s="9"/>
      <c r="H54" s="9"/>
    </row>
    <row r="55" spans="2:8" ht="27">
      <c r="B55" s="13" t="s">
        <v>128</v>
      </c>
      <c r="C55" s="13" t="s">
        <v>129</v>
      </c>
      <c r="D55" s="13" t="s">
        <v>130</v>
      </c>
      <c r="E55" s="13" t="s">
        <v>131</v>
      </c>
      <c r="F55" s="13" t="s">
        <v>132</v>
      </c>
    </row>
    <row r="56" spans="2:8">
      <c r="B56" s="45">
        <f>COUNTA(C8:C51)</f>
        <v>4</v>
      </c>
      <c r="C56" s="46">
        <f>COUNTIF(E8:E51,"إضافة أصل جديد")</f>
        <v>1</v>
      </c>
      <c r="D56" s="47">
        <f>COUNTIFS(E8:E51,"&lt;&gt;إضافة أصل جديد",E8:E51,"&lt;&gt;حذف أصل",E8:E51,"&lt;&gt;تصنيف كمهلك")</f>
        <v>43</v>
      </c>
      <c r="E56" s="48">
        <f>COUNTIF(E8:E51,"حذف أصل")+COUNTIF(E8:E51,"تصنيف كمهلك")</f>
        <v>0</v>
      </c>
      <c r="F56" s="49">
        <f>MAX(C8:C51)</f>
        <v>0</v>
      </c>
    </row>
  </sheetData>
  <mergeCells count="4">
    <mergeCell ref="B2:H2"/>
    <mergeCell ref="B3:H3"/>
    <mergeCell ref="B5:H5"/>
    <mergeCell ref="B54:H54"/>
  </mergeCells>
  <dataValidations count="1">
    <dataValidation type="list" allowBlank="1" sqref="E8:E51" xr:uid="{00000000-0002-0000-0400-000000000000}">
      <formula1>"إضافة أصل جديد,تعديل تكلفة,تعديل القيمة المتبقية,تعديل تاريخ الاستخدام,تعديل طريقة الإهلاك,تعديل العمر الإنتاجي,حذف أصل,تصنيف كمهلك,تصحيح خطأ"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H23"/>
  <sheetViews>
    <sheetView zoomScaleNormal="100" workbookViewId="0"/>
  </sheetViews>
  <sheetFormatPr defaultColWidth="8.609375" defaultRowHeight="15"/>
  <cols>
    <col min="1" max="1" width="2.95703125" customWidth="1"/>
    <col min="2" max="8" width="16.0078125" customWidth="1"/>
    <col min="9" max="9" width="2.95703125" customWidth="1"/>
  </cols>
  <sheetData>
    <row r="2" spans="2:8" ht="30" customHeight="1">
      <c r="B2" s="12" t="s">
        <v>133</v>
      </c>
      <c r="C2" s="12"/>
      <c r="D2" s="12"/>
      <c r="E2" s="12"/>
      <c r="F2" s="12"/>
      <c r="G2" s="12"/>
      <c r="H2" s="12"/>
    </row>
    <row r="3" spans="2:8" ht="15" customHeight="1">
      <c r="B3" s="11" t="s">
        <v>134</v>
      </c>
      <c r="C3" s="11"/>
      <c r="D3" s="11"/>
      <c r="E3" s="11"/>
      <c r="F3" s="11"/>
      <c r="G3" s="11"/>
      <c r="H3" s="11"/>
    </row>
    <row r="5" spans="2:8" ht="30" customHeight="1">
      <c r="B5" s="13" t="s">
        <v>135</v>
      </c>
      <c r="C5" s="13" t="s">
        <v>37</v>
      </c>
      <c r="D5" s="13" t="s">
        <v>44</v>
      </c>
      <c r="E5" s="13" t="s">
        <v>48</v>
      </c>
      <c r="F5" s="13" t="s">
        <v>51</v>
      </c>
      <c r="G5" s="13" t="s">
        <v>53</v>
      </c>
      <c r="H5" s="13" t="s">
        <v>57</v>
      </c>
    </row>
    <row r="6" spans="2:8">
      <c r="B6" s="34" t="s">
        <v>136</v>
      </c>
      <c r="C6" s="17">
        <f>SUMPRODUCT(('سجل الأصول'!$D$6:$D$100="معدات المطبخ")*('سجل الأصول'!$N$6:$N$100&lt;&gt;"مهلك")*('سجل الأصول'!$E$6:$E$100-IF('سجل الأصول'!$I$6:$I$100&gt;DATE(2024+INT((ROW()-6)/12),MOD(ROW()-6,12)+2,0),0,IF('سجل الأصول'!$K$6:$K$100="القسط الثابت",'سجل الأصول'!$G$6:$G$100*MIN(MAX(0,(YEAR(DATE(2024+INT((ROW()-6)/12),MOD(ROW()-6,12)+2,0))-YEAR('سجل الأصول'!$I$6:$I$100))*12+MONTH(DATE(2024+INT((ROW()-6)/12),MOD(ROW()-6,12)+2,0))-MONTH('سجل الأصول'!$I$6:$I$100)),'سجل الأصول'!$J$6:$J$100*12)/('سجل الأصول'!$J$6:$J$100*12),IF('سجل الأصول'!$K$6:$K$100="القسط المتناقص",'سجل الأصول'!$E$6:$E$100*(1-(1-'سجل الأصول'!$L$6:$L$100/100)^MIN(MAX(0,YEAR(DATE(2024+INT((ROW()-6)/12),MOD(ROW()-6,12)+2,0))-YEAR('سجل الأصول'!$I$6:$I$100)),'سجل الأصول'!$J$6:$J$100)),IF('سجل الأصول'!$K$6:$K$100="وحدات الإنتاج",'سجل الأصول'!$G$6:$G$100*MIN(100,'سجل الأصول'!$L$6:$L$100*MAX(0,YEAR(DATE(2024+INT((ROW()-6)/12),MOD(ROW()-6,12)+2,0))-YEAR('سجل الأصول'!$I$6:$I$100)))/100,0))))))</f>
        <v>163000</v>
      </c>
      <c r="D6" s="17">
        <f>SUMPRODUCT(('سجل الأصول'!$D$6:$D$100="أنظمة تقنية")*('سجل الأصول'!$N$6:$N$100&lt;&gt;"مهلك")*('سجل الأصول'!$E$6:$E$100-IF('سجل الأصول'!$I$6:$I$100&gt;DATE(2024+INT((ROW()-6)/12),MOD(ROW()-6,12)+2,0),0,IF('سجل الأصول'!$K$6:$K$100="القسط الثابت",'سجل الأصول'!$G$6:$G$100*MIN(MAX(0,(YEAR(DATE(2024+INT((ROW()-6)/12),MOD(ROW()-6,12)+2,0))-YEAR('سجل الأصول'!$I$6:$I$100))*12+MONTH(DATE(2024+INT((ROW()-6)/12),MOD(ROW()-6,12)+2,0))-MONTH('سجل الأصول'!$I$6:$I$100)),'سجل الأصول'!$J$6:$J$100*12)/('سجل الأصول'!$J$6:$J$100*12),IF('سجل الأصول'!$K$6:$K$100="القسط المتناقص",'سجل الأصول'!$E$6:$E$100*(1-(1-'سجل الأصول'!$L$6:$L$100/100)^MIN(MAX(0,YEAR(DATE(2024+INT((ROW()-6)/12),MOD(ROW()-6,12)+2,0))-YEAR('سجل الأصول'!$I$6:$I$100)),'سجل الأصول'!$J$6:$J$100)),IF('سجل الأصول'!$K$6:$K$100="وحدات الإنتاج",'سجل الأصول'!$G$6:$G$100*MIN(100,'سجل الأصول'!$L$6:$L$100*MAX(0,YEAR(DATE(2024+INT((ROW()-6)/12),MOD(ROW()-6,12)+2,0))-YEAR('سجل الأصول'!$I$6:$I$100)))/100,0))))))</f>
        <v>23000</v>
      </c>
      <c r="E6" s="17">
        <f>SUMPRODUCT(('سجل الأصول'!$D$6:$D$100="أثاث وديكور")*('سجل الأصول'!$N$6:$N$100&lt;&gt;"مهلك")*('سجل الأصول'!$E$6:$E$100-IF('سجل الأصول'!$I$6:$I$100&gt;DATE(2024+INT((ROW()-6)/12),MOD(ROW()-6,12)+2,0),0,IF('سجل الأصول'!$K$6:$K$100="القسط الثابت",'سجل الأصول'!$G$6:$G$100*MIN(MAX(0,(YEAR(DATE(2024+INT((ROW()-6)/12),MOD(ROW()-6,12)+2,0))-YEAR('سجل الأصول'!$I$6:$I$100))*12+MONTH(DATE(2024+INT((ROW()-6)/12),MOD(ROW()-6,12)+2,0))-MONTH('سجل الأصول'!$I$6:$I$100)),'سجل الأصول'!$J$6:$J$100*12)/('سجل الأصول'!$J$6:$J$100*12),IF('سجل الأصول'!$K$6:$K$100="القسط المتناقص",'سجل الأصول'!$E$6:$E$100*(1-(1-'سجل الأصول'!$L$6:$L$100/100)^MIN(MAX(0,YEAR(DATE(2024+INT((ROW()-6)/12),MOD(ROW()-6,12)+2,0))-YEAR('سجل الأصول'!$I$6:$I$100)),'سجل الأصول'!$J$6:$J$100)),IF('سجل الأصول'!$K$6:$K$100="وحدات الإنتاج",'سجل الأصول'!$G$6:$G$100*MIN(100,'سجل الأصول'!$L$6:$L$100*MAX(0,YEAR(DATE(2024+INT((ROW()-6)/12),MOD(ROW()-6,12)+2,0))-YEAR('سجل الأصول'!$I$6:$I$100)))/100,0))))))</f>
        <v>95000</v>
      </c>
      <c r="F6" s="17">
        <f>SUMPRODUCT(('سجل الأصول'!$D$6:$D$100="تجهيزات")*('سجل الأصول'!$N$6:$N$100&lt;&gt;"مهلك")*('سجل الأصول'!$E$6:$E$100-IF('سجل الأصول'!$I$6:$I$100&gt;DATE(2024+INT((ROW()-6)/12),MOD(ROW()-6,12)+2,0),0,IF('سجل الأصول'!$K$6:$K$100="القسط الثابت",'سجل الأصول'!$G$6:$G$100*MIN(MAX(0,(YEAR(DATE(2024+INT((ROW()-6)/12),MOD(ROW()-6,12)+2,0))-YEAR('سجل الأصول'!$I$6:$I$100))*12+MONTH(DATE(2024+INT((ROW()-6)/12),MOD(ROW()-6,12)+2,0))-MONTH('سجل الأصول'!$I$6:$I$100)),'سجل الأصول'!$J$6:$J$100*12)/('سجل الأصول'!$J$6:$J$100*12),IF('سجل الأصول'!$K$6:$K$100="القسط المتناقص",'سجل الأصول'!$E$6:$E$100*(1-(1-'سجل الأصول'!$L$6:$L$100/100)^MIN(MAX(0,YEAR(DATE(2024+INT((ROW()-6)/12),MOD(ROW()-6,12)+2,0))-YEAR('سجل الأصول'!$I$6:$I$100)),'سجل الأصول'!$J$6:$J$100)),IF('سجل الأصول'!$K$6:$K$100="وحدات الإنتاج",'سجل الأصول'!$G$6:$G$100*MIN(100,'سجل الأصول'!$L$6:$L$100*MAX(0,YEAR(DATE(2024+INT((ROW()-6)/12),MOD(ROW()-6,12)+2,0))-YEAR('سجل الأصول'!$I$6:$I$100)))/100,0))))))</f>
        <v>65000</v>
      </c>
      <c r="G6" s="17">
        <f>SUMPRODUCT(('سجل الأصول'!$D$6:$D$100="مركبات")*('سجل الأصول'!$N$6:$N$100&lt;&gt;"مهلك")*('سجل الأصول'!$E$6:$E$100-IF('سجل الأصول'!$I$6:$I$100&gt;DATE(2024+INT((ROW()-6)/12),MOD(ROW()-6,12)+2,0),0,IF('سجل الأصول'!$K$6:$K$100="القسط الثابت",'سجل الأصول'!$G$6:$G$100*MIN(MAX(0,(YEAR(DATE(2024+INT((ROW()-6)/12),MOD(ROW()-6,12)+2,0))-YEAR('سجل الأصول'!$I$6:$I$100))*12+MONTH(DATE(2024+INT((ROW()-6)/12),MOD(ROW()-6,12)+2,0))-MONTH('سجل الأصول'!$I$6:$I$100)),'سجل الأصول'!$J$6:$J$100*12)/('سجل الأصول'!$J$6:$J$100*12),IF('سجل الأصول'!$K$6:$K$100="القسط المتناقص",'سجل الأصول'!$E$6:$E$100*(1-(1-'سجل الأصول'!$L$6:$L$100/100)^MIN(MAX(0,YEAR(DATE(2024+INT((ROW()-6)/12),MOD(ROW()-6,12)+2,0))-YEAR('سجل الأصول'!$I$6:$I$100)),'سجل الأصول'!$J$6:$J$100)),IF('سجل الأصول'!$K$6:$K$100="وحدات الإنتاج",'سجل الأصول'!$G$6:$G$100*MIN(100,'سجل الأصول'!$L$6:$L$100*MAX(0,YEAR(DATE(2024+INT((ROW()-6)/12),MOD(ROW()-6,12)+2,0))-YEAR('سجل الأصول'!$I$6:$I$100)))/100,0))))))</f>
        <v>85000</v>
      </c>
      <c r="H6" s="50">
        <f>SUM(C6:G6)</f>
        <v>431000</v>
      </c>
    </row>
    <row r="7" spans="2:8">
      <c r="B7" s="34" t="s">
        <v>137</v>
      </c>
      <c r="C7" s="24">
        <f>SUMPRODUCT(('سجل الأصول'!$D$6:$D$100="معدات المطبخ")*('سجل الأصول'!$N$6:$N$100&lt;&gt;"مهلك")*('سجل الأصول'!$E$6:$E$100-IF('سجل الأصول'!$I$6:$I$100&gt;DATE(2024+INT((ROW()-6)/12),MOD(ROW()-6,12)+2,0),0,IF('سجل الأصول'!$K$6:$K$100="القسط الثابت",'سجل الأصول'!$G$6:$G$100*MIN(MAX(0,(YEAR(DATE(2024+INT((ROW()-6)/12),MOD(ROW()-6,12)+2,0))-YEAR('سجل الأصول'!$I$6:$I$100))*12+MONTH(DATE(2024+INT((ROW()-6)/12),MOD(ROW()-6,12)+2,0))-MONTH('سجل الأصول'!$I$6:$I$100)),'سجل الأصول'!$J$6:$J$100*12)/('سجل الأصول'!$J$6:$J$100*12),IF('سجل الأصول'!$K$6:$K$100="القسط المتناقص",'سجل الأصول'!$E$6:$E$100*(1-(1-'سجل الأصول'!$L$6:$L$100/100)^MIN(MAX(0,YEAR(DATE(2024+INT((ROW()-6)/12),MOD(ROW()-6,12)+2,0))-YEAR('سجل الأصول'!$I$6:$I$100)),'سجل الأصول'!$J$6:$J$100)),IF('سجل الأصول'!$K$6:$K$100="وحدات الإنتاج",'سجل الأصول'!$G$6:$G$100*MIN(100,'سجل الأصول'!$L$6:$L$100*MAX(0,YEAR(DATE(2024+INT((ROW()-6)/12),MOD(ROW()-6,12)+2,0))-YEAR('سجل الأصول'!$I$6:$I$100)))/100,0))))))</f>
        <v>163000</v>
      </c>
      <c r="D7" s="24">
        <f>SUMPRODUCT(('سجل الأصول'!$D$6:$D$100="أنظمة تقنية")*('سجل الأصول'!$N$6:$N$100&lt;&gt;"مهلك")*('سجل الأصول'!$E$6:$E$100-IF('سجل الأصول'!$I$6:$I$100&gt;DATE(2024+INT((ROW()-6)/12),MOD(ROW()-6,12)+2,0),0,IF('سجل الأصول'!$K$6:$K$100="القسط الثابت",'سجل الأصول'!$G$6:$G$100*MIN(MAX(0,(YEAR(DATE(2024+INT((ROW()-6)/12),MOD(ROW()-6,12)+2,0))-YEAR('سجل الأصول'!$I$6:$I$100))*12+MONTH(DATE(2024+INT((ROW()-6)/12),MOD(ROW()-6,12)+2,0))-MONTH('سجل الأصول'!$I$6:$I$100)),'سجل الأصول'!$J$6:$J$100*12)/('سجل الأصول'!$J$6:$J$100*12),IF('سجل الأصول'!$K$6:$K$100="القسط المتناقص",'سجل الأصول'!$E$6:$E$100*(1-(1-'سجل الأصول'!$L$6:$L$100/100)^MIN(MAX(0,YEAR(DATE(2024+INT((ROW()-6)/12),MOD(ROW()-6,12)+2,0))-YEAR('سجل الأصول'!$I$6:$I$100)),'سجل الأصول'!$J$6:$J$100)),IF('سجل الأصول'!$K$6:$K$100="وحدات الإنتاج",'سجل الأصول'!$G$6:$G$100*MIN(100,'سجل الأصول'!$L$6:$L$100*MAX(0,YEAR(DATE(2024+INT((ROW()-6)/12),MOD(ROW()-6,12)+2,0))-YEAR('سجل الأصول'!$I$6:$I$100)))/100,0))))))</f>
        <v>23000</v>
      </c>
      <c r="E7" s="24">
        <f>SUMPRODUCT(('سجل الأصول'!$D$6:$D$100="أثاث وديكور")*('سجل الأصول'!$N$6:$N$100&lt;&gt;"مهلك")*('سجل الأصول'!$E$6:$E$100-IF('سجل الأصول'!$I$6:$I$100&gt;DATE(2024+INT((ROW()-6)/12),MOD(ROW()-6,12)+2,0),0,IF('سجل الأصول'!$K$6:$K$100="القسط الثابت",'سجل الأصول'!$G$6:$G$100*MIN(MAX(0,(YEAR(DATE(2024+INT((ROW()-6)/12),MOD(ROW()-6,12)+2,0))-YEAR('سجل الأصول'!$I$6:$I$100))*12+MONTH(DATE(2024+INT((ROW()-6)/12),MOD(ROW()-6,12)+2,0))-MONTH('سجل الأصول'!$I$6:$I$100)),'سجل الأصول'!$J$6:$J$100*12)/('سجل الأصول'!$J$6:$J$100*12),IF('سجل الأصول'!$K$6:$K$100="القسط المتناقص",'سجل الأصول'!$E$6:$E$100*(1-(1-'سجل الأصول'!$L$6:$L$100/100)^MIN(MAX(0,YEAR(DATE(2024+INT((ROW()-6)/12),MOD(ROW()-6,12)+2,0))-YEAR('سجل الأصول'!$I$6:$I$100)),'سجل الأصول'!$J$6:$J$100)),IF('سجل الأصول'!$K$6:$K$100="وحدات الإنتاج",'سجل الأصول'!$G$6:$G$100*MIN(100,'سجل الأصول'!$L$6:$L$100*MAX(0,YEAR(DATE(2024+INT((ROW()-6)/12),MOD(ROW()-6,12)+2,0))-YEAR('سجل الأصول'!$I$6:$I$100)))/100,0))))))</f>
        <v>95000</v>
      </c>
      <c r="F7" s="24">
        <f>SUMPRODUCT(('سجل الأصول'!$D$6:$D$100="تجهيزات")*('سجل الأصول'!$N$6:$N$100&lt;&gt;"مهلك")*('سجل الأصول'!$E$6:$E$100-IF('سجل الأصول'!$I$6:$I$100&gt;DATE(2024+INT((ROW()-6)/12),MOD(ROW()-6,12)+2,0),0,IF('سجل الأصول'!$K$6:$K$100="القسط الثابت",'سجل الأصول'!$G$6:$G$100*MIN(MAX(0,(YEAR(DATE(2024+INT((ROW()-6)/12),MOD(ROW()-6,12)+2,0))-YEAR('سجل الأصول'!$I$6:$I$100))*12+MONTH(DATE(2024+INT((ROW()-6)/12),MOD(ROW()-6,12)+2,0))-MONTH('سجل الأصول'!$I$6:$I$100)),'سجل الأصول'!$J$6:$J$100*12)/('سجل الأصول'!$J$6:$J$100*12),IF('سجل الأصول'!$K$6:$K$100="القسط المتناقص",'سجل الأصول'!$E$6:$E$100*(1-(1-'سجل الأصول'!$L$6:$L$100/100)^MIN(MAX(0,YEAR(DATE(2024+INT((ROW()-6)/12),MOD(ROW()-6,12)+2,0))-YEAR('سجل الأصول'!$I$6:$I$100)),'سجل الأصول'!$J$6:$J$100)),IF('سجل الأصول'!$K$6:$K$100="وحدات الإنتاج",'سجل الأصول'!$G$6:$G$100*MIN(100,'سجل الأصول'!$L$6:$L$100*MAX(0,YEAR(DATE(2024+INT((ROW()-6)/12),MOD(ROW()-6,12)+2,0))-YEAR('سجل الأصول'!$I$6:$I$100)))/100,0))))))</f>
        <v>65000</v>
      </c>
      <c r="G7" s="24">
        <f>SUMPRODUCT(('سجل الأصول'!$D$6:$D$100="مركبات")*('سجل الأصول'!$N$6:$N$100&lt;&gt;"مهلك")*('سجل الأصول'!$E$6:$E$100-IF('سجل الأصول'!$I$6:$I$100&gt;DATE(2024+INT((ROW()-6)/12),MOD(ROW()-6,12)+2,0),0,IF('سجل الأصول'!$K$6:$K$100="القسط الثابت",'سجل الأصول'!$G$6:$G$100*MIN(MAX(0,(YEAR(DATE(2024+INT((ROW()-6)/12),MOD(ROW()-6,12)+2,0))-YEAR('سجل الأصول'!$I$6:$I$100))*12+MONTH(DATE(2024+INT((ROW()-6)/12),MOD(ROW()-6,12)+2,0))-MONTH('سجل الأصول'!$I$6:$I$100)),'سجل الأصول'!$J$6:$J$100*12)/('سجل الأصول'!$J$6:$J$100*12),IF('سجل الأصول'!$K$6:$K$100="القسط المتناقص",'سجل الأصول'!$E$6:$E$100*(1-(1-'سجل الأصول'!$L$6:$L$100/100)^MIN(MAX(0,YEAR(DATE(2024+INT((ROW()-6)/12),MOD(ROW()-6,12)+2,0))-YEAR('سجل الأصول'!$I$6:$I$100)),'سجل الأصول'!$J$6:$J$100)),IF('سجل الأصول'!$K$6:$K$100="وحدات الإنتاج",'سجل الأصول'!$G$6:$G$100*MIN(100,'سجل الأصول'!$L$6:$L$100*MAX(0,YEAR(DATE(2024+INT((ROW()-6)/12),MOD(ROW()-6,12)+2,0))-YEAR('سجل الأصول'!$I$6:$I$100)))/100,0))))))</f>
        <v>85000</v>
      </c>
      <c r="H7" s="50">
        <f>SUM(C7:G7)</f>
        <v>431000</v>
      </c>
    </row>
    <row r="8" spans="2:8">
      <c r="B8" s="34" t="s">
        <v>138</v>
      </c>
      <c r="C8" s="17">
        <f>SUMPRODUCT(('سجل الأصول'!$D$6:$D$100="معدات المطبخ")*('سجل الأصول'!$N$6:$N$100&lt;&gt;"مهلك")*('سجل الأصول'!$E$6:$E$100-IF('سجل الأصول'!$I$6:$I$100&gt;DATE(2024+INT((ROW()-6)/12),MOD(ROW()-6,12)+2,0),0,IF('سجل الأصول'!$K$6:$K$100="القسط الثابت",'سجل الأصول'!$G$6:$G$100*MIN(MAX(0,(YEAR(DATE(2024+INT((ROW()-6)/12),MOD(ROW()-6,12)+2,0))-YEAR('سجل الأصول'!$I$6:$I$100))*12+MONTH(DATE(2024+INT((ROW()-6)/12),MOD(ROW()-6,12)+2,0))-MONTH('سجل الأصول'!$I$6:$I$100)),'سجل الأصول'!$J$6:$J$100*12)/('سجل الأصول'!$J$6:$J$100*12),IF('سجل الأصول'!$K$6:$K$100="القسط المتناقص",'سجل الأصول'!$E$6:$E$100*(1-(1-'سجل الأصول'!$L$6:$L$100/100)^MIN(MAX(0,YEAR(DATE(2024+INT((ROW()-6)/12),MOD(ROW()-6,12)+2,0))-YEAR('سجل الأصول'!$I$6:$I$100)),'سجل الأصول'!$J$6:$J$100)),IF('سجل الأصول'!$K$6:$K$100="وحدات الإنتاج",'سجل الأصول'!$G$6:$G$100*MIN(100,'سجل الأصول'!$L$6:$L$100*MAX(0,YEAR(DATE(2024+INT((ROW()-6)/12),MOD(ROW()-6,12)+2,0))-YEAR('سجل الأصول'!$I$6:$I$100)))/100,0))))))</f>
        <v>163000</v>
      </c>
      <c r="D8" s="17">
        <f>SUMPRODUCT(('سجل الأصول'!$D$6:$D$100="أنظمة تقنية")*('سجل الأصول'!$N$6:$N$100&lt;&gt;"مهلك")*('سجل الأصول'!$E$6:$E$100-IF('سجل الأصول'!$I$6:$I$100&gt;DATE(2024+INT((ROW()-6)/12),MOD(ROW()-6,12)+2,0),0,IF('سجل الأصول'!$K$6:$K$100="القسط الثابت",'سجل الأصول'!$G$6:$G$100*MIN(MAX(0,(YEAR(DATE(2024+INT((ROW()-6)/12),MOD(ROW()-6,12)+2,0))-YEAR('سجل الأصول'!$I$6:$I$100))*12+MONTH(DATE(2024+INT((ROW()-6)/12),MOD(ROW()-6,12)+2,0))-MONTH('سجل الأصول'!$I$6:$I$100)),'سجل الأصول'!$J$6:$J$100*12)/('سجل الأصول'!$J$6:$J$100*12),IF('سجل الأصول'!$K$6:$K$100="القسط المتناقص",'سجل الأصول'!$E$6:$E$100*(1-(1-'سجل الأصول'!$L$6:$L$100/100)^MIN(MAX(0,YEAR(DATE(2024+INT((ROW()-6)/12),MOD(ROW()-6,12)+2,0))-YEAR('سجل الأصول'!$I$6:$I$100)),'سجل الأصول'!$J$6:$J$100)),IF('سجل الأصول'!$K$6:$K$100="وحدات الإنتاج",'سجل الأصول'!$G$6:$G$100*MIN(100,'سجل الأصول'!$L$6:$L$100*MAX(0,YEAR(DATE(2024+INT((ROW()-6)/12),MOD(ROW()-6,12)+2,0))-YEAR('سجل الأصول'!$I$6:$I$100)))/100,0))))))</f>
        <v>23000</v>
      </c>
      <c r="E8" s="17">
        <f>SUMPRODUCT(('سجل الأصول'!$D$6:$D$100="أثاث وديكور")*('سجل الأصول'!$N$6:$N$100&lt;&gt;"مهلك")*('سجل الأصول'!$E$6:$E$100-IF('سجل الأصول'!$I$6:$I$100&gt;DATE(2024+INT((ROW()-6)/12),MOD(ROW()-6,12)+2,0),0,IF('سجل الأصول'!$K$6:$K$100="القسط الثابت",'سجل الأصول'!$G$6:$G$100*MIN(MAX(0,(YEAR(DATE(2024+INT((ROW()-6)/12),MOD(ROW()-6,12)+2,0))-YEAR('سجل الأصول'!$I$6:$I$100))*12+MONTH(DATE(2024+INT((ROW()-6)/12),MOD(ROW()-6,12)+2,0))-MONTH('سجل الأصول'!$I$6:$I$100)),'سجل الأصول'!$J$6:$J$100*12)/('سجل الأصول'!$J$6:$J$100*12),IF('سجل الأصول'!$K$6:$K$100="القسط المتناقص",'سجل الأصول'!$E$6:$E$100*(1-(1-'سجل الأصول'!$L$6:$L$100/100)^MIN(MAX(0,YEAR(DATE(2024+INT((ROW()-6)/12),MOD(ROW()-6,12)+2,0))-YEAR('سجل الأصول'!$I$6:$I$100)),'سجل الأصول'!$J$6:$J$100)),IF('سجل الأصول'!$K$6:$K$100="وحدات الإنتاج",'سجل الأصول'!$G$6:$G$100*MIN(100,'سجل الأصول'!$L$6:$L$100*MAX(0,YEAR(DATE(2024+INT((ROW()-6)/12),MOD(ROW()-6,12)+2,0))-YEAR('سجل الأصول'!$I$6:$I$100)))/100,0))))))</f>
        <v>95000</v>
      </c>
      <c r="F8" s="17">
        <f>SUMPRODUCT(('سجل الأصول'!$D$6:$D$100="تجهيزات")*('سجل الأصول'!$N$6:$N$100&lt;&gt;"مهلك")*('سجل الأصول'!$E$6:$E$100-IF('سجل الأصول'!$I$6:$I$100&gt;DATE(2024+INT((ROW()-6)/12),MOD(ROW()-6,12)+2,0),0,IF('سجل الأصول'!$K$6:$K$100="القسط الثابت",'سجل الأصول'!$G$6:$G$100*MIN(MAX(0,(YEAR(DATE(2024+INT((ROW()-6)/12),MOD(ROW()-6,12)+2,0))-YEAR('سجل الأصول'!$I$6:$I$100))*12+MONTH(DATE(2024+INT((ROW()-6)/12),MOD(ROW()-6,12)+2,0))-MONTH('سجل الأصول'!$I$6:$I$100)),'سجل الأصول'!$J$6:$J$100*12)/('سجل الأصول'!$J$6:$J$100*12),IF('سجل الأصول'!$K$6:$K$100="القسط المتناقص",'سجل الأصول'!$E$6:$E$100*(1-(1-'سجل الأصول'!$L$6:$L$100/100)^MIN(MAX(0,YEAR(DATE(2024+INT((ROW()-6)/12),MOD(ROW()-6,12)+2,0))-YEAR('سجل الأصول'!$I$6:$I$100)),'سجل الأصول'!$J$6:$J$100)),IF('سجل الأصول'!$K$6:$K$100="وحدات الإنتاج",'سجل الأصول'!$G$6:$G$100*MIN(100,'سجل الأصول'!$L$6:$L$100*MAX(0,YEAR(DATE(2024+INT((ROW()-6)/12),MOD(ROW()-6,12)+2,0))-YEAR('سجل الأصول'!$I$6:$I$100)))/100,0))))))</f>
        <v>65000</v>
      </c>
      <c r="G8" s="17">
        <f>SUMPRODUCT(('سجل الأصول'!$D$6:$D$100="مركبات")*('سجل الأصول'!$N$6:$N$100&lt;&gt;"مهلك")*('سجل الأصول'!$E$6:$E$100-IF('سجل الأصول'!$I$6:$I$100&gt;DATE(2024+INT((ROW()-6)/12),MOD(ROW()-6,12)+2,0),0,IF('سجل الأصول'!$K$6:$K$100="القسط الثابت",'سجل الأصول'!$G$6:$G$100*MIN(MAX(0,(YEAR(DATE(2024+INT((ROW()-6)/12),MOD(ROW()-6,12)+2,0))-YEAR('سجل الأصول'!$I$6:$I$100))*12+MONTH(DATE(2024+INT((ROW()-6)/12),MOD(ROW()-6,12)+2,0))-MONTH('سجل الأصول'!$I$6:$I$100)),'سجل الأصول'!$J$6:$J$100*12)/('سجل الأصول'!$J$6:$J$100*12),IF('سجل الأصول'!$K$6:$K$100="القسط المتناقص",'سجل الأصول'!$E$6:$E$100*(1-(1-'سجل الأصول'!$L$6:$L$100/100)^MIN(MAX(0,YEAR(DATE(2024+INT((ROW()-6)/12),MOD(ROW()-6,12)+2,0))-YEAR('سجل الأصول'!$I$6:$I$100)),'سجل الأصول'!$J$6:$J$100)),IF('سجل الأصول'!$K$6:$K$100="وحدات الإنتاج",'سجل الأصول'!$G$6:$G$100*MIN(100,'سجل الأصول'!$L$6:$L$100*MAX(0,YEAR(DATE(2024+INT((ROW()-6)/12),MOD(ROW()-6,12)+2,0))-YEAR('سجل الأصول'!$I$6:$I$100)))/100,0))))))</f>
        <v>85000</v>
      </c>
      <c r="H8" s="50">
        <f>SUM(C8:G8)</f>
        <v>431000</v>
      </c>
    </row>
    <row r="9" spans="2:8">
      <c r="B9" s="34" t="s">
        <v>139</v>
      </c>
      <c r="C9" s="24">
        <f>SUMPRODUCT(('سجل الأصول'!$D$6:$D$100="معدات المطبخ")*('سجل الأصول'!$N$6:$N$100&lt;&gt;"مهلك")*('سجل الأصول'!$E$6:$E$100-IF('سجل الأصول'!$I$6:$I$100&gt;DATE(2024+INT((ROW()-6)/12),MOD(ROW()-6,12)+2,0),0,IF('سجل الأصول'!$K$6:$K$100="القسط الثابت",'سجل الأصول'!$G$6:$G$100*MIN(MAX(0,(YEAR(DATE(2024+INT((ROW()-6)/12),MOD(ROW()-6,12)+2,0))-YEAR('سجل الأصول'!$I$6:$I$100))*12+MONTH(DATE(2024+INT((ROW()-6)/12),MOD(ROW()-6,12)+2,0))-MONTH('سجل الأصول'!$I$6:$I$100)),'سجل الأصول'!$J$6:$J$100*12)/('سجل الأصول'!$J$6:$J$100*12),IF('سجل الأصول'!$K$6:$K$100="القسط المتناقص",'سجل الأصول'!$E$6:$E$100*(1-(1-'سجل الأصول'!$L$6:$L$100/100)^MIN(MAX(0,YEAR(DATE(2024+INT((ROW()-6)/12),MOD(ROW()-6,12)+2,0))-YEAR('سجل الأصول'!$I$6:$I$100)),'سجل الأصول'!$J$6:$J$100)),IF('سجل الأصول'!$K$6:$K$100="وحدات الإنتاج",'سجل الأصول'!$G$6:$G$100*MIN(100,'سجل الأصول'!$L$6:$L$100*MAX(0,YEAR(DATE(2024+INT((ROW()-6)/12),MOD(ROW()-6,12)+2,0))-YEAR('سجل الأصول'!$I$6:$I$100)))/100,0))))))</f>
        <v>161833.33333333331</v>
      </c>
      <c r="D9" s="24">
        <f>SUMPRODUCT(('سجل الأصول'!$D$6:$D$100="أنظمة تقنية")*('سجل الأصول'!$N$6:$N$100&lt;&gt;"مهلك")*('سجل الأصول'!$E$6:$E$100-IF('سجل الأصول'!$I$6:$I$100&gt;DATE(2024+INT((ROW()-6)/12),MOD(ROW()-6,12)+2,0),0,IF('سجل الأصول'!$K$6:$K$100="القسط الثابت",'سجل الأصول'!$G$6:$G$100*MIN(MAX(0,(YEAR(DATE(2024+INT((ROW()-6)/12),MOD(ROW()-6,12)+2,0))-YEAR('سجل الأصول'!$I$6:$I$100))*12+MONTH(DATE(2024+INT((ROW()-6)/12),MOD(ROW()-6,12)+2,0))-MONTH('سجل الأصول'!$I$6:$I$100)),'سجل الأصول'!$J$6:$J$100*12)/('سجل الأصول'!$J$6:$J$100*12),IF('سجل الأصول'!$K$6:$K$100="القسط المتناقص",'سجل الأصول'!$E$6:$E$100*(1-(1-'سجل الأصول'!$L$6:$L$100/100)^MIN(MAX(0,YEAR(DATE(2024+INT((ROW()-6)/12),MOD(ROW()-6,12)+2,0))-YEAR('سجل الأصول'!$I$6:$I$100)),'سجل الأصول'!$J$6:$J$100)),IF('سجل الأصول'!$K$6:$K$100="وحدات الإنتاج",'سجل الأصول'!$G$6:$G$100*MIN(100,'سجل الأصول'!$L$6:$L$100*MAX(0,YEAR(DATE(2024+INT((ROW()-6)/12),MOD(ROW()-6,12)+2,0))-YEAR('سجل الأصول'!$I$6:$I$100)))/100,0))))))</f>
        <v>22533.333333333332</v>
      </c>
      <c r="E9" s="24">
        <f>SUMPRODUCT(('سجل الأصول'!$D$6:$D$100="أثاث وديكور")*('سجل الأصول'!$N$6:$N$100&lt;&gt;"مهلك")*('سجل الأصول'!$E$6:$E$100-IF('سجل الأصول'!$I$6:$I$100&gt;DATE(2024+INT((ROW()-6)/12),MOD(ROW()-6,12)+2,0),0,IF('سجل الأصول'!$K$6:$K$100="القسط الثابت",'سجل الأصول'!$G$6:$G$100*MIN(MAX(0,(YEAR(DATE(2024+INT((ROW()-6)/12),MOD(ROW()-6,12)+2,0))-YEAR('سجل الأصول'!$I$6:$I$100))*12+MONTH(DATE(2024+INT((ROW()-6)/12),MOD(ROW()-6,12)+2,0))-MONTH('سجل الأصول'!$I$6:$I$100)),'سجل الأصول'!$J$6:$J$100*12)/('سجل الأصول'!$J$6:$J$100*12),IF('سجل الأصول'!$K$6:$K$100="القسط المتناقص",'سجل الأصول'!$E$6:$E$100*(1-(1-'سجل الأصول'!$L$6:$L$100/100)^MIN(MAX(0,YEAR(DATE(2024+INT((ROW()-6)/12),MOD(ROW()-6,12)+2,0))-YEAR('سجل الأصول'!$I$6:$I$100)),'سجل الأصول'!$J$6:$J$100)),IF('سجل الأصول'!$K$6:$K$100="وحدات الإنتاج",'سجل الأصول'!$G$6:$G$100*MIN(100,'سجل الأصول'!$L$6:$L$100*MAX(0,YEAR(DATE(2024+INT((ROW()-6)/12),MOD(ROW()-6,12)+2,0))-YEAR('سجل الأصول'!$I$6:$I$100)))/100,0))))))</f>
        <v>94300</v>
      </c>
      <c r="F9" s="24">
        <f>SUMPRODUCT(('سجل الأصول'!$D$6:$D$100="تجهيزات")*('سجل الأصول'!$N$6:$N$100&lt;&gt;"مهلك")*('سجل الأصول'!$E$6:$E$100-IF('سجل الأصول'!$I$6:$I$100&gt;DATE(2024+INT((ROW()-6)/12),MOD(ROW()-6,12)+2,0),0,IF('سجل الأصول'!$K$6:$K$100="القسط الثابت",'سجل الأصول'!$G$6:$G$100*MIN(MAX(0,(YEAR(DATE(2024+INT((ROW()-6)/12),MOD(ROW()-6,12)+2,0))-YEAR('سجل الأصول'!$I$6:$I$100))*12+MONTH(DATE(2024+INT((ROW()-6)/12),MOD(ROW()-6,12)+2,0))-MONTH('سجل الأصول'!$I$6:$I$100)),'سجل الأصول'!$J$6:$J$100*12)/('سجل الأصول'!$J$6:$J$100*12),IF('سجل الأصول'!$K$6:$K$100="القسط المتناقص",'سجل الأصول'!$E$6:$E$100*(1-(1-'سجل الأصول'!$L$6:$L$100/100)^MIN(MAX(0,YEAR(DATE(2024+INT((ROW()-6)/12),MOD(ROW()-6,12)+2,0))-YEAR('سجل الأصول'!$I$6:$I$100)),'سجل الأصول'!$J$6:$J$100)),IF('سجل الأصول'!$K$6:$K$100="وحدات الإنتاج",'سجل الأصول'!$G$6:$G$100*MIN(100,'سجل الأصول'!$L$6:$L$100*MAX(0,YEAR(DATE(2024+INT((ROW()-6)/12),MOD(ROW()-6,12)+2,0))-YEAR('سجل الأصول'!$I$6:$I$100)))/100,0))))))</f>
        <v>64766.666666666664</v>
      </c>
      <c r="G9" s="24">
        <f>SUMPRODUCT(('سجل الأصول'!$D$6:$D$100="مركبات")*('سجل الأصول'!$N$6:$N$100&lt;&gt;"مهلك")*('سجل الأصول'!$E$6:$E$100-IF('سجل الأصول'!$I$6:$I$100&gt;DATE(2024+INT((ROW()-6)/12),MOD(ROW()-6,12)+2,0),0,IF('سجل الأصول'!$K$6:$K$100="القسط الثابت",'سجل الأصول'!$G$6:$G$100*MIN(MAX(0,(YEAR(DATE(2024+INT((ROW()-6)/12),MOD(ROW()-6,12)+2,0))-YEAR('سجل الأصول'!$I$6:$I$100))*12+MONTH(DATE(2024+INT((ROW()-6)/12),MOD(ROW()-6,12)+2,0))-MONTH('سجل الأصول'!$I$6:$I$100)),'سجل الأصول'!$J$6:$J$100*12)/('سجل الأصول'!$J$6:$J$100*12),IF('سجل الأصول'!$K$6:$K$100="القسط المتناقص",'سجل الأصول'!$E$6:$E$100*(1-(1-'سجل الأصول'!$L$6:$L$100/100)^MIN(MAX(0,YEAR(DATE(2024+INT((ROW()-6)/12),MOD(ROW()-6,12)+2,0))-YEAR('سجل الأصول'!$I$6:$I$100)),'سجل الأصول'!$J$6:$J$100)),IF('سجل الأصول'!$K$6:$K$100="وحدات الإنتاج",'سجل الأصول'!$G$6:$G$100*MIN(100,'سجل الأصول'!$L$6:$L$100*MAX(0,YEAR(DATE(2024+INT((ROW()-6)/12),MOD(ROW()-6,12)+2,0))-YEAR('سجل الأصول'!$I$6:$I$100)))/100,0))))))</f>
        <v>84766.666666666672</v>
      </c>
      <c r="H9" s="50">
        <f>SUM(C9:G9)</f>
        <v>428200</v>
      </c>
    </row>
    <row r="10" spans="2:8">
      <c r="B10" s="34" t="s">
        <v>140</v>
      </c>
      <c r="C10" s="17">
        <f>SUMPRODUCT(('سجل الأصول'!$D$6:$D$100="معدات المطبخ")*('سجل الأصول'!$N$6:$N$100&lt;&gt;"مهلك")*('سجل الأصول'!$E$6:$E$100-IF('سجل الأصول'!$I$6:$I$100&gt;DATE(2024+INT((ROW()-6)/12),MOD(ROW()-6,12)+2,0),0,IF('سجل الأصول'!$K$6:$K$100="القسط الثابت",'سجل الأصول'!$G$6:$G$100*MIN(MAX(0,(YEAR(DATE(2024+INT((ROW()-6)/12),MOD(ROW()-6,12)+2,0))-YEAR('سجل الأصول'!$I$6:$I$100))*12+MONTH(DATE(2024+INT((ROW()-6)/12),MOD(ROW()-6,12)+2,0))-MONTH('سجل الأصول'!$I$6:$I$100)),'سجل الأصول'!$J$6:$J$100*12)/('سجل الأصول'!$J$6:$J$100*12),IF('سجل الأصول'!$K$6:$K$100="القسط المتناقص",'سجل الأصول'!$E$6:$E$100*(1-(1-'سجل الأصول'!$L$6:$L$100/100)^MIN(MAX(0,YEAR(DATE(2024+INT((ROW()-6)/12),MOD(ROW()-6,12)+2,0))-YEAR('سجل الأصول'!$I$6:$I$100)),'سجل الأصول'!$J$6:$J$100)),IF('سجل الأصول'!$K$6:$K$100="وحدات الإنتاج",'سجل الأصول'!$G$6:$G$100*MIN(100,'سجل الأصول'!$L$6:$L$100*MAX(0,YEAR(DATE(2024+INT((ROW()-6)/12),MOD(ROW()-6,12)+2,0))-YEAR('سجل الأصول'!$I$6:$I$100)))/100,0))))))</f>
        <v>163000</v>
      </c>
      <c r="D10" s="17">
        <f>SUMPRODUCT(('سجل الأصول'!$D$6:$D$100="أنظمة تقنية")*('سجل الأصول'!$N$6:$N$100&lt;&gt;"مهلك")*('سجل الأصول'!$E$6:$E$100-IF('سجل الأصول'!$I$6:$I$100&gt;DATE(2024+INT((ROW()-6)/12),MOD(ROW()-6,12)+2,0),0,IF('سجل الأصول'!$K$6:$K$100="القسط الثابت",'سجل الأصول'!$G$6:$G$100*MIN(MAX(0,(YEAR(DATE(2024+INT((ROW()-6)/12),MOD(ROW()-6,12)+2,0))-YEAR('سجل الأصول'!$I$6:$I$100))*12+MONTH(DATE(2024+INT((ROW()-6)/12),MOD(ROW()-6,12)+2,0))-MONTH('سجل الأصول'!$I$6:$I$100)),'سجل الأصول'!$J$6:$J$100*12)/('سجل الأصول'!$J$6:$J$100*12),IF('سجل الأصول'!$K$6:$K$100="القسط المتناقص",'سجل الأصول'!$E$6:$E$100*(1-(1-'سجل الأصول'!$L$6:$L$100/100)^MIN(MAX(0,YEAR(DATE(2024+INT((ROW()-6)/12),MOD(ROW()-6,12)+2,0))-YEAR('سجل الأصول'!$I$6:$I$100)),'سجل الأصول'!$J$6:$J$100)),IF('سجل الأصول'!$K$6:$K$100="وحدات الإنتاج",'سجل الأصول'!$G$6:$G$100*MIN(100,'سجل الأصول'!$L$6:$L$100*MAX(0,YEAR(DATE(2024+INT((ROW()-6)/12),MOD(ROW()-6,12)+2,0))-YEAR('سجل الأصول'!$I$6:$I$100)))/100,0))))))</f>
        <v>23000</v>
      </c>
      <c r="E10" s="17">
        <f>SUMPRODUCT(('سجل الأصول'!$D$6:$D$100="أثاث وديكور")*('سجل الأصول'!$N$6:$N$100&lt;&gt;"مهلك")*('سجل الأصول'!$E$6:$E$100-IF('سجل الأصول'!$I$6:$I$100&gt;DATE(2024+INT((ROW()-6)/12),MOD(ROW()-6,12)+2,0),0,IF('سجل الأصول'!$K$6:$K$100="القسط الثابت",'سجل الأصول'!$G$6:$G$100*MIN(MAX(0,(YEAR(DATE(2024+INT((ROW()-6)/12),MOD(ROW()-6,12)+2,0))-YEAR('سجل الأصول'!$I$6:$I$100))*12+MONTH(DATE(2024+INT((ROW()-6)/12),MOD(ROW()-6,12)+2,0))-MONTH('سجل الأصول'!$I$6:$I$100)),'سجل الأصول'!$J$6:$J$100*12)/('سجل الأصول'!$J$6:$J$100*12),IF('سجل الأصول'!$K$6:$K$100="القسط المتناقص",'سجل الأصول'!$E$6:$E$100*(1-(1-'سجل الأصول'!$L$6:$L$100/100)^MIN(MAX(0,YEAR(DATE(2024+INT((ROW()-6)/12),MOD(ROW()-6,12)+2,0))-YEAR('سجل الأصول'!$I$6:$I$100)),'سجل الأصول'!$J$6:$J$100)),IF('سجل الأصول'!$K$6:$K$100="وحدات الإنتاج",'سجل الأصول'!$G$6:$G$100*MIN(100,'سجل الأصول'!$L$6:$L$100*MAX(0,YEAR(DATE(2024+INT((ROW()-6)/12),MOD(ROW()-6,12)+2,0))-YEAR('سجل الأصول'!$I$6:$I$100)))/100,0))))))</f>
        <v>95000</v>
      </c>
      <c r="F10" s="17">
        <f>SUMPRODUCT(('سجل الأصول'!$D$6:$D$100="تجهيزات")*('سجل الأصول'!$N$6:$N$100&lt;&gt;"مهلك")*('سجل الأصول'!$E$6:$E$100-IF('سجل الأصول'!$I$6:$I$100&gt;DATE(2024+INT((ROW()-6)/12),MOD(ROW()-6,12)+2,0),0,IF('سجل الأصول'!$K$6:$K$100="القسط الثابت",'سجل الأصول'!$G$6:$G$100*MIN(MAX(0,(YEAR(DATE(2024+INT((ROW()-6)/12),MOD(ROW()-6,12)+2,0))-YEAR('سجل الأصول'!$I$6:$I$100))*12+MONTH(DATE(2024+INT((ROW()-6)/12),MOD(ROW()-6,12)+2,0))-MONTH('سجل الأصول'!$I$6:$I$100)),'سجل الأصول'!$J$6:$J$100*12)/('سجل الأصول'!$J$6:$J$100*12),IF('سجل الأصول'!$K$6:$K$100="القسط المتناقص",'سجل الأصول'!$E$6:$E$100*(1-(1-'سجل الأصول'!$L$6:$L$100/100)^MIN(MAX(0,YEAR(DATE(2024+INT((ROW()-6)/12),MOD(ROW()-6,12)+2,0))-YEAR('سجل الأصول'!$I$6:$I$100)),'سجل الأصول'!$J$6:$J$100)),IF('سجل الأصول'!$K$6:$K$100="وحدات الإنتاج",'سجل الأصول'!$G$6:$G$100*MIN(100,'سجل الأصول'!$L$6:$L$100*MAX(0,YEAR(DATE(2024+INT((ROW()-6)/12),MOD(ROW()-6,12)+2,0))-YEAR('سجل الأصول'!$I$6:$I$100)))/100,0))))))</f>
        <v>65000</v>
      </c>
      <c r="G10" s="17">
        <f>SUMPRODUCT(('سجل الأصول'!$D$6:$D$100="مركبات")*('سجل الأصول'!$N$6:$N$100&lt;&gt;"مهلك")*('سجل الأصول'!$E$6:$E$100-IF('سجل الأصول'!$I$6:$I$100&gt;DATE(2024+INT((ROW()-6)/12),MOD(ROW()-6,12)+2,0),0,IF('سجل الأصول'!$K$6:$K$100="القسط الثابت",'سجل الأصول'!$G$6:$G$100*MIN(MAX(0,(YEAR(DATE(2024+INT((ROW()-6)/12),MOD(ROW()-6,12)+2,0))-YEAR('سجل الأصول'!$I$6:$I$100))*12+MONTH(DATE(2024+INT((ROW()-6)/12),MOD(ROW()-6,12)+2,0))-MONTH('سجل الأصول'!$I$6:$I$100)),'سجل الأصول'!$J$6:$J$100*12)/('سجل الأصول'!$J$6:$J$100*12),IF('سجل الأصول'!$K$6:$K$100="القسط المتناقص",'سجل الأصول'!$E$6:$E$100*(1-(1-'سجل الأصول'!$L$6:$L$100/100)^MIN(MAX(0,YEAR(DATE(2024+INT((ROW()-6)/12),MOD(ROW()-6,12)+2,0))-YEAR('سجل الأصول'!$I$6:$I$100)),'سجل الأصول'!$J$6:$J$100)),IF('سجل الأصول'!$K$6:$K$100="وحدات الإنتاج",'سجل الأصول'!$G$6:$G$100*MIN(100,'سجل الأصول'!$L$6:$L$100*MAX(0,YEAR(DATE(2024+INT((ROW()-6)/12),MOD(ROW()-6,12)+2,0))-YEAR('سجل الأصول'!$I$6:$I$100)))/100,0))))))</f>
        <v>85000</v>
      </c>
      <c r="H10" s="50">
        <f>SUM(C10:G10)</f>
        <v>431000</v>
      </c>
    </row>
    <row r="11" spans="2:8">
      <c r="B11" s="34" t="s">
        <v>141</v>
      </c>
      <c r="C11" s="24">
        <f>SUMPRODUCT(('سجل الأصول'!$D$6:$D$100="معدات المطبخ")*('سجل الأصول'!$N$6:$N$100&lt;&gt;"مهلك")*('سجل الأصول'!$E$6:$E$100-IF('سجل الأصول'!$I$6:$I$100&gt;DATE(2024+INT((ROW()-6)/12),MOD(ROW()-6,12)+2,0),0,IF('سجل الأصول'!$K$6:$K$100="القسط الثابت",'سجل الأصول'!$G$6:$G$100*MIN(MAX(0,(YEAR(DATE(2024+INT((ROW()-6)/12),MOD(ROW()-6,12)+2,0))-YEAR('سجل الأصول'!$I$6:$I$100))*12+MONTH(DATE(2024+INT((ROW()-6)/12),MOD(ROW()-6,12)+2,0))-MONTH('سجل الأصول'!$I$6:$I$100)),'سجل الأصول'!$J$6:$J$100*12)/('سجل الأصول'!$J$6:$J$100*12),IF('سجل الأصول'!$K$6:$K$100="القسط المتناقص",'سجل الأصول'!$E$6:$E$100*(1-(1-'سجل الأصول'!$L$6:$L$100/100)^MIN(MAX(0,YEAR(DATE(2024+INT((ROW()-6)/12),MOD(ROW()-6,12)+2,0))-YEAR('سجل الأصول'!$I$6:$I$100)),'سجل الأصول'!$J$6:$J$100)),IF('سجل الأصول'!$K$6:$K$100="وحدات الإنتاج",'سجل الأصول'!$G$6:$G$100*MIN(100,'سجل الأصول'!$L$6:$L$100*MAX(0,YEAR(DATE(2024+INT((ROW()-6)/12),MOD(ROW()-6,12)+2,0))-YEAR('سجل الأصول'!$I$6:$I$100)))/100,0))))))</f>
        <v>163000</v>
      </c>
      <c r="D11" s="24">
        <f>SUMPRODUCT(('سجل الأصول'!$D$6:$D$100="أنظمة تقنية")*('سجل الأصول'!$N$6:$N$100&lt;&gt;"مهلك")*('سجل الأصول'!$E$6:$E$100-IF('سجل الأصول'!$I$6:$I$100&gt;DATE(2024+INT((ROW()-6)/12),MOD(ROW()-6,12)+2,0),0,IF('سجل الأصول'!$K$6:$K$100="القسط الثابت",'سجل الأصول'!$G$6:$G$100*MIN(MAX(0,(YEAR(DATE(2024+INT((ROW()-6)/12),MOD(ROW()-6,12)+2,0))-YEAR('سجل الأصول'!$I$6:$I$100))*12+MONTH(DATE(2024+INT((ROW()-6)/12),MOD(ROW()-6,12)+2,0))-MONTH('سجل الأصول'!$I$6:$I$100)),'سجل الأصول'!$J$6:$J$100*12)/('سجل الأصول'!$J$6:$J$100*12),IF('سجل الأصول'!$K$6:$K$100="القسط المتناقص",'سجل الأصول'!$E$6:$E$100*(1-(1-'سجل الأصول'!$L$6:$L$100/100)^MIN(MAX(0,YEAR(DATE(2024+INT((ROW()-6)/12),MOD(ROW()-6,12)+2,0))-YEAR('سجل الأصول'!$I$6:$I$100)),'سجل الأصول'!$J$6:$J$100)),IF('سجل الأصول'!$K$6:$K$100="وحدات الإنتاج",'سجل الأصول'!$G$6:$G$100*MIN(100,'سجل الأصول'!$L$6:$L$100*MAX(0,YEAR(DATE(2024+INT((ROW()-6)/12),MOD(ROW()-6,12)+2,0))-YEAR('سجل الأصول'!$I$6:$I$100)))/100,0))))))</f>
        <v>23000</v>
      </c>
      <c r="E11" s="24">
        <f>SUMPRODUCT(('سجل الأصول'!$D$6:$D$100="أثاث وديكور")*('سجل الأصول'!$N$6:$N$100&lt;&gt;"مهلك")*('سجل الأصول'!$E$6:$E$100-IF('سجل الأصول'!$I$6:$I$100&gt;DATE(2024+INT((ROW()-6)/12),MOD(ROW()-6,12)+2,0),0,IF('سجل الأصول'!$K$6:$K$100="القسط الثابت",'سجل الأصول'!$G$6:$G$100*MIN(MAX(0,(YEAR(DATE(2024+INT((ROW()-6)/12),MOD(ROW()-6,12)+2,0))-YEAR('سجل الأصول'!$I$6:$I$100))*12+MONTH(DATE(2024+INT((ROW()-6)/12),MOD(ROW()-6,12)+2,0))-MONTH('سجل الأصول'!$I$6:$I$100)),'سجل الأصول'!$J$6:$J$100*12)/('سجل الأصول'!$J$6:$J$100*12),IF('سجل الأصول'!$K$6:$K$100="القسط المتناقص",'سجل الأصول'!$E$6:$E$100*(1-(1-'سجل الأصول'!$L$6:$L$100/100)^MIN(MAX(0,YEAR(DATE(2024+INT((ROW()-6)/12),MOD(ROW()-6,12)+2,0))-YEAR('سجل الأصول'!$I$6:$I$100)),'سجل الأصول'!$J$6:$J$100)),IF('سجل الأصول'!$K$6:$K$100="وحدات الإنتاج",'سجل الأصول'!$G$6:$G$100*MIN(100,'سجل الأصول'!$L$6:$L$100*MAX(0,YEAR(DATE(2024+INT((ROW()-6)/12),MOD(ROW()-6,12)+2,0))-YEAR('سجل الأصول'!$I$6:$I$100)))/100,0))))))</f>
        <v>95000</v>
      </c>
      <c r="F11" s="24">
        <f>SUMPRODUCT(('سجل الأصول'!$D$6:$D$100="تجهيزات")*('سجل الأصول'!$N$6:$N$100&lt;&gt;"مهلك")*('سجل الأصول'!$E$6:$E$100-IF('سجل الأصول'!$I$6:$I$100&gt;DATE(2024+INT((ROW()-6)/12),MOD(ROW()-6,12)+2,0),0,IF('سجل الأصول'!$K$6:$K$100="القسط الثابت",'سجل الأصول'!$G$6:$G$100*MIN(MAX(0,(YEAR(DATE(2024+INT((ROW()-6)/12),MOD(ROW()-6,12)+2,0))-YEAR('سجل الأصول'!$I$6:$I$100))*12+MONTH(DATE(2024+INT((ROW()-6)/12),MOD(ROW()-6,12)+2,0))-MONTH('سجل الأصول'!$I$6:$I$100)),'سجل الأصول'!$J$6:$J$100*12)/('سجل الأصول'!$J$6:$J$100*12),IF('سجل الأصول'!$K$6:$K$100="القسط المتناقص",'سجل الأصول'!$E$6:$E$100*(1-(1-'سجل الأصول'!$L$6:$L$100/100)^MIN(MAX(0,YEAR(DATE(2024+INT((ROW()-6)/12),MOD(ROW()-6,12)+2,0))-YEAR('سجل الأصول'!$I$6:$I$100)),'سجل الأصول'!$J$6:$J$100)),IF('سجل الأصول'!$K$6:$K$100="وحدات الإنتاج",'سجل الأصول'!$G$6:$G$100*MIN(100,'سجل الأصول'!$L$6:$L$100*MAX(0,YEAR(DATE(2024+INT((ROW()-6)/12),MOD(ROW()-6,12)+2,0))-YEAR('سجل الأصول'!$I$6:$I$100)))/100,0))))))</f>
        <v>65000</v>
      </c>
      <c r="G11" s="24">
        <f>SUMPRODUCT(('سجل الأصول'!$D$6:$D$100="مركبات")*('سجل الأصول'!$N$6:$N$100&lt;&gt;"مهلك")*('سجل الأصول'!$E$6:$E$100-IF('سجل الأصول'!$I$6:$I$100&gt;DATE(2024+INT((ROW()-6)/12),MOD(ROW()-6,12)+2,0),0,IF('سجل الأصول'!$K$6:$K$100="القسط الثابت",'سجل الأصول'!$G$6:$G$100*MIN(MAX(0,(YEAR(DATE(2024+INT((ROW()-6)/12),MOD(ROW()-6,12)+2,0))-YEAR('سجل الأصول'!$I$6:$I$100))*12+MONTH(DATE(2024+INT((ROW()-6)/12),MOD(ROW()-6,12)+2,0))-MONTH('سجل الأصول'!$I$6:$I$100)),'سجل الأصول'!$J$6:$J$100*12)/('سجل الأصول'!$J$6:$J$100*12),IF('سجل الأصول'!$K$6:$K$100="القسط المتناقص",'سجل الأصول'!$E$6:$E$100*(1-(1-'سجل الأصول'!$L$6:$L$100/100)^MIN(MAX(0,YEAR(DATE(2024+INT((ROW()-6)/12),MOD(ROW()-6,12)+2,0))-YEAR('سجل الأصول'!$I$6:$I$100)),'سجل الأصول'!$J$6:$J$100)),IF('سجل الأصول'!$K$6:$K$100="وحدات الإنتاج",'سجل الأصول'!$G$6:$G$100*MIN(100,'سجل الأصول'!$L$6:$L$100*MAX(0,YEAR(DATE(2024+INT((ROW()-6)/12),MOD(ROW()-6,12)+2,0))-YEAR('سجل الأصول'!$I$6:$I$100)))/100,0))))))</f>
        <v>85000</v>
      </c>
      <c r="H11" s="50">
        <f>SUM(C11:G11)</f>
        <v>431000</v>
      </c>
    </row>
    <row r="12" spans="2:8">
      <c r="B12" s="34" t="s">
        <v>142</v>
      </c>
      <c r="C12" s="17">
        <f>SUMPRODUCT(('سجل الأصول'!$D$6:$D$100="معدات المطبخ")*('سجل الأصول'!$N$6:$N$100&lt;&gt;"مهلك")*('سجل الأصول'!$E$6:$E$100-IF('سجل الأصول'!$I$6:$I$100&gt;DATE(2024+INT((ROW()-6)/12),MOD(ROW()-6,12)+2,0),0,IF('سجل الأصول'!$K$6:$K$100="القسط الثابت",'سجل الأصول'!$G$6:$G$100*MIN(MAX(0,(YEAR(DATE(2024+INT((ROW()-6)/12),MOD(ROW()-6,12)+2,0))-YEAR('سجل الأصول'!$I$6:$I$100))*12+MONTH(DATE(2024+INT((ROW()-6)/12),MOD(ROW()-6,12)+2,0))-MONTH('سجل الأصول'!$I$6:$I$100)),'سجل الأصول'!$J$6:$J$100*12)/('سجل الأصول'!$J$6:$J$100*12),IF('سجل الأصول'!$K$6:$K$100="القسط المتناقص",'سجل الأصول'!$E$6:$E$100*(1-(1-'سجل الأصول'!$L$6:$L$100/100)^MIN(MAX(0,YEAR(DATE(2024+INT((ROW()-6)/12),MOD(ROW()-6,12)+2,0))-YEAR('سجل الأصول'!$I$6:$I$100)),'سجل الأصول'!$J$6:$J$100)),IF('سجل الأصول'!$K$6:$K$100="وحدات الإنتاج",'سجل الأصول'!$G$6:$G$100*MIN(100,'سجل الأصول'!$L$6:$L$100*MAX(0,YEAR(DATE(2024+INT((ROW()-6)/12),MOD(ROW()-6,12)+2,0))-YEAR('سجل الأصول'!$I$6:$I$100)))/100,0))))))</f>
        <v>153208.33333333334</v>
      </c>
      <c r="D12" s="17">
        <f>SUMPRODUCT(('سجل الأصول'!$D$6:$D$100="أنظمة تقنية")*('سجل الأصول'!$N$6:$N$100&lt;&gt;"مهلك")*('سجل الأصول'!$E$6:$E$100-IF('سجل الأصول'!$I$6:$I$100&gt;DATE(2024+INT((ROW()-6)/12),MOD(ROW()-6,12)+2,0),0,IF('سجل الأصول'!$K$6:$K$100="القسط الثابت",'سجل الأصول'!$G$6:$G$100*MIN(MAX(0,(YEAR(DATE(2024+INT((ROW()-6)/12),MOD(ROW()-6,12)+2,0))-YEAR('سجل الأصول'!$I$6:$I$100))*12+MONTH(DATE(2024+INT((ROW()-6)/12),MOD(ROW()-6,12)+2,0))-MONTH('سجل الأصول'!$I$6:$I$100)),'سجل الأصول'!$J$6:$J$100*12)/('سجل الأصول'!$J$6:$J$100*12),IF('سجل الأصول'!$K$6:$K$100="القسط المتناقص",'سجل الأصول'!$E$6:$E$100*(1-(1-'سجل الأصول'!$L$6:$L$100/100)^MIN(MAX(0,YEAR(DATE(2024+INT((ROW()-6)/12),MOD(ROW()-6,12)+2,0))-YEAR('سجل الأصول'!$I$6:$I$100)),'سجل الأصول'!$J$6:$J$100)),IF('سجل الأصول'!$K$6:$K$100="وحدات الإنتاج",'سجل الأصول'!$G$6:$G$100*MIN(100,'سجل الأصول'!$L$6:$L$100*MAX(0,YEAR(DATE(2024+INT((ROW()-6)/12),MOD(ROW()-6,12)+2,0))-YEAR('سجل الأصول'!$I$6:$I$100)))/100,0))))))</f>
        <v>19083.333333333332</v>
      </c>
      <c r="E12" s="17">
        <f>SUMPRODUCT(('سجل الأصول'!$D$6:$D$100="أثاث وديكور")*('سجل الأصول'!$N$6:$N$100&lt;&gt;"مهلك")*('سجل الأصول'!$E$6:$E$100-IF('سجل الأصول'!$I$6:$I$100&gt;DATE(2024+INT((ROW()-6)/12),MOD(ROW()-6,12)+2,0),0,IF('سجل الأصول'!$K$6:$K$100="القسط الثابت",'سجل الأصول'!$G$6:$G$100*MIN(MAX(0,(YEAR(DATE(2024+INT((ROW()-6)/12),MOD(ROW()-6,12)+2,0))-YEAR('سجل الأصول'!$I$6:$I$100))*12+MONTH(DATE(2024+INT((ROW()-6)/12),MOD(ROW()-6,12)+2,0))-MONTH('سجل الأصول'!$I$6:$I$100)),'سجل الأصول'!$J$6:$J$100*12)/('سجل الأصول'!$J$6:$J$100*12),IF('سجل الأصول'!$K$6:$K$100="القسط المتناقص",'سجل الأصول'!$E$6:$E$100*(1-(1-'سجل الأصول'!$L$6:$L$100/100)^MIN(MAX(0,YEAR(DATE(2024+INT((ROW()-6)/12),MOD(ROW()-6,12)+2,0))-YEAR('سجل الأصول'!$I$6:$I$100)),'سجل الأصول'!$J$6:$J$100)),IF('سجل الأصول'!$K$6:$K$100="وحدات الإنتاج",'سجل الأصول'!$G$6:$G$100*MIN(100,'سجل الأصول'!$L$6:$L$100*MAX(0,YEAR(DATE(2024+INT((ROW()-6)/12),MOD(ROW()-6,12)+2,0))-YEAR('سجل الأصول'!$I$6:$I$100)))/100,0))))))</f>
        <v>89125</v>
      </c>
      <c r="F12" s="17">
        <f>SUMPRODUCT(('سجل الأصول'!$D$6:$D$100="تجهيزات")*('سجل الأصول'!$N$6:$N$100&lt;&gt;"مهلك")*('سجل الأصول'!$E$6:$E$100-IF('سجل الأصول'!$I$6:$I$100&gt;DATE(2024+INT((ROW()-6)/12),MOD(ROW()-6,12)+2,0),0,IF('سجل الأصول'!$K$6:$K$100="القسط الثابت",'سجل الأصول'!$G$6:$G$100*MIN(MAX(0,(YEAR(DATE(2024+INT((ROW()-6)/12),MOD(ROW()-6,12)+2,0))-YEAR('سجل الأصول'!$I$6:$I$100))*12+MONTH(DATE(2024+INT((ROW()-6)/12),MOD(ROW()-6,12)+2,0))-MONTH('سجل الأصول'!$I$6:$I$100)),'سجل الأصول'!$J$6:$J$100*12)/('سجل الأصول'!$J$6:$J$100*12),IF('سجل الأصول'!$K$6:$K$100="القسط المتناقص",'سجل الأصول'!$E$6:$E$100*(1-(1-'سجل الأصول'!$L$6:$L$100/100)^MIN(MAX(0,YEAR(DATE(2024+INT((ROW()-6)/12),MOD(ROW()-6,12)+2,0))-YEAR('سجل الأصول'!$I$6:$I$100)),'سجل الأصول'!$J$6:$J$100)),IF('سجل الأصول'!$K$6:$K$100="وحدات الإنتاج",'سجل الأصول'!$G$6:$G$100*MIN(100,'سجل الأصول'!$L$6:$L$100*MAX(0,YEAR(DATE(2024+INT((ROW()-6)/12),MOD(ROW()-6,12)+2,0))-YEAR('سجل الأصول'!$I$6:$I$100)))/100,0))))))</f>
        <v>63041.666666666664</v>
      </c>
      <c r="G12" s="17">
        <f>SUMPRODUCT(('سجل الأصول'!$D$6:$D$100="مركبات")*('سجل الأصول'!$N$6:$N$100&lt;&gt;"مهلك")*('سجل الأصول'!$E$6:$E$100-IF('سجل الأصول'!$I$6:$I$100&gt;DATE(2024+INT((ROW()-6)/12),MOD(ROW()-6,12)+2,0),0,IF('سجل الأصول'!$K$6:$K$100="القسط الثابت",'سجل الأصول'!$G$6:$G$100*MIN(MAX(0,(YEAR(DATE(2024+INT((ROW()-6)/12),MOD(ROW()-6,12)+2,0))-YEAR('سجل الأصول'!$I$6:$I$100))*12+MONTH(DATE(2024+INT((ROW()-6)/12),MOD(ROW()-6,12)+2,0))-MONTH('سجل الأصول'!$I$6:$I$100)),'سجل الأصول'!$J$6:$J$100*12)/('سجل الأصول'!$J$6:$J$100*12),IF('سجل الأصول'!$K$6:$K$100="القسط المتناقص",'سجل الأصول'!$E$6:$E$100*(1-(1-'سجل الأصول'!$L$6:$L$100/100)^MIN(MAX(0,YEAR(DATE(2024+INT((ROW()-6)/12),MOD(ROW()-6,12)+2,0))-YEAR('سجل الأصول'!$I$6:$I$100)),'سجل الأصول'!$J$6:$J$100)),IF('سجل الأصول'!$K$6:$K$100="وحدات الإنتاج",'سجل الأصول'!$G$6:$G$100*MIN(100,'سجل الأصول'!$L$6:$L$100*MAX(0,YEAR(DATE(2024+INT((ROW()-6)/12),MOD(ROW()-6,12)+2,0))-YEAR('سجل الأصول'!$I$6:$I$100)))/100,0))))))</f>
        <v>83041.666666666672</v>
      </c>
      <c r="H12" s="50">
        <f>SUM(C12:G12)</f>
        <v>407500.00000000006</v>
      </c>
    </row>
    <row r="13" spans="2:8">
      <c r="B13" s="34" t="s">
        <v>143</v>
      </c>
      <c r="C13" s="24">
        <f>SUMPRODUCT(('سجل الأصول'!$D$6:$D$100="معدات المطبخ")*('سجل الأصول'!$N$6:$N$100&lt;&gt;"مهلك")*('سجل الأصول'!$E$6:$E$100-IF('سجل الأصول'!$I$6:$I$100&gt;DATE(2024+INT((ROW()-6)/12),MOD(ROW()-6,12)+2,0),0,IF('سجل الأصول'!$K$6:$K$100="القسط الثابت",'سجل الأصول'!$G$6:$G$100*MIN(MAX(0,(YEAR(DATE(2024+INT((ROW()-6)/12),MOD(ROW()-6,12)+2,0))-YEAR('سجل الأصول'!$I$6:$I$100))*12+MONTH(DATE(2024+INT((ROW()-6)/12),MOD(ROW()-6,12)+2,0))-MONTH('سجل الأصول'!$I$6:$I$100)),'سجل الأصول'!$J$6:$J$100*12)/('سجل الأصول'!$J$6:$J$100*12),IF('سجل الأصول'!$K$6:$K$100="القسط المتناقص",'سجل الأصول'!$E$6:$E$100*(1-(1-'سجل الأصول'!$L$6:$L$100/100)^MIN(MAX(0,YEAR(DATE(2024+INT((ROW()-6)/12),MOD(ROW()-6,12)+2,0))-YEAR('سجل الأصول'!$I$6:$I$100)),'سجل الأصول'!$J$6:$J$100)),IF('سجل الأصول'!$K$6:$K$100="وحدات الإنتاج",'سجل الأصول'!$G$6:$G$100*MIN(100,'سجل الأصول'!$L$6:$L$100*MAX(0,YEAR(DATE(2024+INT((ROW()-6)/12),MOD(ROW()-6,12)+2,0))-YEAR('سجل الأصول'!$I$6:$I$100)))/100,0))))))</f>
        <v>157062.5</v>
      </c>
      <c r="D13" s="24">
        <f>SUMPRODUCT(('سجل الأصول'!$D$6:$D$100="أنظمة تقنية")*('سجل الأصول'!$N$6:$N$100&lt;&gt;"مهلك")*('سجل الأصول'!$E$6:$E$100-IF('سجل الأصول'!$I$6:$I$100&gt;DATE(2024+INT((ROW()-6)/12),MOD(ROW()-6,12)+2,0),0,IF('سجل الأصول'!$K$6:$K$100="القسط الثابت",'سجل الأصول'!$G$6:$G$100*MIN(MAX(0,(YEAR(DATE(2024+INT((ROW()-6)/12),MOD(ROW()-6,12)+2,0))-YEAR('سجل الأصول'!$I$6:$I$100))*12+MONTH(DATE(2024+INT((ROW()-6)/12),MOD(ROW()-6,12)+2,0))-MONTH('سجل الأصول'!$I$6:$I$100)),'سجل الأصول'!$J$6:$J$100*12)/('سجل الأصول'!$J$6:$J$100*12),IF('سجل الأصول'!$K$6:$K$100="القسط المتناقص",'سجل الأصول'!$E$6:$E$100*(1-(1-'سجل الأصول'!$L$6:$L$100/100)^MIN(MAX(0,YEAR(DATE(2024+INT((ROW()-6)/12),MOD(ROW()-6,12)+2,0))-YEAR('سجل الأصول'!$I$6:$I$100)),'سجل الأصول'!$J$6:$J$100)),IF('سجل الأصول'!$K$6:$K$100="وحدات الإنتاج",'سجل الأصول'!$G$6:$G$100*MIN(100,'سجل الأصول'!$L$6:$L$100*MAX(0,YEAR(DATE(2024+INT((ROW()-6)/12),MOD(ROW()-6,12)+2,0))-YEAR('سجل الأصول'!$I$6:$I$100)))/100,0))))))</f>
        <v>20625</v>
      </c>
      <c r="E13" s="24">
        <f>SUMPRODUCT(('سجل الأصول'!$D$6:$D$100="أثاث وديكور")*('سجل الأصول'!$N$6:$N$100&lt;&gt;"مهلك")*('سجل الأصول'!$E$6:$E$100-IF('سجل الأصول'!$I$6:$I$100&gt;DATE(2024+INT((ROW()-6)/12),MOD(ROW()-6,12)+2,0),0,IF('سجل الأصول'!$K$6:$K$100="القسط الثابت",'سجل الأصول'!$G$6:$G$100*MIN(MAX(0,(YEAR(DATE(2024+INT((ROW()-6)/12),MOD(ROW()-6,12)+2,0))-YEAR('سجل الأصول'!$I$6:$I$100))*12+MONTH(DATE(2024+INT((ROW()-6)/12),MOD(ROW()-6,12)+2,0))-MONTH('سجل الأصول'!$I$6:$I$100)),'سجل الأصول'!$J$6:$J$100*12)/('سجل الأصول'!$J$6:$J$100*12),IF('سجل الأصول'!$K$6:$K$100="القسط المتناقص",'سجل الأصول'!$E$6:$E$100*(1-(1-'سجل الأصول'!$L$6:$L$100/100)^MIN(MAX(0,YEAR(DATE(2024+INT((ROW()-6)/12),MOD(ROW()-6,12)+2,0))-YEAR('سجل الأصول'!$I$6:$I$100)),'سجل الأصول'!$J$6:$J$100)),IF('سجل الأصول'!$K$6:$K$100="وحدات الإنتاج",'سجل الأصول'!$G$6:$G$100*MIN(100,'سجل الأصول'!$L$6:$L$100*MAX(0,YEAR(DATE(2024+INT((ROW()-6)/12),MOD(ROW()-6,12)+2,0))-YEAR('سجل الأصول'!$I$6:$I$100)))/100,0))))))</f>
        <v>91437.5</v>
      </c>
      <c r="F13" s="24">
        <f>SUMPRODUCT(('سجل الأصول'!$D$6:$D$100="تجهيزات")*('سجل الأصول'!$N$6:$N$100&lt;&gt;"مهلك")*('سجل الأصول'!$E$6:$E$100-IF('سجل الأصول'!$I$6:$I$100&gt;DATE(2024+INT((ROW()-6)/12),MOD(ROW()-6,12)+2,0),0,IF('سجل الأصول'!$K$6:$K$100="القسط الثابت",'سجل الأصول'!$G$6:$G$100*MIN(MAX(0,(YEAR(DATE(2024+INT((ROW()-6)/12),MOD(ROW()-6,12)+2,0))-YEAR('سجل الأصول'!$I$6:$I$100))*12+MONTH(DATE(2024+INT((ROW()-6)/12),MOD(ROW()-6,12)+2,0))-MONTH('سجل الأصول'!$I$6:$I$100)),'سجل الأصول'!$J$6:$J$100*12)/('سجل الأصول'!$J$6:$J$100*12),IF('سجل الأصول'!$K$6:$K$100="القسط المتناقص",'سجل الأصول'!$E$6:$E$100*(1-(1-'سجل الأصول'!$L$6:$L$100/100)^MIN(MAX(0,YEAR(DATE(2024+INT((ROW()-6)/12),MOD(ROW()-6,12)+2,0))-YEAR('سجل الأصول'!$I$6:$I$100)),'سجل الأصول'!$J$6:$J$100)),IF('سجل الأصول'!$K$6:$K$100="وحدات الإنتاج",'سجل الأصول'!$G$6:$G$100*MIN(100,'سجل الأصول'!$L$6:$L$100*MAX(0,YEAR(DATE(2024+INT((ROW()-6)/12),MOD(ROW()-6,12)+2,0))-YEAR('سجل الأصول'!$I$6:$I$100)))/100,0))))))</f>
        <v>63812.5</v>
      </c>
      <c r="G13" s="24">
        <f>SUMPRODUCT(('سجل الأصول'!$D$6:$D$100="مركبات")*('سجل الأصول'!$N$6:$N$100&lt;&gt;"مهلك")*('سجل الأصول'!$E$6:$E$100-IF('سجل الأصول'!$I$6:$I$100&gt;DATE(2024+INT((ROW()-6)/12),MOD(ROW()-6,12)+2,0),0,IF('سجل الأصول'!$K$6:$K$100="القسط الثابت",'سجل الأصول'!$G$6:$G$100*MIN(MAX(0,(YEAR(DATE(2024+INT((ROW()-6)/12),MOD(ROW()-6,12)+2,0))-YEAR('سجل الأصول'!$I$6:$I$100))*12+MONTH(DATE(2024+INT((ROW()-6)/12),MOD(ROW()-6,12)+2,0))-MONTH('سجل الأصول'!$I$6:$I$100)),'سجل الأصول'!$J$6:$J$100*12)/('سجل الأصول'!$J$6:$J$100*12),IF('سجل الأصول'!$K$6:$K$100="القسط المتناقص",'سجل الأصول'!$E$6:$E$100*(1-(1-'سجل الأصول'!$L$6:$L$100/100)^MIN(MAX(0,YEAR(DATE(2024+INT((ROW()-6)/12),MOD(ROW()-6,12)+2,0))-YEAR('سجل الأصول'!$I$6:$I$100)),'سجل الأصول'!$J$6:$J$100)),IF('سجل الأصول'!$K$6:$K$100="وحدات الإنتاج",'سجل الأصول'!$G$6:$G$100*MIN(100,'سجل الأصول'!$L$6:$L$100*MAX(0,YEAR(DATE(2024+INT((ROW()-6)/12),MOD(ROW()-6,12)+2,0))-YEAR('سجل الأصول'!$I$6:$I$100)))/100,0))))))</f>
        <v>83812.5</v>
      </c>
      <c r="H13" s="50">
        <f>SUM(C13:G13)</f>
        <v>416750</v>
      </c>
    </row>
    <row r="14" spans="2:8">
      <c r="B14" s="34" t="s">
        <v>144</v>
      </c>
      <c r="C14" s="17">
        <f>SUMPRODUCT(('سجل الأصول'!$D$6:$D$100="معدات المطبخ")*('سجل الأصول'!$N$6:$N$100&lt;&gt;"مهلك")*('سجل الأصول'!$E$6:$E$100-IF('سجل الأصول'!$I$6:$I$100&gt;DATE(2024+INT((ROW()-6)/12),MOD(ROW()-6,12)+2,0),0,IF('سجل الأصول'!$K$6:$K$100="القسط الثابت",'سجل الأصول'!$G$6:$G$100*MIN(MAX(0,(YEAR(DATE(2024+INT((ROW()-6)/12),MOD(ROW()-6,12)+2,0))-YEAR('سجل الأصول'!$I$6:$I$100))*12+MONTH(DATE(2024+INT((ROW()-6)/12),MOD(ROW()-6,12)+2,0))-MONTH('سجل الأصول'!$I$6:$I$100)),'سجل الأصول'!$J$6:$J$100*12)/('سجل الأصول'!$J$6:$J$100*12),IF('سجل الأصول'!$K$6:$K$100="القسط المتناقص",'سجل الأصول'!$E$6:$E$100*(1-(1-'سجل الأصول'!$L$6:$L$100/100)^MIN(MAX(0,YEAR(DATE(2024+INT((ROW()-6)/12),MOD(ROW()-6,12)+2,0))-YEAR('سجل الأصول'!$I$6:$I$100)),'سجل الأصول'!$J$6:$J$100)),IF('سجل الأصول'!$K$6:$K$100="وحدات الإنتاج",'سجل الأصول'!$G$6:$G$100*MIN(100,'سجل الأصول'!$L$6:$L$100*MAX(0,YEAR(DATE(2024+INT((ROW()-6)/12),MOD(ROW()-6,12)+2,0))-YEAR('سجل الأصول'!$I$6:$I$100)))/100,0))))))</f>
        <v>151916.66666666666</v>
      </c>
      <c r="D14" s="17">
        <f>SUMPRODUCT(('سجل الأصول'!$D$6:$D$100="أنظمة تقنية")*('سجل الأصول'!$N$6:$N$100&lt;&gt;"مهلك")*('سجل الأصول'!$E$6:$E$100-IF('سجل الأصول'!$I$6:$I$100&gt;DATE(2024+INT((ROW()-6)/12),MOD(ROW()-6,12)+2,0),0,IF('سجل الأصول'!$K$6:$K$100="القسط الثابت",'سجل الأصول'!$G$6:$G$100*MIN(MAX(0,(YEAR(DATE(2024+INT((ROW()-6)/12),MOD(ROW()-6,12)+2,0))-YEAR('سجل الأصول'!$I$6:$I$100))*12+MONTH(DATE(2024+INT((ROW()-6)/12),MOD(ROW()-6,12)+2,0))-MONTH('سجل الأصول'!$I$6:$I$100)),'سجل الأصول'!$J$6:$J$100*12)/('سجل الأصول'!$J$6:$J$100*12),IF('سجل الأصول'!$K$6:$K$100="القسط المتناقص",'سجل الأصول'!$E$6:$E$100*(1-(1-'سجل الأصول'!$L$6:$L$100/100)^MIN(MAX(0,YEAR(DATE(2024+INT((ROW()-6)/12),MOD(ROW()-6,12)+2,0))-YEAR('سجل الأصول'!$I$6:$I$100)),'سجل الأصول'!$J$6:$J$100)),IF('سجل الأصول'!$K$6:$K$100="وحدات الإنتاج",'سجل الأصول'!$G$6:$G$100*MIN(100,'سجل الأصول'!$L$6:$L$100*MAX(0,YEAR(DATE(2024+INT((ROW()-6)/12),MOD(ROW()-6,12)+2,0))-YEAR('سجل الأصول'!$I$6:$I$100)))/100,0))))))</f>
        <v>18566.666666666668</v>
      </c>
      <c r="E14" s="17">
        <f>SUMPRODUCT(('سجل الأصول'!$D$6:$D$100="أثاث وديكور")*('سجل الأصول'!$N$6:$N$100&lt;&gt;"مهلك")*('سجل الأصول'!$E$6:$E$100-IF('سجل الأصول'!$I$6:$I$100&gt;DATE(2024+INT((ROW()-6)/12),MOD(ROW()-6,12)+2,0),0,IF('سجل الأصول'!$K$6:$K$100="القسط الثابت",'سجل الأصول'!$G$6:$G$100*MIN(MAX(0,(YEAR(DATE(2024+INT((ROW()-6)/12),MOD(ROW()-6,12)+2,0))-YEAR('سجل الأصول'!$I$6:$I$100))*12+MONTH(DATE(2024+INT((ROW()-6)/12),MOD(ROW()-6,12)+2,0))-MONTH('سجل الأصول'!$I$6:$I$100)),'سجل الأصول'!$J$6:$J$100*12)/('سجل الأصول'!$J$6:$J$100*12),IF('سجل الأصول'!$K$6:$K$100="القسط المتناقص",'سجل الأصول'!$E$6:$E$100*(1-(1-'سجل الأصول'!$L$6:$L$100/100)^MIN(MAX(0,YEAR(DATE(2024+INT((ROW()-6)/12),MOD(ROW()-6,12)+2,0))-YEAR('سجل الأصول'!$I$6:$I$100)),'سجل الأصول'!$J$6:$J$100)),IF('سجل الأصول'!$K$6:$K$100="وحدات الإنتاج",'سجل الأصول'!$G$6:$G$100*MIN(100,'سجل الأصول'!$L$6:$L$100*MAX(0,YEAR(DATE(2024+INT((ROW()-6)/12),MOD(ROW()-6,12)+2,0))-YEAR('سجل الأصول'!$I$6:$I$100)))/100,0))))))</f>
        <v>88350</v>
      </c>
      <c r="F14" s="17">
        <f>SUMPRODUCT(('سجل الأصول'!$D$6:$D$100="تجهيزات")*('سجل الأصول'!$N$6:$N$100&lt;&gt;"مهلك")*('سجل الأصول'!$E$6:$E$100-IF('سجل الأصول'!$I$6:$I$100&gt;DATE(2024+INT((ROW()-6)/12),MOD(ROW()-6,12)+2,0),0,IF('سجل الأصول'!$K$6:$K$100="القسط الثابت",'سجل الأصول'!$G$6:$G$100*MIN(MAX(0,(YEAR(DATE(2024+INT((ROW()-6)/12),MOD(ROW()-6,12)+2,0))-YEAR('سجل الأصول'!$I$6:$I$100))*12+MONTH(DATE(2024+INT((ROW()-6)/12),MOD(ROW()-6,12)+2,0))-MONTH('سجل الأصول'!$I$6:$I$100)),'سجل الأصول'!$J$6:$J$100*12)/('سجل الأصول'!$J$6:$J$100*12),IF('سجل الأصول'!$K$6:$K$100="القسط المتناقص",'سجل الأصول'!$E$6:$E$100*(1-(1-'سجل الأصول'!$L$6:$L$100/100)^MIN(MAX(0,YEAR(DATE(2024+INT((ROW()-6)/12),MOD(ROW()-6,12)+2,0))-YEAR('سجل الأصول'!$I$6:$I$100)),'سجل الأصول'!$J$6:$J$100)),IF('سجل الأصول'!$K$6:$K$100="وحدات الإنتاج",'سجل الأصول'!$G$6:$G$100*MIN(100,'سجل الأصول'!$L$6:$L$100*MAX(0,YEAR(DATE(2024+INT((ROW()-6)/12),MOD(ROW()-6,12)+2,0))-YEAR('سجل الأصول'!$I$6:$I$100)))/100,0))))))</f>
        <v>62783.333333333336</v>
      </c>
      <c r="G14" s="17">
        <f>SUMPRODUCT(('سجل الأصول'!$D$6:$D$100="مركبات")*('سجل الأصول'!$N$6:$N$100&lt;&gt;"مهلك")*('سجل الأصول'!$E$6:$E$100-IF('سجل الأصول'!$I$6:$I$100&gt;DATE(2024+INT((ROW()-6)/12),MOD(ROW()-6,12)+2,0),0,IF('سجل الأصول'!$K$6:$K$100="القسط الثابت",'سجل الأصول'!$G$6:$G$100*MIN(MAX(0,(YEAR(DATE(2024+INT((ROW()-6)/12),MOD(ROW()-6,12)+2,0))-YEAR('سجل الأصول'!$I$6:$I$100))*12+MONTH(DATE(2024+INT((ROW()-6)/12),MOD(ROW()-6,12)+2,0))-MONTH('سجل الأصول'!$I$6:$I$100)),'سجل الأصول'!$J$6:$J$100*12)/('سجل الأصول'!$J$6:$J$100*12),IF('سجل الأصول'!$K$6:$K$100="القسط المتناقص",'سجل الأصول'!$E$6:$E$100*(1-(1-'سجل الأصول'!$L$6:$L$100/100)^MIN(MAX(0,YEAR(DATE(2024+INT((ROW()-6)/12),MOD(ROW()-6,12)+2,0))-YEAR('سجل الأصول'!$I$6:$I$100)),'سجل الأصول'!$J$6:$J$100)),IF('سجل الأصول'!$K$6:$K$100="وحدات الإنتاج",'سجل الأصول'!$G$6:$G$100*MIN(100,'سجل الأصول'!$L$6:$L$100*MAX(0,YEAR(DATE(2024+INT((ROW()-6)/12),MOD(ROW()-6,12)+2,0))-YEAR('سجل الأصول'!$I$6:$I$100)))/100,0))))))</f>
        <v>82783.333333333328</v>
      </c>
      <c r="H14" s="50">
        <f>SUM(C14:G14)</f>
        <v>404399.99999999994</v>
      </c>
    </row>
    <row r="15" spans="2:8">
      <c r="B15" s="34" t="s">
        <v>145</v>
      </c>
      <c r="C15" s="24">
        <f>SUMPRODUCT(('سجل الأصول'!$D$6:$D$100="معدات المطبخ")*('سجل الأصول'!$N$6:$N$100&lt;&gt;"مهلك")*('سجل الأصول'!$E$6:$E$100-IF('سجل الأصول'!$I$6:$I$100&gt;DATE(2024+INT((ROW()-6)/12),MOD(ROW()-6,12)+2,0),0,IF('سجل الأصول'!$K$6:$K$100="القسط الثابت",'سجل الأصول'!$G$6:$G$100*MIN(MAX(0,(YEAR(DATE(2024+INT((ROW()-6)/12),MOD(ROW()-6,12)+2,0))-YEAR('سجل الأصول'!$I$6:$I$100))*12+MONTH(DATE(2024+INT((ROW()-6)/12),MOD(ROW()-6,12)+2,0))-MONTH('سجل الأصول'!$I$6:$I$100)),'سجل الأصول'!$J$6:$J$100*12)/('سجل الأصول'!$J$6:$J$100*12),IF('سجل الأصول'!$K$6:$K$100="القسط المتناقص",'سجل الأصول'!$E$6:$E$100*(1-(1-'سجل الأصول'!$L$6:$L$100/100)^MIN(MAX(0,YEAR(DATE(2024+INT((ROW()-6)/12),MOD(ROW()-6,12)+2,0))-YEAR('سجل الأصول'!$I$6:$I$100)),'سجل الأصول'!$J$6:$J$100)),IF('سجل الأصول'!$K$6:$K$100="وحدات الإنتاج",'سجل الأصول'!$G$6:$G$100*MIN(100,'سجل الأصول'!$L$6:$L$100*MAX(0,YEAR(DATE(2024+INT((ROW()-6)/12),MOD(ROW()-6,12)+2,0))-YEAR('سجل الأصول'!$I$6:$I$100)))/100,0))))))</f>
        <v>163000</v>
      </c>
      <c r="D15" s="24">
        <f>SUMPRODUCT(('سجل الأصول'!$D$6:$D$100="أنظمة تقنية")*('سجل الأصول'!$N$6:$N$100&lt;&gt;"مهلك")*('سجل الأصول'!$E$6:$E$100-IF('سجل الأصول'!$I$6:$I$100&gt;DATE(2024+INT((ROW()-6)/12),MOD(ROW()-6,12)+2,0),0,IF('سجل الأصول'!$K$6:$K$100="القسط الثابت",'سجل الأصول'!$G$6:$G$100*MIN(MAX(0,(YEAR(DATE(2024+INT((ROW()-6)/12),MOD(ROW()-6,12)+2,0))-YEAR('سجل الأصول'!$I$6:$I$100))*12+MONTH(DATE(2024+INT((ROW()-6)/12),MOD(ROW()-6,12)+2,0))-MONTH('سجل الأصول'!$I$6:$I$100)),'سجل الأصول'!$J$6:$J$100*12)/('سجل الأصول'!$J$6:$J$100*12),IF('سجل الأصول'!$K$6:$K$100="القسط المتناقص",'سجل الأصول'!$E$6:$E$100*(1-(1-'سجل الأصول'!$L$6:$L$100/100)^MIN(MAX(0,YEAR(DATE(2024+INT((ROW()-6)/12),MOD(ROW()-6,12)+2,0))-YEAR('سجل الأصول'!$I$6:$I$100)),'سجل الأصول'!$J$6:$J$100)),IF('سجل الأصول'!$K$6:$K$100="وحدات الإنتاج",'سجل الأصول'!$G$6:$G$100*MIN(100,'سجل الأصول'!$L$6:$L$100*MAX(0,YEAR(DATE(2024+INT((ROW()-6)/12),MOD(ROW()-6,12)+2,0))-YEAR('سجل الأصول'!$I$6:$I$100)))/100,0))))))</f>
        <v>23000</v>
      </c>
      <c r="E15" s="24">
        <f>SUMPRODUCT(('سجل الأصول'!$D$6:$D$100="أثاث وديكور")*('سجل الأصول'!$N$6:$N$100&lt;&gt;"مهلك")*('سجل الأصول'!$E$6:$E$100-IF('سجل الأصول'!$I$6:$I$100&gt;DATE(2024+INT((ROW()-6)/12),MOD(ROW()-6,12)+2,0),0,IF('سجل الأصول'!$K$6:$K$100="القسط الثابت",'سجل الأصول'!$G$6:$G$100*MIN(MAX(0,(YEAR(DATE(2024+INT((ROW()-6)/12),MOD(ROW()-6,12)+2,0))-YEAR('سجل الأصول'!$I$6:$I$100))*12+MONTH(DATE(2024+INT((ROW()-6)/12),MOD(ROW()-6,12)+2,0))-MONTH('سجل الأصول'!$I$6:$I$100)),'سجل الأصول'!$J$6:$J$100*12)/('سجل الأصول'!$J$6:$J$100*12),IF('سجل الأصول'!$K$6:$K$100="القسط المتناقص",'سجل الأصول'!$E$6:$E$100*(1-(1-'سجل الأصول'!$L$6:$L$100/100)^MIN(MAX(0,YEAR(DATE(2024+INT((ROW()-6)/12),MOD(ROW()-6,12)+2,0))-YEAR('سجل الأصول'!$I$6:$I$100)),'سجل الأصول'!$J$6:$J$100)),IF('سجل الأصول'!$K$6:$K$100="وحدات الإنتاج",'سجل الأصول'!$G$6:$G$100*MIN(100,'سجل الأصول'!$L$6:$L$100*MAX(0,YEAR(DATE(2024+INT((ROW()-6)/12),MOD(ROW()-6,12)+2,0))-YEAR('سجل الأصول'!$I$6:$I$100)))/100,0))))))</f>
        <v>95000</v>
      </c>
      <c r="F15" s="24">
        <f>SUMPRODUCT(('سجل الأصول'!$D$6:$D$100="تجهيزات")*('سجل الأصول'!$N$6:$N$100&lt;&gt;"مهلك")*('سجل الأصول'!$E$6:$E$100-IF('سجل الأصول'!$I$6:$I$100&gt;DATE(2024+INT((ROW()-6)/12),MOD(ROW()-6,12)+2,0),0,IF('سجل الأصول'!$K$6:$K$100="القسط الثابت",'سجل الأصول'!$G$6:$G$100*MIN(MAX(0,(YEAR(DATE(2024+INT((ROW()-6)/12),MOD(ROW()-6,12)+2,0))-YEAR('سجل الأصول'!$I$6:$I$100))*12+MONTH(DATE(2024+INT((ROW()-6)/12),MOD(ROW()-6,12)+2,0))-MONTH('سجل الأصول'!$I$6:$I$100)),'سجل الأصول'!$J$6:$J$100*12)/('سجل الأصول'!$J$6:$J$100*12),IF('سجل الأصول'!$K$6:$K$100="القسط المتناقص",'سجل الأصول'!$E$6:$E$100*(1-(1-'سجل الأصول'!$L$6:$L$100/100)^MIN(MAX(0,YEAR(DATE(2024+INT((ROW()-6)/12),MOD(ROW()-6,12)+2,0))-YEAR('سجل الأصول'!$I$6:$I$100)),'سجل الأصول'!$J$6:$J$100)),IF('سجل الأصول'!$K$6:$K$100="وحدات الإنتاج",'سجل الأصول'!$G$6:$G$100*MIN(100,'سجل الأصول'!$L$6:$L$100*MAX(0,YEAR(DATE(2024+INT((ROW()-6)/12),MOD(ROW()-6,12)+2,0))-YEAR('سجل الأصول'!$I$6:$I$100)))/100,0))))))</f>
        <v>65000</v>
      </c>
      <c r="G15" s="24">
        <f>SUMPRODUCT(('سجل الأصول'!$D$6:$D$100="مركبات")*('سجل الأصول'!$N$6:$N$100&lt;&gt;"مهلك")*('سجل الأصول'!$E$6:$E$100-IF('سجل الأصول'!$I$6:$I$100&gt;DATE(2024+INT((ROW()-6)/12),MOD(ROW()-6,12)+2,0),0,IF('سجل الأصول'!$K$6:$K$100="القسط الثابت",'سجل الأصول'!$G$6:$G$100*MIN(MAX(0,(YEAR(DATE(2024+INT((ROW()-6)/12),MOD(ROW()-6,12)+2,0))-YEAR('سجل الأصول'!$I$6:$I$100))*12+MONTH(DATE(2024+INT((ROW()-6)/12),MOD(ROW()-6,12)+2,0))-MONTH('سجل الأصول'!$I$6:$I$100)),'سجل الأصول'!$J$6:$J$100*12)/('سجل الأصول'!$J$6:$J$100*12),IF('سجل الأصول'!$K$6:$K$100="القسط المتناقص",'سجل الأصول'!$E$6:$E$100*(1-(1-'سجل الأصول'!$L$6:$L$100/100)^MIN(MAX(0,YEAR(DATE(2024+INT((ROW()-6)/12),MOD(ROW()-6,12)+2,0))-YEAR('سجل الأصول'!$I$6:$I$100)),'سجل الأصول'!$J$6:$J$100)),IF('سجل الأصول'!$K$6:$K$100="وحدات الإنتاج",'سجل الأصول'!$G$6:$G$100*MIN(100,'سجل الأصول'!$L$6:$L$100*MAX(0,YEAR(DATE(2024+INT((ROW()-6)/12),MOD(ROW()-6,12)+2,0))-YEAR('سجل الأصول'!$I$6:$I$100)))/100,0))))))</f>
        <v>85000</v>
      </c>
      <c r="H15" s="50">
        <f>SUM(C15:G15)</f>
        <v>431000</v>
      </c>
    </row>
    <row r="16" spans="2:8">
      <c r="B16" s="34" t="s">
        <v>146</v>
      </c>
      <c r="C16" s="17">
        <f>SUMPRODUCT(('سجل الأصول'!$D$6:$D$100="معدات المطبخ")*('سجل الأصول'!$N$6:$N$100&lt;&gt;"مهلك")*('سجل الأصول'!$E$6:$E$100-IF('سجل الأصول'!$I$6:$I$100&gt;DATE(2024+INT((ROW()-6)/12),MOD(ROW()-6,12)+2,0),0,IF('سجل الأصول'!$K$6:$K$100="القسط الثابت",'سجل الأصول'!$G$6:$G$100*MIN(MAX(0,(YEAR(DATE(2024+INT((ROW()-6)/12),MOD(ROW()-6,12)+2,0))-YEAR('سجل الأصول'!$I$6:$I$100))*12+MONTH(DATE(2024+INT((ROW()-6)/12),MOD(ROW()-6,12)+2,0))-MONTH('سجل الأصول'!$I$6:$I$100)),'سجل الأصول'!$J$6:$J$100*12)/('سجل الأصول'!$J$6:$J$100*12),IF('سجل الأصول'!$K$6:$K$100="القسط المتناقص",'سجل الأصول'!$E$6:$E$100*(1-(1-'سجل الأصول'!$L$6:$L$100/100)^MIN(MAX(0,YEAR(DATE(2024+INT((ROW()-6)/12),MOD(ROW()-6,12)+2,0))-YEAR('سجل الأصول'!$I$6:$I$100)),'سجل الأصول'!$J$6:$J$100)),IF('سجل الأصول'!$K$6:$K$100="وحدات الإنتاج",'سجل الأصول'!$G$6:$G$100*MIN(100,'سجل الأصول'!$L$6:$L$100*MAX(0,YEAR(DATE(2024+INT((ROW()-6)/12),MOD(ROW()-6,12)+2,0))-YEAR('سجل الأصول'!$I$6:$I$100)))/100,0))))))</f>
        <v>149388.88888888891</v>
      </c>
      <c r="D16" s="17">
        <f>SUMPRODUCT(('سجل الأصول'!$D$6:$D$100="أنظمة تقنية")*('سجل الأصول'!$N$6:$N$100&lt;&gt;"مهلك")*('سجل الأصول'!$E$6:$E$100-IF('سجل الأصول'!$I$6:$I$100&gt;DATE(2024+INT((ROW()-6)/12),MOD(ROW()-6,12)+2,0),0,IF('سجل الأصول'!$K$6:$K$100="القسط الثابت",'سجل الأصول'!$G$6:$G$100*MIN(MAX(0,(YEAR(DATE(2024+INT((ROW()-6)/12),MOD(ROW()-6,12)+2,0))-YEAR('سجل الأصول'!$I$6:$I$100))*12+MONTH(DATE(2024+INT((ROW()-6)/12),MOD(ROW()-6,12)+2,0))-MONTH('سجل الأصول'!$I$6:$I$100)),'سجل الأصول'!$J$6:$J$100*12)/('سجل الأصول'!$J$6:$J$100*12),IF('سجل الأصول'!$K$6:$K$100="القسط المتناقص",'سجل الأصول'!$E$6:$E$100*(1-(1-'سجل الأصول'!$L$6:$L$100/100)^MIN(MAX(0,YEAR(DATE(2024+INT((ROW()-6)/12),MOD(ROW()-6,12)+2,0))-YEAR('سجل الأصول'!$I$6:$I$100)),'سجل الأصول'!$J$6:$J$100)),IF('سجل الأصول'!$K$6:$K$100="وحدات الإنتاج",'سجل الأصول'!$G$6:$G$100*MIN(100,'سجل الأصول'!$L$6:$L$100*MAX(0,YEAR(DATE(2024+INT((ROW()-6)/12),MOD(ROW()-6,12)+2,0))-YEAR('سجل الأصول'!$I$6:$I$100)))/100,0))))))</f>
        <v>17555.555555555555</v>
      </c>
      <c r="E16" s="17">
        <f>SUMPRODUCT(('سجل الأصول'!$D$6:$D$100="أثاث وديكور")*('سجل الأصول'!$N$6:$N$100&lt;&gt;"مهلك")*('سجل الأصول'!$E$6:$E$100-IF('سجل الأصول'!$I$6:$I$100&gt;DATE(2024+INT((ROW()-6)/12),MOD(ROW()-6,12)+2,0),0,IF('سجل الأصول'!$K$6:$K$100="القسط الثابت",'سجل الأصول'!$G$6:$G$100*MIN(MAX(0,(YEAR(DATE(2024+INT((ROW()-6)/12),MOD(ROW()-6,12)+2,0))-YEAR('سجل الأصول'!$I$6:$I$100))*12+MONTH(DATE(2024+INT((ROW()-6)/12),MOD(ROW()-6,12)+2,0))-MONTH('سجل الأصول'!$I$6:$I$100)),'سجل الأصول'!$J$6:$J$100*12)/('سجل الأصول'!$J$6:$J$100*12),IF('سجل الأصول'!$K$6:$K$100="القسط المتناقص",'سجل الأصول'!$E$6:$E$100*(1-(1-'سجل الأصول'!$L$6:$L$100/100)^MIN(MAX(0,YEAR(DATE(2024+INT((ROW()-6)/12),MOD(ROW()-6,12)+2,0))-YEAR('سجل الأصول'!$I$6:$I$100)),'سجل الأصول'!$J$6:$J$100)),IF('سجل الأصول'!$K$6:$K$100="وحدات الإنتاج",'سجل الأصول'!$G$6:$G$100*MIN(100,'سجل الأصول'!$L$6:$L$100*MAX(0,YEAR(DATE(2024+INT((ROW()-6)/12),MOD(ROW()-6,12)+2,0))-YEAR('سجل الأصول'!$I$6:$I$100)))/100,0))))))</f>
        <v>86833.333333333343</v>
      </c>
      <c r="F16" s="17">
        <f>SUMPRODUCT(('سجل الأصول'!$D$6:$D$100="تجهيزات")*('سجل الأصول'!$N$6:$N$100&lt;&gt;"مهلك")*('سجل الأصول'!$E$6:$E$100-IF('سجل الأصول'!$I$6:$I$100&gt;DATE(2024+INT((ROW()-6)/12),MOD(ROW()-6,12)+2,0),0,IF('سجل الأصول'!$K$6:$K$100="القسط الثابت",'سجل الأصول'!$G$6:$G$100*MIN(MAX(0,(YEAR(DATE(2024+INT((ROW()-6)/12),MOD(ROW()-6,12)+2,0))-YEAR('سجل الأصول'!$I$6:$I$100))*12+MONTH(DATE(2024+INT((ROW()-6)/12),MOD(ROW()-6,12)+2,0))-MONTH('سجل الأصول'!$I$6:$I$100)),'سجل الأصول'!$J$6:$J$100*12)/('سجل الأصول'!$J$6:$J$100*12),IF('سجل الأصول'!$K$6:$K$100="القسط المتناقص",'سجل الأصول'!$E$6:$E$100*(1-(1-'سجل الأصول'!$L$6:$L$100/100)^MIN(MAX(0,YEAR(DATE(2024+INT((ROW()-6)/12),MOD(ROW()-6,12)+2,0))-YEAR('سجل الأصول'!$I$6:$I$100)),'سجل الأصول'!$J$6:$J$100)),IF('سجل الأصول'!$K$6:$K$100="وحدات الإنتاج",'سجل الأصول'!$G$6:$G$100*MIN(100,'سجل الأصول'!$L$6:$L$100*MAX(0,YEAR(DATE(2024+INT((ROW()-6)/12),MOD(ROW()-6,12)+2,0))-YEAR('سجل الأصول'!$I$6:$I$100)))/100,0))))))</f>
        <v>62277.777777777781</v>
      </c>
      <c r="G16" s="17">
        <f>SUMPRODUCT(('سجل الأصول'!$D$6:$D$100="مركبات")*('سجل الأصول'!$N$6:$N$100&lt;&gt;"مهلك")*('سجل الأصول'!$E$6:$E$100-IF('سجل الأصول'!$I$6:$I$100&gt;DATE(2024+INT((ROW()-6)/12),MOD(ROW()-6,12)+2,0),0,IF('سجل الأصول'!$K$6:$K$100="القسط الثابت",'سجل الأصول'!$G$6:$G$100*MIN(MAX(0,(YEAR(DATE(2024+INT((ROW()-6)/12),MOD(ROW()-6,12)+2,0))-YEAR('سجل الأصول'!$I$6:$I$100))*12+MONTH(DATE(2024+INT((ROW()-6)/12),MOD(ROW()-6,12)+2,0))-MONTH('سجل الأصول'!$I$6:$I$100)),'سجل الأصول'!$J$6:$J$100*12)/('سجل الأصول'!$J$6:$J$100*12),IF('سجل الأصول'!$K$6:$K$100="القسط المتناقص",'سجل الأصول'!$E$6:$E$100*(1-(1-'سجل الأصول'!$L$6:$L$100/100)^MIN(MAX(0,YEAR(DATE(2024+INT((ROW()-6)/12),MOD(ROW()-6,12)+2,0))-YEAR('سجل الأصول'!$I$6:$I$100)),'سجل الأصول'!$J$6:$J$100)),IF('سجل الأصول'!$K$6:$K$100="وحدات الإنتاج",'سجل الأصول'!$G$6:$G$100*MIN(100,'سجل الأصول'!$L$6:$L$100*MAX(0,YEAR(DATE(2024+INT((ROW()-6)/12),MOD(ROW()-6,12)+2,0))-YEAR('سجل الأصول'!$I$6:$I$100)))/100,0))))))</f>
        <v>82277.777777777781</v>
      </c>
      <c r="H16" s="50">
        <f>SUM(C16:G16)</f>
        <v>398333.33333333337</v>
      </c>
    </row>
    <row r="17" spans="2:8">
      <c r="B17" s="34" t="s">
        <v>147</v>
      </c>
      <c r="C17" s="24">
        <f>SUMPRODUCT(('سجل الأصول'!$D$6:$D$100="معدات المطبخ")*('سجل الأصول'!$N$6:$N$100&lt;&gt;"مهلك")*('سجل الأصول'!$E$6:$E$100-IF('سجل الأصول'!$I$6:$I$100&gt;DATE(2024+INT((ROW()-6)/12),MOD(ROW()-6,12)+2,0),0,IF('سجل الأصول'!$K$6:$K$100="القسط الثابت",'سجل الأصول'!$G$6:$G$100*MIN(MAX(0,(YEAR(DATE(2024+INT((ROW()-6)/12),MOD(ROW()-6,12)+2,0))-YEAR('سجل الأصول'!$I$6:$I$100))*12+MONTH(DATE(2024+INT((ROW()-6)/12),MOD(ROW()-6,12)+2,0))-MONTH('سجل الأصول'!$I$6:$I$100)),'سجل الأصول'!$J$6:$J$100*12)/('سجل الأصول'!$J$6:$J$100*12),IF('سجل الأصول'!$K$6:$K$100="القسط المتناقص",'سجل الأصول'!$E$6:$E$100*(1-(1-'سجل الأصول'!$L$6:$L$100/100)^MIN(MAX(0,YEAR(DATE(2024+INT((ROW()-6)/12),MOD(ROW()-6,12)+2,0))-YEAR('سجل الأصول'!$I$6:$I$100)),'سجل الأصول'!$J$6:$J$100)),IF('سجل الأصول'!$K$6:$K$100="وحدات الإنتاج",'سجل الأصول'!$G$6:$G$100*MIN(100,'سجل الأصول'!$L$6:$L$100*MAX(0,YEAR(DATE(2024+INT((ROW()-6)/12),MOD(ROW()-6,12)+2,0))-YEAR('سجل الأصول'!$I$6:$I$100)))/100,0))))))</f>
        <v>155619.04761904763</v>
      </c>
      <c r="D17" s="24">
        <f>SUMPRODUCT(('سجل الأصول'!$D$6:$D$100="أنظمة تقنية")*('سجل الأصول'!$N$6:$N$100&lt;&gt;"مهلك")*('سجل الأصول'!$E$6:$E$100-IF('سجل الأصول'!$I$6:$I$100&gt;DATE(2024+INT((ROW()-6)/12),MOD(ROW()-6,12)+2,0),0,IF('سجل الأصول'!$K$6:$K$100="القسط الثابت",'سجل الأصول'!$G$6:$G$100*MIN(MAX(0,(YEAR(DATE(2024+INT((ROW()-6)/12),MOD(ROW()-6,12)+2,0))-YEAR('سجل الأصول'!$I$6:$I$100))*12+MONTH(DATE(2024+INT((ROW()-6)/12),MOD(ROW()-6,12)+2,0))-MONTH('سجل الأصول'!$I$6:$I$100)),'سجل الأصول'!$J$6:$J$100*12)/('سجل الأصول'!$J$6:$J$100*12),IF('سجل الأصول'!$K$6:$K$100="القسط المتناقص",'سجل الأصول'!$E$6:$E$100*(1-(1-'سجل الأصول'!$L$6:$L$100/100)^MIN(MAX(0,YEAR(DATE(2024+INT((ROW()-6)/12),MOD(ROW()-6,12)+2,0))-YEAR('سجل الأصول'!$I$6:$I$100)),'سجل الأصول'!$J$6:$J$100)),IF('سجل الأصول'!$K$6:$K$100="وحدات الإنتاج",'سجل الأصول'!$G$6:$G$100*MIN(100,'سجل الأصول'!$L$6:$L$100*MAX(0,YEAR(DATE(2024+INT((ROW()-6)/12),MOD(ROW()-6,12)+2,0))-YEAR('سجل الأصول'!$I$6:$I$100)))/100,0))))))</f>
        <v>20047.619047619046</v>
      </c>
      <c r="E17" s="24">
        <f>SUMPRODUCT(('سجل الأصول'!$D$6:$D$100="أثاث وديكور")*('سجل الأصول'!$N$6:$N$100&lt;&gt;"مهلك")*('سجل الأصول'!$E$6:$E$100-IF('سجل الأصول'!$I$6:$I$100&gt;DATE(2024+INT((ROW()-6)/12),MOD(ROW()-6,12)+2,0),0,IF('سجل الأصول'!$K$6:$K$100="القسط الثابت",'سجل الأصول'!$G$6:$G$100*MIN(MAX(0,(YEAR(DATE(2024+INT((ROW()-6)/12),MOD(ROW()-6,12)+2,0))-YEAR('سجل الأصول'!$I$6:$I$100))*12+MONTH(DATE(2024+INT((ROW()-6)/12),MOD(ROW()-6,12)+2,0))-MONTH('سجل الأصول'!$I$6:$I$100)),'سجل الأصول'!$J$6:$J$100*12)/('سجل الأصول'!$J$6:$J$100*12),IF('سجل الأصول'!$K$6:$K$100="القسط المتناقص",'سجل الأصول'!$E$6:$E$100*(1-(1-'سجل الأصول'!$L$6:$L$100/100)^MIN(MAX(0,YEAR(DATE(2024+INT((ROW()-6)/12),MOD(ROW()-6,12)+2,0))-YEAR('سجل الأصول'!$I$6:$I$100)),'سجل الأصول'!$J$6:$J$100)),IF('سجل الأصول'!$K$6:$K$100="وحدات الإنتاج",'سجل الأصول'!$G$6:$G$100*MIN(100,'سجل الأصول'!$L$6:$L$100*MAX(0,YEAR(DATE(2024+INT((ROW()-6)/12),MOD(ROW()-6,12)+2,0))-YEAR('سجل الأصول'!$I$6:$I$100)))/100,0))))))</f>
        <v>90571.42857142858</v>
      </c>
      <c r="F17" s="24">
        <f>SUMPRODUCT(('سجل الأصول'!$D$6:$D$100="تجهيزات")*('سجل الأصول'!$N$6:$N$100&lt;&gt;"مهلك")*('سجل الأصول'!$E$6:$E$100-IF('سجل الأصول'!$I$6:$I$100&gt;DATE(2024+INT((ROW()-6)/12),MOD(ROW()-6,12)+2,0),0,IF('سجل الأصول'!$K$6:$K$100="القسط الثابت",'سجل الأصول'!$G$6:$G$100*MIN(MAX(0,(YEAR(DATE(2024+INT((ROW()-6)/12),MOD(ROW()-6,12)+2,0))-YEAR('سجل الأصول'!$I$6:$I$100))*12+MONTH(DATE(2024+INT((ROW()-6)/12),MOD(ROW()-6,12)+2,0))-MONTH('سجل الأصول'!$I$6:$I$100)),'سجل الأصول'!$J$6:$J$100*12)/('سجل الأصول'!$J$6:$J$100*12),IF('سجل الأصول'!$K$6:$K$100="القسط المتناقص",'سجل الأصول'!$E$6:$E$100*(1-(1-'سجل الأصول'!$L$6:$L$100/100)^MIN(MAX(0,YEAR(DATE(2024+INT((ROW()-6)/12),MOD(ROW()-6,12)+2,0))-YEAR('سجل الأصول'!$I$6:$I$100)),'سجل الأصول'!$J$6:$J$100)),IF('سجل الأصول'!$K$6:$K$100="وحدات الإنتاج",'سجل الأصول'!$G$6:$G$100*MIN(100,'سجل الأصول'!$L$6:$L$100*MAX(0,YEAR(DATE(2024+INT((ROW()-6)/12),MOD(ROW()-6,12)+2,0))-YEAR('سجل الأصول'!$I$6:$I$100)))/100,0))))))</f>
        <v>63523.809523809527</v>
      </c>
      <c r="G17" s="24">
        <f>SUMPRODUCT(('سجل الأصول'!$D$6:$D$100="مركبات")*('سجل الأصول'!$N$6:$N$100&lt;&gt;"مهلك")*('سجل الأصول'!$E$6:$E$100-IF('سجل الأصول'!$I$6:$I$100&gt;DATE(2024+INT((ROW()-6)/12),MOD(ROW()-6,12)+2,0),0,IF('سجل الأصول'!$K$6:$K$100="القسط الثابت",'سجل الأصول'!$G$6:$G$100*MIN(MAX(0,(YEAR(DATE(2024+INT((ROW()-6)/12),MOD(ROW()-6,12)+2,0))-YEAR('سجل الأصول'!$I$6:$I$100))*12+MONTH(DATE(2024+INT((ROW()-6)/12),MOD(ROW()-6,12)+2,0))-MONTH('سجل الأصول'!$I$6:$I$100)),'سجل الأصول'!$J$6:$J$100*12)/('سجل الأصول'!$J$6:$J$100*12),IF('سجل الأصول'!$K$6:$K$100="القسط المتناقص",'سجل الأصول'!$E$6:$E$100*(1-(1-'سجل الأصول'!$L$6:$L$100/100)^MIN(MAX(0,YEAR(DATE(2024+INT((ROW()-6)/12),MOD(ROW()-6,12)+2,0))-YEAR('سجل الأصول'!$I$6:$I$100)),'سجل الأصول'!$J$6:$J$100)),IF('سجل الأصول'!$K$6:$K$100="وحدات الإنتاج",'سجل الأصول'!$G$6:$G$100*MIN(100,'سجل الأصول'!$L$6:$L$100*MAX(0,YEAR(DATE(2024+INT((ROW()-6)/12),MOD(ROW()-6,12)+2,0))-YEAR('سجل الأصول'!$I$6:$I$100)))/100,0))))))</f>
        <v>83523.809523809527</v>
      </c>
      <c r="H17" s="50">
        <f>SUM(C17:G17)</f>
        <v>413285.71428571432</v>
      </c>
    </row>
    <row r="18" spans="2:8">
      <c r="B18" s="34" t="s">
        <v>148</v>
      </c>
      <c r="C18" s="17">
        <f>SUMPRODUCT(('سجل الأصول'!$D$6:$D$100="معدات المطبخ")*('سجل الأصول'!$N$6:$N$100&lt;&gt;"مهلك")*('سجل الأصول'!$E$6:$E$100-IF('سجل الأصول'!$I$6:$I$100&gt;DATE(2024+INT((ROW()-6)/12),MOD(ROW()-6,12)+2,0),0,IF('سجل الأصول'!$K$6:$K$100="القسط الثابت",'سجل الأصول'!$G$6:$G$100*MIN(MAX(0,(YEAR(DATE(2024+INT((ROW()-6)/12),MOD(ROW()-6,12)+2,0))-YEAR('سجل الأصول'!$I$6:$I$100))*12+MONTH(DATE(2024+INT((ROW()-6)/12),MOD(ROW()-6,12)+2,0))-MONTH('سجل الأصول'!$I$6:$I$100)),'سجل الأصول'!$J$6:$J$100*12)/('سجل الأصول'!$J$6:$J$100*12),IF('سجل الأصول'!$K$6:$K$100="القسط المتناقص",'سجل الأصول'!$E$6:$E$100*(1-(1-'سجل الأصول'!$L$6:$L$100/100)^MIN(MAX(0,YEAR(DATE(2024+INT((ROW()-6)/12),MOD(ROW()-6,12)+2,0))-YEAR('سجل الأصول'!$I$6:$I$100)),'سجل الأصول'!$J$6:$J$100)),IF('سجل الأصول'!$K$6:$K$100="وحدات الإنتاج",'سجل الأصول'!$G$6:$G$100*MIN(100,'سجل الأصول'!$L$6:$L$100*MAX(0,YEAR(DATE(2024+INT((ROW()-6)/12),MOD(ROW()-6,12)+2,0))-YEAR('سجل الأصول'!$I$6:$I$100)))/100,0))))))</f>
        <v>163000</v>
      </c>
      <c r="D18" s="17">
        <f>SUMPRODUCT(('سجل الأصول'!$D$6:$D$100="أنظمة تقنية")*('سجل الأصول'!$N$6:$N$100&lt;&gt;"مهلك")*('سجل الأصول'!$E$6:$E$100-IF('سجل الأصول'!$I$6:$I$100&gt;DATE(2024+INT((ROW()-6)/12),MOD(ROW()-6,12)+2,0),0,IF('سجل الأصول'!$K$6:$K$100="القسط الثابت",'سجل الأصول'!$G$6:$G$100*MIN(MAX(0,(YEAR(DATE(2024+INT((ROW()-6)/12),MOD(ROW()-6,12)+2,0))-YEAR('سجل الأصول'!$I$6:$I$100))*12+MONTH(DATE(2024+INT((ROW()-6)/12),MOD(ROW()-6,12)+2,0))-MONTH('سجل الأصول'!$I$6:$I$100)),'سجل الأصول'!$J$6:$J$100*12)/('سجل الأصول'!$J$6:$J$100*12),IF('سجل الأصول'!$K$6:$K$100="القسط المتناقص",'سجل الأصول'!$E$6:$E$100*(1-(1-'سجل الأصول'!$L$6:$L$100/100)^MIN(MAX(0,YEAR(DATE(2024+INT((ROW()-6)/12),MOD(ROW()-6,12)+2,0))-YEAR('سجل الأصول'!$I$6:$I$100)),'سجل الأصول'!$J$6:$J$100)),IF('سجل الأصول'!$K$6:$K$100="وحدات الإنتاج",'سجل الأصول'!$G$6:$G$100*MIN(100,'سجل الأصول'!$L$6:$L$100*MAX(0,YEAR(DATE(2024+INT((ROW()-6)/12),MOD(ROW()-6,12)+2,0))-YEAR('سجل الأصول'!$I$6:$I$100)))/100,0))))))</f>
        <v>23000</v>
      </c>
      <c r="E18" s="17">
        <f>SUMPRODUCT(('سجل الأصول'!$D$6:$D$100="أثاث وديكور")*('سجل الأصول'!$N$6:$N$100&lt;&gt;"مهلك")*('سجل الأصول'!$E$6:$E$100-IF('سجل الأصول'!$I$6:$I$100&gt;DATE(2024+INT((ROW()-6)/12),MOD(ROW()-6,12)+2,0),0,IF('سجل الأصول'!$K$6:$K$100="القسط الثابت",'سجل الأصول'!$G$6:$G$100*MIN(MAX(0,(YEAR(DATE(2024+INT((ROW()-6)/12),MOD(ROW()-6,12)+2,0))-YEAR('سجل الأصول'!$I$6:$I$100))*12+MONTH(DATE(2024+INT((ROW()-6)/12),MOD(ROW()-6,12)+2,0))-MONTH('سجل الأصول'!$I$6:$I$100)),'سجل الأصول'!$J$6:$J$100*12)/('سجل الأصول'!$J$6:$J$100*12),IF('سجل الأصول'!$K$6:$K$100="القسط المتناقص",'سجل الأصول'!$E$6:$E$100*(1-(1-'سجل الأصول'!$L$6:$L$100/100)^MIN(MAX(0,YEAR(DATE(2024+INT((ROW()-6)/12),MOD(ROW()-6,12)+2,0))-YEAR('سجل الأصول'!$I$6:$I$100)),'سجل الأصول'!$J$6:$J$100)),IF('سجل الأصول'!$K$6:$K$100="وحدات الإنتاج",'سجل الأصول'!$G$6:$G$100*MIN(100,'سجل الأصول'!$L$6:$L$100*MAX(0,YEAR(DATE(2024+INT((ROW()-6)/12),MOD(ROW()-6,12)+2,0))-YEAR('سجل الأصول'!$I$6:$I$100)))/100,0))))))</f>
        <v>95000</v>
      </c>
      <c r="F18" s="17">
        <f>SUMPRODUCT(('سجل الأصول'!$D$6:$D$100="تجهيزات")*('سجل الأصول'!$N$6:$N$100&lt;&gt;"مهلك")*('سجل الأصول'!$E$6:$E$100-IF('سجل الأصول'!$I$6:$I$100&gt;DATE(2024+INT((ROW()-6)/12),MOD(ROW()-6,12)+2,0),0,IF('سجل الأصول'!$K$6:$K$100="القسط الثابت",'سجل الأصول'!$G$6:$G$100*MIN(MAX(0,(YEAR(DATE(2024+INT((ROW()-6)/12),MOD(ROW()-6,12)+2,0))-YEAR('سجل الأصول'!$I$6:$I$100))*12+MONTH(DATE(2024+INT((ROW()-6)/12),MOD(ROW()-6,12)+2,0))-MONTH('سجل الأصول'!$I$6:$I$100)),'سجل الأصول'!$J$6:$J$100*12)/('سجل الأصول'!$J$6:$J$100*12),IF('سجل الأصول'!$K$6:$K$100="القسط المتناقص",'سجل الأصول'!$E$6:$E$100*(1-(1-'سجل الأصول'!$L$6:$L$100/100)^MIN(MAX(0,YEAR(DATE(2024+INT((ROW()-6)/12),MOD(ROW()-6,12)+2,0))-YEAR('سجل الأصول'!$I$6:$I$100)),'سجل الأصول'!$J$6:$J$100)),IF('سجل الأصول'!$K$6:$K$100="وحدات الإنتاج",'سجل الأصول'!$G$6:$G$100*MIN(100,'سجل الأصول'!$L$6:$L$100*MAX(0,YEAR(DATE(2024+INT((ROW()-6)/12),MOD(ROW()-6,12)+2,0))-YEAR('سجل الأصول'!$I$6:$I$100)))/100,0))))))</f>
        <v>65000</v>
      </c>
      <c r="G18" s="17">
        <f>SUMPRODUCT(('سجل الأصول'!$D$6:$D$100="مركبات")*('سجل الأصول'!$N$6:$N$100&lt;&gt;"مهلك")*('سجل الأصول'!$E$6:$E$100-IF('سجل الأصول'!$I$6:$I$100&gt;DATE(2024+INT((ROW()-6)/12),MOD(ROW()-6,12)+2,0),0,IF('سجل الأصول'!$K$6:$K$100="القسط الثابت",'سجل الأصول'!$G$6:$G$100*MIN(MAX(0,(YEAR(DATE(2024+INT((ROW()-6)/12),MOD(ROW()-6,12)+2,0))-YEAR('سجل الأصول'!$I$6:$I$100))*12+MONTH(DATE(2024+INT((ROW()-6)/12),MOD(ROW()-6,12)+2,0))-MONTH('سجل الأصول'!$I$6:$I$100)),'سجل الأصول'!$J$6:$J$100*12)/('سجل الأصول'!$J$6:$J$100*12),IF('سجل الأصول'!$K$6:$K$100="القسط المتناقص",'سجل الأصول'!$E$6:$E$100*(1-(1-'سجل الأصول'!$L$6:$L$100/100)^MIN(MAX(0,YEAR(DATE(2024+INT((ROW()-6)/12),MOD(ROW()-6,12)+2,0))-YEAR('سجل الأصول'!$I$6:$I$100)),'سجل الأصول'!$J$6:$J$100)),IF('سجل الأصول'!$K$6:$K$100="وحدات الإنتاج",'سجل الأصول'!$G$6:$G$100*MIN(100,'سجل الأصول'!$L$6:$L$100*MAX(0,YEAR(DATE(2024+INT((ROW()-6)/12),MOD(ROW()-6,12)+2,0))-YEAR('سجل الأصول'!$I$6:$I$100)))/100,0))))))</f>
        <v>85000</v>
      </c>
      <c r="H18" s="50">
        <f>SUM(C18:G18)</f>
        <v>431000</v>
      </c>
    </row>
    <row r="19" spans="2:8">
      <c r="B19" s="34" t="s">
        <v>149</v>
      </c>
      <c r="C19" s="24">
        <f>SUMPRODUCT(('سجل الأصول'!$D$6:$D$100="معدات المطبخ")*('سجل الأصول'!$N$6:$N$100&lt;&gt;"مهلك")*('سجل الأصول'!$E$6:$E$100-IF('سجل الأصول'!$I$6:$I$100&gt;DATE(2024+INT((ROW()-6)/12),MOD(ROW()-6,12)+2,0),0,IF('سجل الأصول'!$K$6:$K$100="القسط الثابت",'سجل الأصول'!$G$6:$G$100*MIN(MAX(0,(YEAR(DATE(2024+INT((ROW()-6)/12),MOD(ROW()-6,12)+2,0))-YEAR('سجل الأصول'!$I$6:$I$100))*12+MONTH(DATE(2024+INT((ROW()-6)/12),MOD(ROW()-6,12)+2,0))-MONTH('سجل الأصول'!$I$6:$I$100)),'سجل الأصول'!$J$6:$J$100*12)/('سجل الأصول'!$J$6:$J$100*12),IF('سجل الأصول'!$K$6:$K$100="القسط المتناقص",'سجل الأصول'!$E$6:$E$100*(1-(1-'سجل الأصول'!$L$6:$L$100/100)^MIN(MAX(0,YEAR(DATE(2024+INT((ROW()-6)/12),MOD(ROW()-6,12)+2,0))-YEAR('سجل الأصول'!$I$6:$I$100)),'سجل الأصول'!$J$6:$J$100)),IF('سجل الأصول'!$K$6:$K$100="وحدات الإنتاج",'سجل الأصول'!$G$6:$G$100*MIN(100,'سجل الأصول'!$L$6:$L$100*MAX(0,YEAR(DATE(2024+INT((ROW()-6)/12),MOD(ROW()-6,12)+2,0))-YEAR('سجل الأصول'!$I$6:$I$100)))/100,0))))))</f>
        <v>163000</v>
      </c>
      <c r="D19" s="24">
        <f>SUMPRODUCT(('سجل الأصول'!$D$6:$D$100="أنظمة تقنية")*('سجل الأصول'!$N$6:$N$100&lt;&gt;"مهلك")*('سجل الأصول'!$E$6:$E$100-IF('سجل الأصول'!$I$6:$I$100&gt;DATE(2024+INT((ROW()-6)/12),MOD(ROW()-6,12)+2,0),0,IF('سجل الأصول'!$K$6:$K$100="القسط الثابت",'سجل الأصول'!$G$6:$G$100*MIN(MAX(0,(YEAR(DATE(2024+INT((ROW()-6)/12),MOD(ROW()-6,12)+2,0))-YEAR('سجل الأصول'!$I$6:$I$100))*12+MONTH(DATE(2024+INT((ROW()-6)/12),MOD(ROW()-6,12)+2,0))-MONTH('سجل الأصول'!$I$6:$I$100)),'سجل الأصول'!$J$6:$J$100*12)/('سجل الأصول'!$J$6:$J$100*12),IF('سجل الأصول'!$K$6:$K$100="القسط المتناقص",'سجل الأصول'!$E$6:$E$100*(1-(1-'سجل الأصول'!$L$6:$L$100/100)^MIN(MAX(0,YEAR(DATE(2024+INT((ROW()-6)/12),MOD(ROW()-6,12)+2,0))-YEAR('سجل الأصول'!$I$6:$I$100)),'سجل الأصول'!$J$6:$J$100)),IF('سجل الأصول'!$K$6:$K$100="وحدات الإنتاج",'سجل الأصول'!$G$6:$G$100*MIN(100,'سجل الأصول'!$L$6:$L$100*MAX(0,YEAR(DATE(2024+INT((ROW()-6)/12),MOD(ROW()-6,12)+2,0))-YEAR('سجل الأصول'!$I$6:$I$100)))/100,0))))))</f>
        <v>23000</v>
      </c>
      <c r="E19" s="24">
        <f>SUMPRODUCT(('سجل الأصول'!$D$6:$D$100="أثاث وديكور")*('سجل الأصول'!$N$6:$N$100&lt;&gt;"مهلك")*('سجل الأصول'!$E$6:$E$100-IF('سجل الأصول'!$I$6:$I$100&gt;DATE(2024+INT((ROW()-6)/12),MOD(ROW()-6,12)+2,0),0,IF('سجل الأصول'!$K$6:$K$100="القسط الثابت",'سجل الأصول'!$G$6:$G$100*MIN(MAX(0,(YEAR(DATE(2024+INT((ROW()-6)/12),MOD(ROW()-6,12)+2,0))-YEAR('سجل الأصول'!$I$6:$I$100))*12+MONTH(DATE(2024+INT((ROW()-6)/12),MOD(ROW()-6,12)+2,0))-MONTH('سجل الأصول'!$I$6:$I$100)),'سجل الأصول'!$J$6:$J$100*12)/('سجل الأصول'!$J$6:$J$100*12),IF('سجل الأصول'!$K$6:$K$100="القسط المتناقص",'سجل الأصول'!$E$6:$E$100*(1-(1-'سجل الأصول'!$L$6:$L$100/100)^MIN(MAX(0,YEAR(DATE(2024+INT((ROW()-6)/12),MOD(ROW()-6,12)+2,0))-YEAR('سجل الأصول'!$I$6:$I$100)),'سجل الأصول'!$J$6:$J$100)),IF('سجل الأصول'!$K$6:$K$100="وحدات الإنتاج",'سجل الأصول'!$G$6:$G$100*MIN(100,'سجل الأصول'!$L$6:$L$100*MAX(0,YEAR(DATE(2024+INT((ROW()-6)/12),MOD(ROW()-6,12)+2,0))-YEAR('سجل الأصول'!$I$6:$I$100)))/100,0))))))</f>
        <v>95000</v>
      </c>
      <c r="F19" s="24">
        <f>SUMPRODUCT(('سجل الأصول'!$D$6:$D$100="تجهيزات")*('سجل الأصول'!$N$6:$N$100&lt;&gt;"مهلك")*('سجل الأصول'!$E$6:$E$100-IF('سجل الأصول'!$I$6:$I$100&gt;DATE(2024+INT((ROW()-6)/12),MOD(ROW()-6,12)+2,0),0,IF('سجل الأصول'!$K$6:$K$100="القسط الثابت",'سجل الأصول'!$G$6:$G$100*MIN(MAX(0,(YEAR(DATE(2024+INT((ROW()-6)/12),MOD(ROW()-6,12)+2,0))-YEAR('سجل الأصول'!$I$6:$I$100))*12+MONTH(DATE(2024+INT((ROW()-6)/12),MOD(ROW()-6,12)+2,0))-MONTH('سجل الأصول'!$I$6:$I$100)),'سجل الأصول'!$J$6:$J$100*12)/('سجل الأصول'!$J$6:$J$100*12),IF('سجل الأصول'!$K$6:$K$100="القسط المتناقص",'سجل الأصول'!$E$6:$E$100*(1-(1-'سجل الأصول'!$L$6:$L$100/100)^MIN(MAX(0,YEAR(DATE(2024+INT((ROW()-6)/12),MOD(ROW()-6,12)+2,0))-YEAR('سجل الأصول'!$I$6:$I$100)),'سجل الأصول'!$J$6:$J$100)),IF('سجل الأصول'!$K$6:$K$100="وحدات الإنتاج",'سجل الأصول'!$G$6:$G$100*MIN(100,'سجل الأصول'!$L$6:$L$100*MAX(0,YEAR(DATE(2024+INT((ROW()-6)/12),MOD(ROW()-6,12)+2,0))-YEAR('سجل الأصول'!$I$6:$I$100)))/100,0))))))</f>
        <v>65000</v>
      </c>
      <c r="G19" s="24">
        <f>SUMPRODUCT(('سجل الأصول'!$D$6:$D$100="مركبات")*('سجل الأصول'!$N$6:$N$100&lt;&gt;"مهلك")*('سجل الأصول'!$E$6:$E$100-IF('سجل الأصول'!$I$6:$I$100&gt;DATE(2024+INT((ROW()-6)/12),MOD(ROW()-6,12)+2,0),0,IF('سجل الأصول'!$K$6:$K$100="القسط الثابت",'سجل الأصول'!$G$6:$G$100*MIN(MAX(0,(YEAR(DATE(2024+INT((ROW()-6)/12),MOD(ROW()-6,12)+2,0))-YEAR('سجل الأصول'!$I$6:$I$100))*12+MONTH(DATE(2024+INT((ROW()-6)/12),MOD(ROW()-6,12)+2,0))-MONTH('سجل الأصول'!$I$6:$I$100)),'سجل الأصول'!$J$6:$J$100*12)/('سجل الأصول'!$J$6:$J$100*12),IF('سجل الأصول'!$K$6:$K$100="القسط المتناقص",'سجل الأصول'!$E$6:$E$100*(1-(1-'سجل الأصول'!$L$6:$L$100/100)^MIN(MAX(0,YEAR(DATE(2024+INT((ROW()-6)/12),MOD(ROW()-6,12)+2,0))-YEAR('سجل الأصول'!$I$6:$I$100)),'سجل الأصول'!$J$6:$J$100)),IF('سجل الأصول'!$K$6:$K$100="وحدات الإنتاج",'سجل الأصول'!$G$6:$G$100*MIN(100,'سجل الأصول'!$L$6:$L$100*MAX(0,YEAR(DATE(2024+INT((ROW()-6)/12),MOD(ROW()-6,12)+2,0))-YEAR('سجل الأصول'!$I$6:$I$100)))/100,0))))))</f>
        <v>85000</v>
      </c>
      <c r="H19" s="50">
        <f>SUM(C19:G19)</f>
        <v>431000</v>
      </c>
    </row>
    <row r="20" spans="2:8">
      <c r="B20" s="34" t="s">
        <v>150</v>
      </c>
      <c r="C20" s="17">
        <f>SUMPRODUCT(('سجل الأصول'!$D$6:$D$100="معدات المطبخ")*('سجل الأصول'!$N$6:$N$100&lt;&gt;"مهلك")*('سجل الأصول'!$E$6:$E$100-IF('سجل الأصول'!$I$6:$I$100&gt;DATE(2024+INT((ROW()-6)/12),MOD(ROW()-6,12)+2,0),0,IF('سجل الأصول'!$K$6:$K$100="القسط الثابت",'سجل الأصول'!$G$6:$G$100*MIN(MAX(0,(YEAR(DATE(2024+INT((ROW()-6)/12),MOD(ROW()-6,12)+2,0))-YEAR('سجل الأصول'!$I$6:$I$100))*12+MONTH(DATE(2024+INT((ROW()-6)/12),MOD(ROW()-6,12)+2,0))-MONTH('سجل الأصول'!$I$6:$I$100)),'سجل الأصول'!$J$6:$J$100*12)/('سجل الأصول'!$J$6:$J$100*12),IF('سجل الأصول'!$K$6:$K$100="القسط المتناقص",'سجل الأصول'!$E$6:$E$100*(1-(1-'سجل الأصول'!$L$6:$L$100/100)^MIN(MAX(0,YEAR(DATE(2024+INT((ROW()-6)/12),MOD(ROW()-6,12)+2,0))-YEAR('سجل الأصول'!$I$6:$I$100)),'سجل الأصول'!$J$6:$J$100)),IF('سجل الأصول'!$K$6:$K$100="وحدات الإنتاج",'سجل الأصول'!$G$6:$G$100*MIN(100,'سجل الأصول'!$L$6:$L$100*MAX(0,YEAR(DATE(2024+INT((ROW()-6)/12),MOD(ROW()-6,12)+2,0))-YEAR('سجل الأصول'!$I$6:$I$100)))/100,0))))))</f>
        <v>163000</v>
      </c>
      <c r="D20" s="17">
        <f>SUMPRODUCT(('سجل الأصول'!$D$6:$D$100="أنظمة تقنية")*('سجل الأصول'!$N$6:$N$100&lt;&gt;"مهلك")*('سجل الأصول'!$E$6:$E$100-IF('سجل الأصول'!$I$6:$I$100&gt;DATE(2024+INT((ROW()-6)/12),MOD(ROW()-6,12)+2,0),0,IF('سجل الأصول'!$K$6:$K$100="القسط الثابت",'سجل الأصول'!$G$6:$G$100*MIN(MAX(0,(YEAR(DATE(2024+INT((ROW()-6)/12),MOD(ROW()-6,12)+2,0))-YEAR('سجل الأصول'!$I$6:$I$100))*12+MONTH(DATE(2024+INT((ROW()-6)/12),MOD(ROW()-6,12)+2,0))-MONTH('سجل الأصول'!$I$6:$I$100)),'سجل الأصول'!$J$6:$J$100*12)/('سجل الأصول'!$J$6:$J$100*12),IF('سجل الأصول'!$K$6:$K$100="القسط المتناقص",'سجل الأصول'!$E$6:$E$100*(1-(1-'سجل الأصول'!$L$6:$L$100/100)^MIN(MAX(0,YEAR(DATE(2024+INT((ROW()-6)/12),MOD(ROW()-6,12)+2,0))-YEAR('سجل الأصول'!$I$6:$I$100)),'سجل الأصول'!$J$6:$J$100)),IF('سجل الأصول'!$K$6:$K$100="وحدات الإنتاج",'سجل الأصول'!$G$6:$G$100*MIN(100,'سجل الأصول'!$L$6:$L$100*MAX(0,YEAR(DATE(2024+INT((ROW()-6)/12),MOD(ROW()-6,12)+2,0))-YEAR('سجل الأصول'!$I$6:$I$100)))/100,0))))))</f>
        <v>23000</v>
      </c>
      <c r="E20" s="17">
        <f>SUMPRODUCT(('سجل الأصول'!$D$6:$D$100="أثاث وديكور")*('سجل الأصول'!$N$6:$N$100&lt;&gt;"مهلك")*('سجل الأصول'!$E$6:$E$100-IF('سجل الأصول'!$I$6:$I$100&gt;DATE(2024+INT((ROW()-6)/12),MOD(ROW()-6,12)+2,0),0,IF('سجل الأصول'!$K$6:$K$100="القسط الثابت",'سجل الأصول'!$G$6:$G$100*MIN(MAX(0,(YEAR(DATE(2024+INT((ROW()-6)/12),MOD(ROW()-6,12)+2,0))-YEAR('سجل الأصول'!$I$6:$I$100))*12+MONTH(DATE(2024+INT((ROW()-6)/12),MOD(ROW()-6,12)+2,0))-MONTH('سجل الأصول'!$I$6:$I$100)),'سجل الأصول'!$J$6:$J$100*12)/('سجل الأصول'!$J$6:$J$100*12),IF('سجل الأصول'!$K$6:$K$100="القسط المتناقص",'سجل الأصول'!$E$6:$E$100*(1-(1-'سجل الأصول'!$L$6:$L$100/100)^MIN(MAX(0,YEAR(DATE(2024+INT((ROW()-6)/12),MOD(ROW()-6,12)+2,0))-YEAR('سجل الأصول'!$I$6:$I$100)),'سجل الأصول'!$J$6:$J$100)),IF('سجل الأصول'!$K$6:$K$100="وحدات الإنتاج",'سجل الأصول'!$G$6:$G$100*MIN(100,'سجل الأصول'!$L$6:$L$100*MAX(0,YEAR(DATE(2024+INT((ROW()-6)/12),MOD(ROW()-6,12)+2,0))-YEAR('سجل الأصول'!$I$6:$I$100)))/100,0))))))</f>
        <v>95000</v>
      </c>
      <c r="F20" s="17">
        <f>SUMPRODUCT(('سجل الأصول'!$D$6:$D$100="تجهيزات")*('سجل الأصول'!$N$6:$N$100&lt;&gt;"مهلك")*('سجل الأصول'!$E$6:$E$100-IF('سجل الأصول'!$I$6:$I$100&gt;DATE(2024+INT((ROW()-6)/12),MOD(ROW()-6,12)+2,0),0,IF('سجل الأصول'!$K$6:$K$100="القسط الثابت",'سجل الأصول'!$G$6:$G$100*MIN(MAX(0,(YEAR(DATE(2024+INT((ROW()-6)/12),MOD(ROW()-6,12)+2,0))-YEAR('سجل الأصول'!$I$6:$I$100))*12+MONTH(DATE(2024+INT((ROW()-6)/12),MOD(ROW()-6,12)+2,0))-MONTH('سجل الأصول'!$I$6:$I$100)),'سجل الأصول'!$J$6:$J$100*12)/('سجل الأصول'!$J$6:$J$100*12),IF('سجل الأصول'!$K$6:$K$100="القسط المتناقص",'سجل الأصول'!$E$6:$E$100*(1-(1-'سجل الأصول'!$L$6:$L$100/100)^MIN(MAX(0,YEAR(DATE(2024+INT((ROW()-6)/12),MOD(ROW()-6,12)+2,0))-YEAR('سجل الأصول'!$I$6:$I$100)),'سجل الأصول'!$J$6:$J$100)),IF('سجل الأصول'!$K$6:$K$100="وحدات الإنتاج",'سجل الأصول'!$G$6:$G$100*MIN(100,'سجل الأصول'!$L$6:$L$100*MAX(0,YEAR(DATE(2024+INT((ROW()-6)/12),MOD(ROW()-6,12)+2,0))-YEAR('سجل الأصول'!$I$6:$I$100)))/100,0))))))</f>
        <v>65000</v>
      </c>
      <c r="G20" s="17">
        <f>SUMPRODUCT(('سجل الأصول'!$D$6:$D$100="مركبات")*('سجل الأصول'!$N$6:$N$100&lt;&gt;"مهلك")*('سجل الأصول'!$E$6:$E$100-IF('سجل الأصول'!$I$6:$I$100&gt;DATE(2024+INT((ROW()-6)/12),MOD(ROW()-6,12)+2,0),0,IF('سجل الأصول'!$K$6:$K$100="القسط الثابت",'سجل الأصول'!$G$6:$G$100*MIN(MAX(0,(YEAR(DATE(2024+INT((ROW()-6)/12),MOD(ROW()-6,12)+2,0))-YEAR('سجل الأصول'!$I$6:$I$100))*12+MONTH(DATE(2024+INT((ROW()-6)/12),MOD(ROW()-6,12)+2,0))-MONTH('سجل الأصول'!$I$6:$I$100)),'سجل الأصول'!$J$6:$J$100*12)/('سجل الأصول'!$J$6:$J$100*12),IF('سجل الأصول'!$K$6:$K$100="القسط المتناقص",'سجل الأصول'!$E$6:$E$100*(1-(1-'سجل الأصول'!$L$6:$L$100/100)^MIN(MAX(0,YEAR(DATE(2024+INT((ROW()-6)/12),MOD(ROW()-6,12)+2,0))-YEAR('سجل الأصول'!$I$6:$I$100)),'سجل الأصول'!$J$6:$J$100)),IF('سجل الأصول'!$K$6:$K$100="وحدات الإنتاج",'سجل الأصول'!$G$6:$G$100*MIN(100,'سجل الأصول'!$L$6:$L$100*MAX(0,YEAR(DATE(2024+INT((ROW()-6)/12),MOD(ROW()-6,12)+2,0))-YEAR('سجل الأصول'!$I$6:$I$100)))/100,0))))))</f>
        <v>85000</v>
      </c>
      <c r="H20" s="50">
        <f>SUM(C20:G20)</f>
        <v>431000</v>
      </c>
    </row>
    <row r="21" spans="2:8">
      <c r="B21" s="34" t="s">
        <v>151</v>
      </c>
      <c r="C21" s="24">
        <f>SUMPRODUCT(('سجل الأصول'!$D$6:$D$100="معدات المطبخ")*('سجل الأصول'!$N$6:$N$100&lt;&gt;"مهلك")*('سجل الأصول'!$E$6:$E$100-IF('سجل الأصول'!$I$6:$I$100&gt;DATE(2024+INT((ROW()-6)/12),MOD(ROW()-6,12)+2,0),0,IF('سجل الأصول'!$K$6:$K$100="القسط الثابت",'سجل الأصول'!$G$6:$G$100*MIN(MAX(0,(YEAR(DATE(2024+INT((ROW()-6)/12),MOD(ROW()-6,12)+2,0))-YEAR('سجل الأصول'!$I$6:$I$100))*12+MONTH(DATE(2024+INT((ROW()-6)/12),MOD(ROW()-6,12)+2,0))-MONTH('سجل الأصول'!$I$6:$I$100)),'سجل الأصول'!$J$6:$J$100*12)/('سجل الأصول'!$J$6:$J$100*12),IF('سجل الأصول'!$K$6:$K$100="القسط المتناقص",'سجل الأصول'!$E$6:$E$100*(1-(1-'سجل الأصول'!$L$6:$L$100/100)^MIN(MAX(0,YEAR(DATE(2024+INT((ROW()-6)/12),MOD(ROW()-6,12)+2,0))-YEAR('سجل الأصول'!$I$6:$I$100)),'سجل الأصول'!$J$6:$J$100)),IF('سجل الأصول'!$K$6:$K$100="وحدات الإنتاج",'سجل الأصول'!$G$6:$G$100*MIN(100,'سجل الأصول'!$L$6:$L$100*MAX(0,YEAR(DATE(2024+INT((ROW()-6)/12),MOD(ROW()-6,12)+2,0))-YEAR('سجل الأصول'!$I$6:$I$100)))/100,0))))))</f>
        <v>163000</v>
      </c>
      <c r="D21" s="24">
        <f>SUMPRODUCT(('سجل الأصول'!$D$6:$D$100="أنظمة تقنية")*('سجل الأصول'!$N$6:$N$100&lt;&gt;"مهلك")*('سجل الأصول'!$E$6:$E$100-IF('سجل الأصول'!$I$6:$I$100&gt;DATE(2024+INT((ROW()-6)/12),MOD(ROW()-6,12)+2,0),0,IF('سجل الأصول'!$K$6:$K$100="القسط الثابت",'سجل الأصول'!$G$6:$G$100*MIN(MAX(0,(YEAR(DATE(2024+INT((ROW()-6)/12),MOD(ROW()-6,12)+2,0))-YEAR('سجل الأصول'!$I$6:$I$100))*12+MONTH(DATE(2024+INT((ROW()-6)/12),MOD(ROW()-6,12)+2,0))-MONTH('سجل الأصول'!$I$6:$I$100)),'سجل الأصول'!$J$6:$J$100*12)/('سجل الأصول'!$J$6:$J$100*12),IF('سجل الأصول'!$K$6:$K$100="القسط المتناقص",'سجل الأصول'!$E$6:$E$100*(1-(1-'سجل الأصول'!$L$6:$L$100/100)^MIN(MAX(0,YEAR(DATE(2024+INT((ROW()-6)/12),MOD(ROW()-6,12)+2,0))-YEAR('سجل الأصول'!$I$6:$I$100)),'سجل الأصول'!$J$6:$J$100)),IF('سجل الأصول'!$K$6:$K$100="وحدات الإنتاج",'سجل الأصول'!$G$6:$G$100*MIN(100,'سجل الأصول'!$L$6:$L$100*MAX(0,YEAR(DATE(2024+INT((ROW()-6)/12),MOD(ROW()-6,12)+2,0))-YEAR('سجل الأصول'!$I$6:$I$100)))/100,0))))))</f>
        <v>23000</v>
      </c>
      <c r="E21" s="24">
        <f>SUMPRODUCT(('سجل الأصول'!$D$6:$D$100="أثاث وديكور")*('سجل الأصول'!$N$6:$N$100&lt;&gt;"مهلك")*('سجل الأصول'!$E$6:$E$100-IF('سجل الأصول'!$I$6:$I$100&gt;DATE(2024+INT((ROW()-6)/12),MOD(ROW()-6,12)+2,0),0,IF('سجل الأصول'!$K$6:$K$100="القسط الثابت",'سجل الأصول'!$G$6:$G$100*MIN(MAX(0,(YEAR(DATE(2024+INT((ROW()-6)/12),MOD(ROW()-6,12)+2,0))-YEAR('سجل الأصول'!$I$6:$I$100))*12+MONTH(DATE(2024+INT((ROW()-6)/12),MOD(ROW()-6,12)+2,0))-MONTH('سجل الأصول'!$I$6:$I$100)),'سجل الأصول'!$J$6:$J$100*12)/('سجل الأصول'!$J$6:$J$100*12),IF('سجل الأصول'!$K$6:$K$100="القسط المتناقص",'سجل الأصول'!$E$6:$E$100*(1-(1-'سجل الأصول'!$L$6:$L$100/100)^MIN(MAX(0,YEAR(DATE(2024+INT((ROW()-6)/12),MOD(ROW()-6,12)+2,0))-YEAR('سجل الأصول'!$I$6:$I$100)),'سجل الأصول'!$J$6:$J$100)),IF('سجل الأصول'!$K$6:$K$100="وحدات الإنتاج",'سجل الأصول'!$G$6:$G$100*MIN(100,'سجل الأصول'!$L$6:$L$100*MAX(0,YEAR(DATE(2024+INT((ROW()-6)/12),MOD(ROW()-6,12)+2,0))-YEAR('سجل الأصول'!$I$6:$I$100)))/100,0))))))</f>
        <v>95000</v>
      </c>
      <c r="F21" s="24">
        <f>SUMPRODUCT(('سجل الأصول'!$D$6:$D$100="تجهيزات")*('سجل الأصول'!$N$6:$N$100&lt;&gt;"مهلك")*('سجل الأصول'!$E$6:$E$100-IF('سجل الأصول'!$I$6:$I$100&gt;DATE(2024+INT((ROW()-6)/12),MOD(ROW()-6,12)+2,0),0,IF('سجل الأصول'!$K$6:$K$100="القسط الثابت",'سجل الأصول'!$G$6:$G$100*MIN(MAX(0,(YEAR(DATE(2024+INT((ROW()-6)/12),MOD(ROW()-6,12)+2,0))-YEAR('سجل الأصول'!$I$6:$I$100))*12+MONTH(DATE(2024+INT((ROW()-6)/12),MOD(ROW()-6,12)+2,0))-MONTH('سجل الأصول'!$I$6:$I$100)),'سجل الأصول'!$J$6:$J$100*12)/('سجل الأصول'!$J$6:$J$100*12),IF('سجل الأصول'!$K$6:$K$100="القسط المتناقص",'سجل الأصول'!$E$6:$E$100*(1-(1-'سجل الأصول'!$L$6:$L$100/100)^MIN(MAX(0,YEAR(DATE(2024+INT((ROW()-6)/12),MOD(ROW()-6,12)+2,0))-YEAR('سجل الأصول'!$I$6:$I$100)),'سجل الأصول'!$J$6:$J$100)),IF('سجل الأصول'!$K$6:$K$100="وحدات الإنتاج",'سجل الأصول'!$G$6:$G$100*MIN(100,'سجل الأصول'!$L$6:$L$100*MAX(0,YEAR(DATE(2024+INT((ROW()-6)/12),MOD(ROW()-6,12)+2,0))-YEAR('سجل الأصول'!$I$6:$I$100)))/100,0))))))</f>
        <v>65000</v>
      </c>
      <c r="G21" s="24">
        <f>SUMPRODUCT(('سجل الأصول'!$D$6:$D$100="مركبات")*('سجل الأصول'!$N$6:$N$100&lt;&gt;"مهلك")*('سجل الأصول'!$E$6:$E$100-IF('سجل الأصول'!$I$6:$I$100&gt;DATE(2024+INT((ROW()-6)/12),MOD(ROW()-6,12)+2,0),0,IF('سجل الأصول'!$K$6:$K$100="القسط الثابت",'سجل الأصول'!$G$6:$G$100*MIN(MAX(0,(YEAR(DATE(2024+INT((ROW()-6)/12),MOD(ROW()-6,12)+2,0))-YEAR('سجل الأصول'!$I$6:$I$100))*12+MONTH(DATE(2024+INT((ROW()-6)/12),MOD(ROW()-6,12)+2,0))-MONTH('سجل الأصول'!$I$6:$I$100)),'سجل الأصول'!$J$6:$J$100*12)/('سجل الأصول'!$J$6:$J$100*12),IF('سجل الأصول'!$K$6:$K$100="القسط المتناقص",'سجل الأصول'!$E$6:$E$100*(1-(1-'سجل الأصول'!$L$6:$L$100/100)^MIN(MAX(0,YEAR(DATE(2024+INT((ROW()-6)/12),MOD(ROW()-6,12)+2,0))-YEAR('سجل الأصول'!$I$6:$I$100)),'سجل الأصول'!$J$6:$J$100)),IF('سجل الأصول'!$K$6:$K$100="وحدات الإنتاج",'سجل الأصول'!$G$6:$G$100*MIN(100,'سجل الأصول'!$L$6:$L$100*MAX(0,YEAR(DATE(2024+INT((ROW()-6)/12),MOD(ROW()-6,12)+2,0))-YEAR('سجل الأصول'!$I$6:$I$100)))/100,0))))))</f>
        <v>85000</v>
      </c>
      <c r="H21" s="50">
        <f>SUM(C21:G21)</f>
        <v>431000</v>
      </c>
    </row>
    <row r="22" spans="2:8">
      <c r="B22" s="34" t="s">
        <v>152</v>
      </c>
      <c r="C22" s="17">
        <f>SUMPRODUCT(('سجل الأصول'!$D$6:$D$100="معدات المطبخ")*('سجل الأصول'!$N$6:$N$100&lt;&gt;"مهلك")*('سجل الأصول'!$E$6:$E$100-IF('سجل الأصول'!$I$6:$I$100&gt;DATE(2024+INT((ROW()-6)/12),MOD(ROW()-6,12)+2,0),0,IF('سجل الأصول'!$K$6:$K$100="القسط الثابت",'سجل الأصول'!$G$6:$G$100*MIN(MAX(0,(YEAR(DATE(2024+INT((ROW()-6)/12),MOD(ROW()-6,12)+2,0))-YEAR('سجل الأصول'!$I$6:$I$100))*12+MONTH(DATE(2024+INT((ROW()-6)/12),MOD(ROW()-6,12)+2,0))-MONTH('سجل الأصول'!$I$6:$I$100)),'سجل الأصول'!$J$6:$J$100*12)/('سجل الأصول'!$J$6:$J$100*12),IF('سجل الأصول'!$K$6:$K$100="القسط المتناقص",'سجل الأصول'!$E$6:$E$100*(1-(1-'سجل الأصول'!$L$6:$L$100/100)^MIN(MAX(0,YEAR(DATE(2024+INT((ROW()-6)/12),MOD(ROW()-6,12)+2,0))-YEAR('سجل الأصول'!$I$6:$I$100)),'سجل الأصول'!$J$6:$J$100)),IF('سجل الأصول'!$K$6:$K$100="وحدات الإنتاج",'سجل الأصول'!$G$6:$G$100*MIN(100,'سجل الأصول'!$L$6:$L$100*MAX(0,YEAR(DATE(2024+INT((ROW()-6)/12),MOD(ROW()-6,12)+2,0))-YEAR('سجل الأصول'!$I$6:$I$100)))/100,0))))))</f>
        <v>163000</v>
      </c>
      <c r="D22" s="17">
        <f>SUMPRODUCT(('سجل الأصول'!$D$6:$D$100="أنظمة تقنية")*('سجل الأصول'!$N$6:$N$100&lt;&gt;"مهلك")*('سجل الأصول'!$E$6:$E$100-IF('سجل الأصول'!$I$6:$I$100&gt;DATE(2024+INT((ROW()-6)/12),MOD(ROW()-6,12)+2,0),0,IF('سجل الأصول'!$K$6:$K$100="القسط الثابت",'سجل الأصول'!$G$6:$G$100*MIN(MAX(0,(YEAR(DATE(2024+INT((ROW()-6)/12),MOD(ROW()-6,12)+2,0))-YEAR('سجل الأصول'!$I$6:$I$100))*12+MONTH(DATE(2024+INT((ROW()-6)/12),MOD(ROW()-6,12)+2,0))-MONTH('سجل الأصول'!$I$6:$I$100)),'سجل الأصول'!$J$6:$J$100*12)/('سجل الأصول'!$J$6:$J$100*12),IF('سجل الأصول'!$K$6:$K$100="القسط المتناقص",'سجل الأصول'!$E$6:$E$100*(1-(1-'سجل الأصول'!$L$6:$L$100/100)^MIN(MAX(0,YEAR(DATE(2024+INT((ROW()-6)/12),MOD(ROW()-6,12)+2,0))-YEAR('سجل الأصول'!$I$6:$I$100)),'سجل الأصول'!$J$6:$J$100)),IF('سجل الأصول'!$K$6:$K$100="وحدات الإنتاج",'سجل الأصول'!$G$6:$G$100*MIN(100,'سجل الأصول'!$L$6:$L$100*MAX(0,YEAR(DATE(2024+INT((ROW()-6)/12),MOD(ROW()-6,12)+2,0))-YEAR('سجل الأصول'!$I$6:$I$100)))/100,0))))))</f>
        <v>23000</v>
      </c>
      <c r="E22" s="17">
        <f>SUMPRODUCT(('سجل الأصول'!$D$6:$D$100="أثاث وديكور")*('سجل الأصول'!$N$6:$N$100&lt;&gt;"مهلك")*('سجل الأصول'!$E$6:$E$100-IF('سجل الأصول'!$I$6:$I$100&gt;DATE(2024+INT((ROW()-6)/12),MOD(ROW()-6,12)+2,0),0,IF('سجل الأصول'!$K$6:$K$100="القسط الثابت",'سجل الأصول'!$G$6:$G$100*MIN(MAX(0,(YEAR(DATE(2024+INT((ROW()-6)/12),MOD(ROW()-6,12)+2,0))-YEAR('سجل الأصول'!$I$6:$I$100))*12+MONTH(DATE(2024+INT((ROW()-6)/12),MOD(ROW()-6,12)+2,0))-MONTH('سجل الأصول'!$I$6:$I$100)),'سجل الأصول'!$J$6:$J$100*12)/('سجل الأصول'!$J$6:$J$100*12),IF('سجل الأصول'!$K$6:$K$100="القسط المتناقص",'سجل الأصول'!$E$6:$E$100*(1-(1-'سجل الأصول'!$L$6:$L$100/100)^MIN(MAX(0,YEAR(DATE(2024+INT((ROW()-6)/12),MOD(ROW()-6,12)+2,0))-YEAR('سجل الأصول'!$I$6:$I$100)),'سجل الأصول'!$J$6:$J$100)),IF('سجل الأصول'!$K$6:$K$100="وحدات الإنتاج",'سجل الأصول'!$G$6:$G$100*MIN(100,'سجل الأصول'!$L$6:$L$100*MAX(0,YEAR(DATE(2024+INT((ROW()-6)/12),MOD(ROW()-6,12)+2,0))-YEAR('سجل الأصول'!$I$6:$I$100)))/100,0))))))</f>
        <v>95000</v>
      </c>
      <c r="F22" s="17">
        <f>SUMPRODUCT(('سجل الأصول'!$D$6:$D$100="تجهيزات")*('سجل الأصول'!$N$6:$N$100&lt;&gt;"مهلك")*('سجل الأصول'!$E$6:$E$100-IF('سجل الأصول'!$I$6:$I$100&gt;DATE(2024+INT((ROW()-6)/12),MOD(ROW()-6,12)+2,0),0,IF('سجل الأصول'!$K$6:$K$100="القسط الثابت",'سجل الأصول'!$G$6:$G$100*MIN(MAX(0,(YEAR(DATE(2024+INT((ROW()-6)/12),MOD(ROW()-6,12)+2,0))-YEAR('سجل الأصول'!$I$6:$I$100))*12+MONTH(DATE(2024+INT((ROW()-6)/12),MOD(ROW()-6,12)+2,0))-MONTH('سجل الأصول'!$I$6:$I$100)),'سجل الأصول'!$J$6:$J$100*12)/('سجل الأصول'!$J$6:$J$100*12),IF('سجل الأصول'!$K$6:$K$100="القسط المتناقص",'سجل الأصول'!$E$6:$E$100*(1-(1-'سجل الأصول'!$L$6:$L$100/100)^MIN(MAX(0,YEAR(DATE(2024+INT((ROW()-6)/12),MOD(ROW()-6,12)+2,0))-YEAR('سجل الأصول'!$I$6:$I$100)),'سجل الأصول'!$J$6:$J$100)),IF('سجل الأصول'!$K$6:$K$100="وحدات الإنتاج",'سجل الأصول'!$G$6:$G$100*MIN(100,'سجل الأصول'!$L$6:$L$100*MAX(0,YEAR(DATE(2024+INT((ROW()-6)/12),MOD(ROW()-6,12)+2,0))-YEAR('سجل الأصول'!$I$6:$I$100)))/100,0))))))</f>
        <v>65000</v>
      </c>
      <c r="G22" s="17">
        <f>SUMPRODUCT(('سجل الأصول'!$D$6:$D$100="مركبات")*('سجل الأصول'!$N$6:$N$100&lt;&gt;"مهلك")*('سجل الأصول'!$E$6:$E$100-IF('سجل الأصول'!$I$6:$I$100&gt;DATE(2024+INT((ROW()-6)/12),MOD(ROW()-6,12)+2,0),0,IF('سجل الأصول'!$K$6:$K$100="القسط الثابت",'سجل الأصول'!$G$6:$G$100*MIN(MAX(0,(YEAR(DATE(2024+INT((ROW()-6)/12),MOD(ROW()-6,12)+2,0))-YEAR('سجل الأصول'!$I$6:$I$100))*12+MONTH(DATE(2024+INT((ROW()-6)/12),MOD(ROW()-6,12)+2,0))-MONTH('سجل الأصول'!$I$6:$I$100)),'سجل الأصول'!$J$6:$J$100*12)/('سجل الأصول'!$J$6:$J$100*12),IF('سجل الأصول'!$K$6:$K$100="القسط المتناقص",'سجل الأصول'!$E$6:$E$100*(1-(1-'سجل الأصول'!$L$6:$L$100/100)^MIN(MAX(0,YEAR(DATE(2024+INT((ROW()-6)/12),MOD(ROW()-6,12)+2,0))-YEAR('سجل الأصول'!$I$6:$I$100)),'سجل الأصول'!$J$6:$J$100)),IF('سجل الأصول'!$K$6:$K$100="وحدات الإنتاج",'سجل الأصول'!$G$6:$G$100*MIN(100,'سجل الأصول'!$L$6:$L$100*MAX(0,YEAR(DATE(2024+INT((ROW()-6)/12),MOD(ROW()-6,12)+2,0))-YEAR('سجل الأصول'!$I$6:$I$100)))/100,0))))))</f>
        <v>85000</v>
      </c>
      <c r="H22" s="50">
        <f>SUM(C22:G22)</f>
        <v>431000</v>
      </c>
    </row>
    <row r="23" spans="2:8">
      <c r="B23" s="34" t="s">
        <v>153</v>
      </c>
      <c r="C23" s="24">
        <f>SUMPRODUCT(('سجل الأصول'!$D$6:$D$100="معدات المطبخ")*('سجل الأصول'!$N$6:$N$100&lt;&gt;"مهلك")*('سجل الأصول'!$E$6:$E$100-IF('سجل الأصول'!$I$6:$I$100&gt;DATE(2024+INT((ROW()-6)/12),MOD(ROW()-6,12)+2,0),0,IF('سجل الأصول'!$K$6:$K$100="القسط الثابت",'سجل الأصول'!$G$6:$G$100*MIN(MAX(0,(YEAR(DATE(2024+INT((ROW()-6)/12),MOD(ROW()-6,12)+2,0))-YEAR('سجل الأصول'!$I$6:$I$100))*12+MONTH(DATE(2024+INT((ROW()-6)/12),MOD(ROW()-6,12)+2,0))-MONTH('سجل الأصول'!$I$6:$I$100)),'سجل الأصول'!$J$6:$J$100*12)/('سجل الأصول'!$J$6:$J$100*12),IF('سجل الأصول'!$K$6:$K$100="القسط المتناقص",'سجل الأصول'!$E$6:$E$100*(1-(1-'سجل الأصول'!$L$6:$L$100/100)^MIN(MAX(0,YEAR(DATE(2024+INT((ROW()-6)/12),MOD(ROW()-6,12)+2,0))-YEAR('سجل الأصول'!$I$6:$I$100)),'سجل الأصول'!$J$6:$J$100)),IF('سجل الأصول'!$K$6:$K$100="وحدات الإنتاج",'سجل الأصول'!$G$6:$G$100*MIN(100,'سجل الأصول'!$L$6:$L$100*MAX(0,YEAR(DATE(2024+INT((ROW()-6)/12),MOD(ROW()-6,12)+2,0))-YEAR('سجل الأصول'!$I$6:$I$100)))/100,0))))))</f>
        <v>163000</v>
      </c>
      <c r="D23" s="24">
        <f>SUMPRODUCT(('سجل الأصول'!$D$6:$D$100="أنظمة تقنية")*('سجل الأصول'!$N$6:$N$100&lt;&gt;"مهلك")*('سجل الأصول'!$E$6:$E$100-IF('سجل الأصول'!$I$6:$I$100&gt;DATE(2024+INT((ROW()-6)/12),MOD(ROW()-6,12)+2,0),0,IF('سجل الأصول'!$K$6:$K$100="القسط الثابت",'سجل الأصول'!$G$6:$G$100*MIN(MAX(0,(YEAR(DATE(2024+INT((ROW()-6)/12),MOD(ROW()-6,12)+2,0))-YEAR('سجل الأصول'!$I$6:$I$100))*12+MONTH(DATE(2024+INT((ROW()-6)/12),MOD(ROW()-6,12)+2,0))-MONTH('سجل الأصول'!$I$6:$I$100)),'سجل الأصول'!$J$6:$J$100*12)/('سجل الأصول'!$J$6:$J$100*12),IF('سجل الأصول'!$K$6:$K$100="القسط المتناقص",'سجل الأصول'!$E$6:$E$100*(1-(1-'سجل الأصول'!$L$6:$L$100/100)^MIN(MAX(0,YEAR(DATE(2024+INT((ROW()-6)/12),MOD(ROW()-6,12)+2,0))-YEAR('سجل الأصول'!$I$6:$I$100)),'سجل الأصول'!$J$6:$J$100)),IF('سجل الأصول'!$K$6:$K$100="وحدات الإنتاج",'سجل الأصول'!$G$6:$G$100*MIN(100,'سجل الأصول'!$L$6:$L$100*MAX(0,YEAR(DATE(2024+INT((ROW()-6)/12),MOD(ROW()-6,12)+2,0))-YEAR('سجل الأصول'!$I$6:$I$100)))/100,0))))))</f>
        <v>23000</v>
      </c>
      <c r="E23" s="24">
        <f>SUMPRODUCT(('سجل الأصول'!$D$6:$D$100="أثاث وديكور")*('سجل الأصول'!$N$6:$N$100&lt;&gt;"مهلك")*('سجل الأصول'!$E$6:$E$100-IF('سجل الأصول'!$I$6:$I$100&gt;DATE(2024+INT((ROW()-6)/12),MOD(ROW()-6,12)+2,0),0,IF('سجل الأصول'!$K$6:$K$100="القسط الثابت",'سجل الأصول'!$G$6:$G$100*MIN(MAX(0,(YEAR(DATE(2024+INT((ROW()-6)/12),MOD(ROW()-6,12)+2,0))-YEAR('سجل الأصول'!$I$6:$I$100))*12+MONTH(DATE(2024+INT((ROW()-6)/12),MOD(ROW()-6,12)+2,0))-MONTH('سجل الأصول'!$I$6:$I$100)),'سجل الأصول'!$J$6:$J$100*12)/('سجل الأصول'!$J$6:$J$100*12),IF('سجل الأصول'!$K$6:$K$100="القسط المتناقص",'سجل الأصول'!$E$6:$E$100*(1-(1-'سجل الأصول'!$L$6:$L$100/100)^MIN(MAX(0,YEAR(DATE(2024+INT((ROW()-6)/12),MOD(ROW()-6,12)+2,0))-YEAR('سجل الأصول'!$I$6:$I$100)),'سجل الأصول'!$J$6:$J$100)),IF('سجل الأصول'!$K$6:$K$100="وحدات الإنتاج",'سجل الأصول'!$G$6:$G$100*MIN(100,'سجل الأصول'!$L$6:$L$100*MAX(0,YEAR(DATE(2024+INT((ROW()-6)/12),MOD(ROW()-6,12)+2,0))-YEAR('سجل الأصول'!$I$6:$I$100)))/100,0))))))</f>
        <v>95000</v>
      </c>
      <c r="F23" s="24">
        <f>SUMPRODUCT(('سجل الأصول'!$D$6:$D$100="تجهيزات")*('سجل الأصول'!$N$6:$N$100&lt;&gt;"مهلك")*('سجل الأصول'!$E$6:$E$100-IF('سجل الأصول'!$I$6:$I$100&gt;DATE(2024+INT((ROW()-6)/12),MOD(ROW()-6,12)+2,0),0,IF('سجل الأصول'!$K$6:$K$100="القسط الثابت",'سجل الأصول'!$G$6:$G$100*MIN(MAX(0,(YEAR(DATE(2024+INT((ROW()-6)/12),MOD(ROW()-6,12)+2,0))-YEAR('سجل الأصول'!$I$6:$I$100))*12+MONTH(DATE(2024+INT((ROW()-6)/12),MOD(ROW()-6,12)+2,0))-MONTH('سجل الأصول'!$I$6:$I$100)),'سجل الأصول'!$J$6:$J$100*12)/('سجل الأصول'!$J$6:$J$100*12),IF('سجل الأصول'!$K$6:$K$100="القسط المتناقص",'سجل الأصول'!$E$6:$E$100*(1-(1-'سجل الأصول'!$L$6:$L$100/100)^MIN(MAX(0,YEAR(DATE(2024+INT((ROW()-6)/12),MOD(ROW()-6,12)+2,0))-YEAR('سجل الأصول'!$I$6:$I$100)),'سجل الأصول'!$J$6:$J$100)),IF('سجل الأصول'!$K$6:$K$100="وحدات الإنتاج",'سجل الأصول'!$G$6:$G$100*MIN(100,'سجل الأصول'!$L$6:$L$100*MAX(0,YEAR(DATE(2024+INT((ROW()-6)/12),MOD(ROW()-6,12)+2,0))-YEAR('سجل الأصول'!$I$6:$I$100)))/100,0))))))</f>
        <v>65000</v>
      </c>
      <c r="G23" s="24">
        <f>SUMPRODUCT(('سجل الأصول'!$D$6:$D$100="مركبات")*('سجل الأصول'!$N$6:$N$100&lt;&gt;"مهلك")*('سجل الأصول'!$E$6:$E$100-IF('سجل الأصول'!$I$6:$I$100&gt;DATE(2024+INT((ROW()-6)/12),MOD(ROW()-6,12)+2,0),0,IF('سجل الأصول'!$K$6:$K$100="القسط الثابت",'سجل الأصول'!$G$6:$G$100*MIN(MAX(0,(YEAR(DATE(2024+INT((ROW()-6)/12),MOD(ROW()-6,12)+2,0))-YEAR('سجل الأصول'!$I$6:$I$100))*12+MONTH(DATE(2024+INT((ROW()-6)/12),MOD(ROW()-6,12)+2,0))-MONTH('سجل الأصول'!$I$6:$I$100)),'سجل الأصول'!$J$6:$J$100*12)/('سجل الأصول'!$J$6:$J$100*12),IF('سجل الأصول'!$K$6:$K$100="القسط المتناقص",'سجل الأصول'!$E$6:$E$100*(1-(1-'سجل الأصول'!$L$6:$L$100/100)^MIN(MAX(0,YEAR(DATE(2024+INT((ROW()-6)/12),MOD(ROW()-6,12)+2,0))-YEAR('سجل الأصول'!$I$6:$I$100)),'سجل الأصول'!$J$6:$J$100)),IF('سجل الأصول'!$K$6:$K$100="وحدات الإنتاج",'سجل الأصول'!$G$6:$G$100*MIN(100,'سجل الأصول'!$L$6:$L$100*MAX(0,YEAR(DATE(2024+INT((ROW()-6)/12),MOD(ROW()-6,12)+2,0))-YEAR('سجل الأصول'!$I$6:$I$100)))/100,0))))))</f>
        <v>85000</v>
      </c>
      <c r="H23" s="50">
        <f>SUM(C23:G23)</f>
        <v>431000</v>
      </c>
    </row>
  </sheetData>
  <mergeCells count="2">
    <mergeCell ref="B2:H2"/>
    <mergeCell ref="B3:H3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F29"/>
  <sheetViews>
    <sheetView tabSelected="1" topLeftCell="A7" zoomScaleNormal="100" workbookViewId="0">
      <selection activeCell="C29" sqref="C29"/>
    </sheetView>
  </sheetViews>
  <sheetFormatPr defaultColWidth="8.609375" defaultRowHeight="15"/>
  <cols>
    <col min="1" max="1" width="2.95703125" customWidth="1"/>
    <col min="2" max="2" width="25.01953125" customWidth="1"/>
    <col min="3" max="4" width="20.04296875" customWidth="1"/>
    <col min="5" max="5" width="25.01953125" customWidth="1"/>
    <col min="6" max="6" width="34.97265625" customWidth="1"/>
    <col min="7" max="7" width="2.95703125" customWidth="1"/>
  </cols>
  <sheetData>
    <row r="2" spans="2:6" ht="30" customHeight="1">
      <c r="B2" s="12" t="s">
        <v>154</v>
      </c>
      <c r="C2" s="12"/>
      <c r="D2" s="12"/>
      <c r="E2" s="12"/>
      <c r="F2" s="12"/>
    </row>
    <row r="3" spans="2:6" ht="15" customHeight="1">
      <c r="B3" s="66" t="s">
        <v>155</v>
      </c>
      <c r="C3" s="66"/>
      <c r="D3" s="66"/>
      <c r="E3" s="66"/>
      <c r="F3" s="66"/>
    </row>
    <row r="5" spans="2:6" ht="24.75" customHeight="1">
      <c r="B5" s="9" t="s">
        <v>156</v>
      </c>
      <c r="C5" s="9"/>
      <c r="D5" s="9"/>
      <c r="E5" s="9"/>
      <c r="F5" s="9"/>
    </row>
    <row r="6" spans="2:6" ht="34.5" customHeight="1">
      <c r="B6" s="13" t="s">
        <v>157</v>
      </c>
      <c r="C6" s="13" t="s">
        <v>158</v>
      </c>
      <c r="D6" s="13" t="s">
        <v>159</v>
      </c>
      <c r="E6" s="13" t="s">
        <v>160</v>
      </c>
      <c r="F6" s="13" t="s">
        <v>161</v>
      </c>
    </row>
    <row r="7" spans="2:6">
      <c r="B7" s="23" t="s">
        <v>37</v>
      </c>
      <c r="C7" s="21" t="s">
        <v>162</v>
      </c>
      <c r="D7" s="23" t="s">
        <v>38</v>
      </c>
      <c r="E7" s="51" t="s">
        <v>163</v>
      </c>
      <c r="F7" s="23" t="s">
        <v>164</v>
      </c>
    </row>
    <row r="8" spans="2:6" ht="17.25">
      <c r="B8" s="16" t="s">
        <v>44</v>
      </c>
      <c r="C8" s="14" t="s">
        <v>165</v>
      </c>
      <c r="D8" s="16" t="s">
        <v>45</v>
      </c>
      <c r="E8" s="52" t="s">
        <v>166</v>
      </c>
      <c r="F8" s="16" t="s">
        <v>167</v>
      </c>
    </row>
    <row r="9" spans="2:6">
      <c r="B9" s="23" t="s">
        <v>48</v>
      </c>
      <c r="C9" s="21" t="s">
        <v>168</v>
      </c>
      <c r="D9" s="23" t="s">
        <v>38</v>
      </c>
      <c r="E9" s="51" t="s">
        <v>169</v>
      </c>
      <c r="F9" s="23" t="s">
        <v>170</v>
      </c>
    </row>
    <row r="10" spans="2:6" ht="17.25">
      <c r="B10" s="16" t="s">
        <v>171</v>
      </c>
      <c r="C10" s="14" t="s">
        <v>172</v>
      </c>
      <c r="D10" s="16" t="s">
        <v>38</v>
      </c>
      <c r="E10" s="52" t="s">
        <v>173</v>
      </c>
      <c r="F10" s="14" t="s">
        <v>174</v>
      </c>
    </row>
    <row r="11" spans="2:6" ht="17.25">
      <c r="B11" s="23" t="s">
        <v>175</v>
      </c>
      <c r="C11" s="21" t="s">
        <v>176</v>
      </c>
      <c r="D11" s="23" t="s">
        <v>54</v>
      </c>
      <c r="E11" s="51" t="s">
        <v>177</v>
      </c>
      <c r="F11" s="23" t="s">
        <v>178</v>
      </c>
    </row>
    <row r="12" spans="2:6">
      <c r="B12" s="16" t="s">
        <v>179</v>
      </c>
      <c r="C12" s="14" t="s">
        <v>180</v>
      </c>
      <c r="D12" s="16" t="s">
        <v>38</v>
      </c>
      <c r="E12" s="52" t="s">
        <v>181</v>
      </c>
      <c r="F12" s="16" t="s">
        <v>182</v>
      </c>
    </row>
    <row r="14" spans="2:6" ht="24.75" customHeight="1">
      <c r="B14" s="9" t="s">
        <v>183</v>
      </c>
      <c r="C14" s="9"/>
      <c r="D14" s="9"/>
      <c r="E14" s="9"/>
      <c r="F14" s="9"/>
    </row>
    <row r="15" spans="2:6" ht="34.5" customHeight="1">
      <c r="B15" s="13" t="s">
        <v>120</v>
      </c>
      <c r="C15" s="13" t="s">
        <v>184</v>
      </c>
      <c r="D15" s="13" t="s">
        <v>185</v>
      </c>
      <c r="E15" s="13" t="s">
        <v>186</v>
      </c>
      <c r="F15" s="13" t="s">
        <v>187</v>
      </c>
    </row>
    <row r="16" spans="2:6" ht="49.5" customHeight="1">
      <c r="B16" s="53" t="s">
        <v>188</v>
      </c>
      <c r="C16" s="54" t="s">
        <v>189</v>
      </c>
      <c r="D16" s="54" t="s">
        <v>190</v>
      </c>
      <c r="E16" s="54" t="s">
        <v>191</v>
      </c>
      <c r="F16" s="54" t="s">
        <v>192</v>
      </c>
    </row>
    <row r="17" spans="2:6" ht="49.5" customHeight="1">
      <c r="B17" s="55" t="s">
        <v>193</v>
      </c>
      <c r="C17" s="56" t="s">
        <v>194</v>
      </c>
      <c r="D17" s="56" t="s">
        <v>195</v>
      </c>
      <c r="E17" s="56" t="s">
        <v>196</v>
      </c>
      <c r="F17" s="56" t="s">
        <v>197</v>
      </c>
    </row>
    <row r="18" spans="2:6" ht="49.5" customHeight="1">
      <c r="B18" s="53" t="s">
        <v>198</v>
      </c>
      <c r="C18" s="54" t="s">
        <v>199</v>
      </c>
      <c r="D18" s="54" t="s">
        <v>200</v>
      </c>
      <c r="E18" s="54" t="s">
        <v>201</v>
      </c>
      <c r="F18" s="54" t="s">
        <v>202</v>
      </c>
    </row>
    <row r="20" spans="2:6" ht="24.75" customHeight="1">
      <c r="B20" s="9" t="s">
        <v>203</v>
      </c>
      <c r="C20" s="9"/>
      <c r="D20" s="9"/>
      <c r="E20" s="9"/>
      <c r="F20" s="9"/>
    </row>
    <row r="21" spans="2:6" ht="17.850000000000001" customHeight="1">
      <c r="B21" s="57" t="s">
        <v>204</v>
      </c>
      <c r="C21" s="68" t="s">
        <v>205</v>
      </c>
      <c r="D21" s="68"/>
      <c r="E21" s="68"/>
      <c r="F21" s="58" t="s">
        <v>206</v>
      </c>
    </row>
    <row r="22" spans="2:6" ht="17.850000000000001" customHeight="1">
      <c r="B22" s="57" t="s">
        <v>204</v>
      </c>
      <c r="C22" s="69" t="s">
        <v>207</v>
      </c>
      <c r="D22" s="69"/>
      <c r="E22" s="69"/>
      <c r="F22" s="58" t="s">
        <v>208</v>
      </c>
    </row>
    <row r="23" spans="2:6" ht="17.850000000000001" customHeight="1">
      <c r="B23" s="57" t="s">
        <v>204</v>
      </c>
      <c r="C23" s="68" t="s">
        <v>209</v>
      </c>
      <c r="D23" s="68"/>
      <c r="E23" s="68"/>
      <c r="F23" s="58" t="s">
        <v>210</v>
      </c>
    </row>
    <row r="24" spans="2:6" ht="17.850000000000001" customHeight="1">
      <c r="B24" s="57" t="s">
        <v>204</v>
      </c>
      <c r="C24" s="69" t="s">
        <v>211</v>
      </c>
      <c r="D24" s="69"/>
      <c r="E24" s="69"/>
      <c r="F24" s="58" t="s">
        <v>212</v>
      </c>
    </row>
    <row r="25" spans="2:6" ht="17.850000000000001" customHeight="1">
      <c r="B25" s="57" t="s">
        <v>204</v>
      </c>
      <c r="C25" s="68" t="s">
        <v>213</v>
      </c>
      <c r="D25" s="68"/>
      <c r="E25" s="68"/>
      <c r="F25" s="58" t="s">
        <v>214</v>
      </c>
    </row>
    <row r="26" spans="2:6" ht="17.850000000000001" customHeight="1">
      <c r="B26" s="57" t="s">
        <v>204</v>
      </c>
      <c r="C26" s="69" t="s">
        <v>215</v>
      </c>
      <c r="D26" s="69"/>
      <c r="E26" s="69"/>
      <c r="F26" s="58" t="s">
        <v>216</v>
      </c>
    </row>
    <row r="27" spans="2:6" ht="17.850000000000001" customHeight="1">
      <c r="B27" s="57" t="s">
        <v>204</v>
      </c>
      <c r="C27" s="68" t="s">
        <v>217</v>
      </c>
      <c r="D27" s="68"/>
      <c r="E27" s="68"/>
      <c r="F27" s="58" t="s">
        <v>206</v>
      </c>
    </row>
    <row r="29" spans="2:6">
      <c r="B29" s="59" t="s">
        <v>218</v>
      </c>
      <c r="C29" s="60" t="s">
        <v>219</v>
      </c>
      <c r="D29" s="74" t="s">
        <v>220</v>
      </c>
      <c r="E29" s="74"/>
    </row>
  </sheetData>
  <mergeCells count="13">
    <mergeCell ref="C26:E26"/>
    <mergeCell ref="C27:E27"/>
    <mergeCell ref="D29:E29"/>
    <mergeCell ref="C21:E21"/>
    <mergeCell ref="C22:E22"/>
    <mergeCell ref="C23:E23"/>
    <mergeCell ref="C24:E24"/>
    <mergeCell ref="C25:E25"/>
    <mergeCell ref="B2:F2"/>
    <mergeCell ref="B3:F3"/>
    <mergeCell ref="B5:F5"/>
    <mergeCell ref="B14:F14"/>
    <mergeCell ref="B20:F20"/>
  </mergeCells>
  <dataValidations count="1">
    <dataValidation type="list" sqref="C29" xr:uid="{00000000-0002-0000-0600-000000000000}">
      <formula1>"جنيه مصري,ريال سعودي,درهم إماراتي,دولار أمريكي,يورو,أخرى"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Excel Android</Application>
  <ScaleCrop>false</ScaleCrop>
  <HeadingPairs>
    <vt:vector size="2" baseType="variant">
      <vt:variant>
        <vt:lpstr>أوراق العمل</vt:lpstr>
      </vt:variant>
      <vt:variant>
        <vt:i4>7</vt:i4>
      </vt:variant>
    </vt:vector>
  </HeadingPairs>
  <TitlesOfParts>
    <vt:vector size="7" baseType="lpstr">
      <vt:lpstr>دليل الاستخدام</vt:lpstr>
      <vt:lpstr>سجل الأصول</vt:lpstr>
      <vt:lpstr>جدول الإهلاك</vt:lpstr>
      <vt:lpstr>الملخص والتقارير</vt:lpstr>
      <vt:lpstr>سجل التعديلات</vt:lpstr>
      <vt:lpstr>القيمة الدفترية عبر الزمن</vt:lpstr>
      <vt:lpstr>إعدادات الإهلاك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Moamen Ahmed</dc:creator>
  <dcterms:created xsi:type="dcterms:W3CDTF">2026-09-04T14:44:25Z</dcterms:creat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2026-09-04T08:05:15Z</dcterms:created>
  <dc:creator>openpyxl</dc:creator>
  <dc:description/>
  <dc:language>en-US</dc:language>
  <cp:lastModifiedBy/>
  <dcterms:modified xsi:type="dcterms:W3CDTF">2026-09-04T11:40:32Z</dcterms:modified>
  <cp:revision>0</cp:revision>
  <dc:subject/>
  <dc:title/>
</cp:coreProperties>
</file>